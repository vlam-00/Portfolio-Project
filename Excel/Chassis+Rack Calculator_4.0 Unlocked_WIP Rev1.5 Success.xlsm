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4.xml" ContentType="application/vnd.openxmlformats-officedocument.drawing+xml"/>
  <Override PartName="/xl/ctrlProps/ctrlProp40.xml" ContentType="application/vnd.ms-excel.controlproperties+xml"/>
  <Override PartName="/xl/drawings/drawing5.xml" ContentType="application/vnd.openxmlformats-officedocument.drawing+xml"/>
  <Override PartName="/xl/ctrlProps/ctrlProp41.xml" ContentType="application/vnd.ms-excel.controlproperties+xml"/>
  <Override PartName="/xl/drawings/drawing6.xml" ContentType="application/vnd.openxmlformats-officedocument.drawing+xml"/>
  <Override PartName="/xl/ctrlProps/ctrlProp42.xml" ContentType="application/vnd.ms-excel.controlproperties+xml"/>
  <Override PartName="/xl/drawings/drawing7.xml" ContentType="application/vnd.openxmlformats-officedocument.drawing+xml"/>
  <Override PartName="/xl/ctrlProps/ctrlProp43.xml" ContentType="application/vnd.ms-excel.controlproperties+xml"/>
  <Override PartName="/xl/drawings/drawing8.xml" ContentType="application/vnd.openxmlformats-officedocument.drawing+xml"/>
  <Override PartName="/xl/ctrlProps/ctrlProp44.xml" ContentType="application/vnd.ms-excel.controlproperties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G7941897\Documents\Power Calculator\"/>
    </mc:Choice>
  </mc:AlternateContent>
  <xr:revisionPtr revIDLastSave="0" documentId="13_ncr:1_{0A2D9177-DCB7-4491-96CC-6CA1BE01F7CB}" xr6:coauthVersionLast="47" xr6:coauthVersionMax="47" xr10:uidLastSave="{00000000-0000-0000-0000-000000000000}"/>
  <bookViews>
    <workbookView xWindow="28680" yWindow="-16395" windowWidth="29040" windowHeight="15720" tabRatio="701" firstSheet="17" activeTab="4" xr2:uid="{00000000-000D-0000-FFFF-FFFF00000000}"/>
  </bookViews>
  <sheets>
    <sheet name="Motherboard" sheetId="11" r:id="rId1"/>
    <sheet name="Processor" sheetId="1" r:id="rId2"/>
    <sheet name="RAM" sheetId="3" r:id="rId3"/>
    <sheet name="Generic" sheetId="9" r:id="rId4"/>
    <sheet name="RAID Controller" sheetId="4" r:id="rId5"/>
    <sheet name="Fan" sheetId="12" r:id="rId6"/>
    <sheet name="Backplane" sheetId="5" r:id="rId7"/>
    <sheet name="Drives" sheetId="6" r:id="rId8"/>
    <sheet name="NIC" sheetId="7" r:id="rId9"/>
    <sheet name="Chassis Type" sheetId="17" r:id="rId10"/>
    <sheet name="GPU" sheetId="14" r:id="rId11"/>
    <sheet name="Motherboard to Processor" sheetId="18" r:id="rId12"/>
    <sheet name="Server Configuration" sheetId="2" r:id="rId13"/>
    <sheet name="Server List" sheetId="21" r:id="rId14"/>
    <sheet name="Component Calc" sheetId="19" r:id="rId15"/>
    <sheet name="Rack Calc (Old)" sheetId="28" state="hidden" r:id="rId16"/>
    <sheet name="Rack Layout" sheetId="22" r:id="rId17"/>
    <sheet name="Rack Calc (Single Phase)" sheetId="23" r:id="rId18"/>
    <sheet name="Rack Calc (Single Phase x48)" sheetId="32" r:id="rId19"/>
    <sheet name="Rack Calc (Single Phase 48 230)" sheetId="33" r:id="rId20"/>
    <sheet name="Rack Calc (Single Phase) (x4)" sheetId="29" r:id="rId21"/>
    <sheet name="Rack Calc (Three Phase)" sheetId="27" r:id="rId22"/>
    <sheet name="Rack Calc (Three Phase) (400V)" sheetId="30" r:id="rId23"/>
    <sheet name="Power Layouts" sheetId="31" r:id="rId24"/>
    <sheet name="Printer Friendly" sheetId="24" state="hidden" r:id="rId25"/>
    <sheet name="Saved Layouts" sheetId="25" r:id="rId26"/>
  </sheets>
  <functionGroups builtInGroupCount="19"/>
  <externalReferences>
    <externalReference r:id="rId27"/>
  </externalReferences>
  <definedNames>
    <definedName name="__10DRI_Pop">Processor!$Y$3:$Y$4</definedName>
    <definedName name="__10DRU_Pop">Processor!$Z$3:$Z$4</definedName>
    <definedName name="__10QBI_Pop">Processor!$S$3</definedName>
    <definedName name="__11DPU_Pop">Processor!$AA$3:$AA$4</definedName>
    <definedName name="__3250_Pop">Processor!$N$7</definedName>
    <definedName name="__HAB_Pop">Processor!$L$7</definedName>
    <definedName name="__QB6_Pop">Processor!$R$3:$R$3</definedName>
    <definedName name="__SR630_Pop">Processor!$S$7</definedName>
    <definedName name="_10DRI">'Motherboard to Processor'!$D$2:$D$10</definedName>
    <definedName name="_10DRI_1">Motherboard!$T$3:$T$5</definedName>
    <definedName name="_10DRI_2">Motherboard!$U$3:$U$5</definedName>
    <definedName name="_10DRI_Pop">Processor!$Y$3:$Y$4</definedName>
    <definedName name="_10DRU">'Motherboard to Processor'!$C$2:$C$10</definedName>
    <definedName name="_10DRU_1">Motherboard!$V$3:$V$5</definedName>
    <definedName name="_10DRU_2">Motherboard!$W$3:$W$5</definedName>
    <definedName name="_10QBI">'Motherboard to Processor'!$H$2:$H$6</definedName>
    <definedName name="_10QBI_1">Motherboard!$AC$3:$AC$5</definedName>
    <definedName name="_10QBI_2">Motherboard!$AC$3:$AC$5</definedName>
    <definedName name="_10QBI_3">Motherboard!$AC$3:$AC$5</definedName>
    <definedName name="_10QBI_4">Motherboard!$AC$3:$AC$5</definedName>
    <definedName name="_11DPU">'Motherboard to Processor'!$E$3:$E$14</definedName>
    <definedName name="_11DPU_1">Motherboard!$X$3:$X$4</definedName>
    <definedName name="_11DPU_2">Motherboard!$Y$3:$Y$4</definedName>
    <definedName name="_1U___X10SLH_LNT6____Single_Xeon_E3_1270_V3___16GB___50____cmwhite">'Rack Layout'!$A$14</definedName>
    <definedName name="_1U4D">'Chassis Type'!$B$24:$B$30</definedName>
    <definedName name="_1U4D_GPU">'Chassis Type'!$B$57</definedName>
    <definedName name="_1U4D_GPU_Count">'Chassis Type'!$B$70</definedName>
    <definedName name="_1U4D_NIC_1U4D">'Chassis Type'!$B$51:$B$52</definedName>
    <definedName name="_1U4D_RAID">'Chassis Type'!$B$35:$B$38</definedName>
    <definedName name="_1U4D_RAID_1U4D">'Chassis Type'!$B$45:$B$46</definedName>
    <definedName name="_1U4DE3">'Chassis Type'!$K$24:$K$25</definedName>
    <definedName name="_1U4DTS">'Chassis Type'!$N$24:$N$25</definedName>
    <definedName name="_1U4DU">'Chassis Type'!$C$24:$C$27</definedName>
    <definedName name="_1U4DU_GPU">'Chassis Type'!$C$57</definedName>
    <definedName name="_1U4DU_GPU_Count">'Chassis Type'!$C$70</definedName>
    <definedName name="_1U4DU_NIC_1U4DU">'Chassis Type'!$C$51:$C$52</definedName>
    <definedName name="_1U4DU_RAID">'Chassis Type'!$C$35:$C$37</definedName>
    <definedName name="_1U4DU_RAID_1U4DU">'Chassis Type'!$C$45:$C$46</definedName>
    <definedName name="_23U8D_GPU_Count">'Chassis Type'!$H$70:$H$72</definedName>
    <definedName name="_2U12D">'Chassis Type'!$E$24:$E$27</definedName>
    <definedName name="_2U12D_GPU">'Chassis Type'!$E$57</definedName>
    <definedName name="_2U12D_GPU_Count">'Chassis Type'!$E$70</definedName>
    <definedName name="_2U12D_NIC_2U12D">'Chassis Type'!$E$51:$E$53</definedName>
    <definedName name="_2U12D_RAID">'Chassis Type'!$D$35:$D$38</definedName>
    <definedName name="_2U12D_RAID_2U12D">'Chassis Type'!$E$45:$E$47</definedName>
    <definedName name="_2U12DU">'Chassis Type'!$F$24:$F$26</definedName>
    <definedName name="_2U12DU_GPU">'Chassis Type'!$F$57:$F$66</definedName>
    <definedName name="_2U12DU_GPU_Count">'Chassis Type'!$F$70:$F$74</definedName>
    <definedName name="_2U12DU_NIC_2U12DU">'Chassis Type'!$F$51:$F$53</definedName>
    <definedName name="_2U12DU_RAID">'Chassis Type'!$F$35:$F$36</definedName>
    <definedName name="_2U12DU_RAID_2U12DU">'Chassis Type'!$F$45:$F$47</definedName>
    <definedName name="_2U14DT">'Chassis Type'!$G$24:$G$25</definedName>
    <definedName name="_2U6D">'Chassis Type'!$D$24:$D$25</definedName>
    <definedName name="_2U6D_GPU">'Chassis Type'!$D$57</definedName>
    <definedName name="_2U6D_GPU_Count">'Chassis Type'!$D$70</definedName>
    <definedName name="_2U6D_NIC_2U6D">'Chassis Type'!$D$51:$D$53</definedName>
    <definedName name="_2U6D_RAID">'Chassis Type'!$E$35:$E$38</definedName>
    <definedName name="_2U6D_RAID_2U6D">'Chassis Type'!$D$45:$D$47</definedName>
    <definedName name="_3250">'Motherboard to Processor'!$J$18:$J$19</definedName>
    <definedName name="_3250_1">Motherboard!$N$9:$N$10</definedName>
    <definedName name="_3U8D">'Chassis Type'!$H$24:$H$26</definedName>
    <definedName name="_3U8D_GPU">'Chassis Type'!$H$57:$H$66</definedName>
    <definedName name="_3U8D_NIC_3U8D">'Chassis Type'!$H$51:$H$53</definedName>
    <definedName name="_3U8D_RAID">'Chassis Type'!$H$35:$H$38</definedName>
    <definedName name="_3U8D_RAID_3U8D">'Chassis Type'!$H$45:$H$47</definedName>
    <definedName name="_4GB_DDR3L_1.35V_RDIMM">'RAM'!$H$11:$H$12</definedName>
    <definedName name="_4U24D">'Chassis Type'!$I$24:$I$29</definedName>
    <definedName name="_4U24D_GPU">'Chassis Type'!$I$57</definedName>
    <definedName name="_4U24D_GPU_Count">'Chassis Type'!$I$70</definedName>
    <definedName name="_4U24D_NIC_4U24D">'Chassis Type'!$I$51:$I$53</definedName>
    <definedName name="_4U24D_RAID">'Chassis Type'!$I$35:$I$37</definedName>
    <definedName name="_4U24D_RAID_10QBI">'Chassis Type'!$I$38:$I$39</definedName>
    <definedName name="_4U24D_RAID_4U24D">'Chassis Type'!$I$45:$I$47</definedName>
    <definedName name="_4U36D">'Chassis Type'!$J$24:$J$28</definedName>
    <definedName name="_4U36D_GPU">'Chassis Type'!$J$57</definedName>
    <definedName name="_4U36D_GPU_Count">'Chassis Type'!$J$70</definedName>
    <definedName name="_4U36D_NIC_4U36D">'Chassis Type'!$J$51:$J$53</definedName>
    <definedName name="_4U36D_RAID">'Chassis Type'!$J$35:$J$40</definedName>
    <definedName name="_4U36D_RAID_10DRI">'Chassis Type'!$J$41</definedName>
    <definedName name="_4U36D_RAID_4U36D">'Chassis Type'!$J$45:$J$47</definedName>
    <definedName name="_8U___3950_X6___Octo_Xeon_E7_8880_V3___8192GB___50____208V___8x_PSU">'Rack Layout'!$A$3</definedName>
    <definedName name="_DRI_1.2_Pop">Processor!$W$3:$W$4</definedName>
    <definedName name="_DRI_Pop">Processor!$T$3:$T$4</definedName>
    <definedName name="_DTN_Pop">Processor!$V$3:$V$4</definedName>
    <definedName name="_DTU_Pop">Processor!$U$3:$U$4</definedName>
    <definedName name="_xlnm._FilterDatabase" localSheetId="16" hidden="1">'Rack Layout'!$L$2:$M$2</definedName>
    <definedName name="_HAB">'Motherboard to Processor'!$A$19:$A$20</definedName>
    <definedName name="_HAB_1">Motherboard!$E$9:$E$11</definedName>
    <definedName name="_HAB_RAM">'RAM'!$H$11:$H$12</definedName>
    <definedName name="_None_Pop">Processor!$X$3</definedName>
    <definedName name="_QB6">'Motherboard to Processor'!$S$2:$S$7</definedName>
    <definedName name="_QB6_1">Motherboard!$AA$3:$AA$6</definedName>
    <definedName name="_QB6_2">Motherboard!$AA$3:$AA$6</definedName>
    <definedName name="_QB6_3">Motherboard!$AA$3:$AA$6</definedName>
    <definedName name="_QB6_4">Motherboard!$AA$3:$AA$6</definedName>
    <definedName name="_QRI_Pop">Processor!$L$3:$L$3</definedName>
    <definedName name="_SCD_Pop">Processor!$P$3</definedName>
    <definedName name="_SCI_Pop">Processor!$Q$3:$Q$3</definedName>
    <definedName name="_SIE_Pop">Processor!$O$3:$O$3</definedName>
    <definedName name="_SLH_Pop">Processor!$N$3</definedName>
    <definedName name="_SLM_Pop">Processor!$M$3:$M$3</definedName>
    <definedName name="_SR630">'Motherboard to Processor'!$B$18:$B$28</definedName>
    <definedName name="_SSW_Pop">Processor!$M$7</definedName>
    <definedName name="Backplane" localSheetId="15">Backplanes[Part]</definedName>
    <definedName name="Backplane" localSheetId="19">Backplanes[Part]</definedName>
    <definedName name="Backplane" localSheetId="18">Backplanes[Part]</definedName>
    <definedName name="Backplane" localSheetId="20">Backplanes[Part]</definedName>
    <definedName name="Backplane" localSheetId="21">Backplanes[Part]</definedName>
    <definedName name="Backplane" localSheetId="22">Backplanes[Part]</definedName>
    <definedName name="Backplane">Backplanes[Part]</definedName>
    <definedName name="DRI">'Motherboard to Processor'!$J$2:$J$5</definedName>
    <definedName name="DRI_1">Motherboard!$P$3:$P$4</definedName>
    <definedName name="DRI_1.2">'Motherboard to Processor'!$L$2:$L$8</definedName>
    <definedName name="DRI_1.2_1">Motherboard!$R$3:$R$5</definedName>
    <definedName name="DRI_1.2_1U">'Motherboard to Processor'!$M$2:$M$7</definedName>
    <definedName name="DRI_1.2_2">Motherboard!$S$3:$S$5</definedName>
    <definedName name="DRI_1U">'Motherboard to Processor'!$K$2:$K$4</definedName>
    <definedName name="DRI_2">Motherboard!$Q$3:$Q$4</definedName>
    <definedName name="DTN">'Motherboard to Processor'!$R$2:$R$8</definedName>
    <definedName name="DTN_1">Motherboard!$N$3:$N$5</definedName>
    <definedName name="DTN_2">Motherboard!$O$3:$O$5</definedName>
    <definedName name="DTU">'Motherboard to Processor'!$Q$2:$Q$8</definedName>
    <definedName name="DTU_1">Motherboard!$L$3:$L$4</definedName>
    <definedName name="DTU_2">Motherboard!$M$3:$M$4</definedName>
    <definedName name="Fans" localSheetId="15">Fan[Part]</definedName>
    <definedName name="Fans" localSheetId="19">Fan[Part]</definedName>
    <definedName name="Fans" localSheetId="18">Fan[Part]</definedName>
    <definedName name="Fans" localSheetId="20">Fan[Part]</definedName>
    <definedName name="Fans" localSheetId="21">Fan[Part]</definedName>
    <definedName name="Fans" localSheetId="22">Fan[Part]</definedName>
    <definedName name="Fans">Fan[Part]</definedName>
    <definedName name="GPUs" localSheetId="15">GPU[Part]</definedName>
    <definedName name="GPUs" localSheetId="19">GPU[Part]</definedName>
    <definedName name="GPUs" localSheetId="18">GPU[Part]</definedName>
    <definedName name="GPUs" localSheetId="20">GPU[Part]</definedName>
    <definedName name="GPUs" localSheetId="21">GPU[Part]</definedName>
    <definedName name="GPUs" localSheetId="22">GPU[Part]</definedName>
    <definedName name="GPUs">GPU[Part]</definedName>
    <definedName name="HDDs" localSheetId="15">HardDrive[Part]</definedName>
    <definedName name="HDDs" localSheetId="19">HardDrive[Part]</definedName>
    <definedName name="HDDs" localSheetId="18">HardDrive[Part]</definedName>
    <definedName name="HDDs" localSheetId="20">HardDrive[Part]</definedName>
    <definedName name="HDDs" localSheetId="21">HardDrive[Part]</definedName>
    <definedName name="HDDs" localSheetId="22">HardDrive[Part]</definedName>
    <definedName name="HDDs">HardDrive[Part]</definedName>
    <definedName name="Layout_Names" localSheetId="15">OFFSET('Saved Layouts'!$A:$A,COUNTA( 'Saved Layouts'!$A:$A),1)</definedName>
    <definedName name="Layout_Names">OFFSET('Saved Layouts'!$A:$A,COUNTA( 'Saved Layouts'!$A:$A),1)</definedName>
    <definedName name="Motherboards" localSheetId="15">Motherboard_Models[Part]</definedName>
    <definedName name="Motherboards" localSheetId="19">Motherboard_Models[Part]</definedName>
    <definedName name="Motherboards" localSheetId="18">Motherboard_Models[Part]</definedName>
    <definedName name="Motherboards" localSheetId="20">Motherboard_Models[Part]</definedName>
    <definedName name="Motherboards" localSheetId="21">Motherboard_Models[Part]</definedName>
    <definedName name="Motherboards" localSheetId="22">Motherboard_Models[Part]</definedName>
    <definedName name="Motherboards">Motherboard_Models[Part]</definedName>
    <definedName name="NICs" localSheetId="15">NIC[Part]</definedName>
    <definedName name="NICs" localSheetId="19">NIC[Part]</definedName>
    <definedName name="NICs" localSheetId="18">NIC[Part]</definedName>
    <definedName name="NICs" localSheetId="20">NIC[Part]</definedName>
    <definedName name="NICs" localSheetId="21">NIC[Part]</definedName>
    <definedName name="NICs" localSheetId="22">NIC[Part]</definedName>
    <definedName name="NICs">NIC[Part]</definedName>
    <definedName name="None">'Motherboard to Processor'!$A$2</definedName>
    <definedName name="None_0">Motherboard!$E$3</definedName>
    <definedName name="None_GPU_Count">'Chassis Type'!$K$70</definedName>
    <definedName name="None_NICNone">'Chassis Type'!$K$51</definedName>
    <definedName name="None_RAID">'Chassis Type'!$K$35</definedName>
    <definedName name="None_RAIDNone">'Chassis Type'!$K$45</definedName>
    <definedName name="Power_Layouts">'Power Layouts'!$A$2:$A$8</definedName>
    <definedName name="Power_Selection">'Rack Layout'!$L$2</definedName>
    <definedName name="Power_Selection_New">'Rack Layout'!$Z$2</definedName>
    <definedName name="PowerHBottomSingle" localSheetId="15">'Rack Calc (Old)'!$C$22:$C$31</definedName>
    <definedName name="PowerHBottomSingle" localSheetId="19">'Rack Calc (Single Phase 48 230)'!#REF!</definedName>
    <definedName name="PowerHBottomSingle" localSheetId="18">'Rack Calc (Single Phase x48)'!#REF!</definedName>
    <definedName name="PowerHBottomSingle" localSheetId="20">'Rack Calc (Single Phase) (x4)'!$O$22:$O$31</definedName>
    <definedName name="PowerHBottomSingle" localSheetId="21">'Rack Calc (Three Phase)'!$C$34:$C$49</definedName>
    <definedName name="PowerHBottomSingle" localSheetId="22">'Rack Calc (Three Phase) (400V)'!$C$34:$C$49</definedName>
    <definedName name="PowerHBottomSingle">'Rack Calc (Single Phase)'!$C$22:$C$31</definedName>
    <definedName name="_xlnm.Print_Area" localSheetId="12">'Server Configuration'!$A$1:$Q$37</definedName>
    <definedName name="Proc___Chassis">'Rack Layout'!$A$2:$A$47</definedName>
    <definedName name="Processors" localSheetId="15">Procs_Models[Part]</definedName>
    <definedName name="Processors" localSheetId="19">Procs_Models[Part]</definedName>
    <definedName name="Processors" localSheetId="18">Procs_Models[Part]</definedName>
    <definedName name="Processors" localSheetId="20">Procs_Models[Part]</definedName>
    <definedName name="Processors" localSheetId="21">Procs_Models[Part]</definedName>
    <definedName name="Processors" localSheetId="22">Procs_Models[Part]</definedName>
    <definedName name="Processors">Procs_Models[Part]</definedName>
    <definedName name="Procs">'[1]Server Chassis'!$A$3:$A$17</definedName>
    <definedName name="QRI">'Motherboard to Processor'!$I$2:$I$6</definedName>
    <definedName name="QRI_1">Motherboard!$AB$3:$AB$4</definedName>
    <definedName name="QRI_2">Motherboard!$AB$3:$AB$4</definedName>
    <definedName name="QRI_3">Motherboard!$AB$3:$AB$4</definedName>
    <definedName name="QRI_4">Motherboard!$AB$3:$AB$4</definedName>
    <definedName name="Rack_Names">'Saved Layouts'!$B$1:$XFD$1</definedName>
    <definedName name="RAIDs" localSheetId="15">RAIDController[Part]</definedName>
    <definedName name="RAIDs" localSheetId="19">RAIDController[Part]</definedName>
    <definedName name="RAIDs" localSheetId="18">RAIDController[Part]</definedName>
    <definedName name="RAIDs" localSheetId="20">RAIDController[Part]</definedName>
    <definedName name="RAIDs" localSheetId="21">RAIDController[Part]</definedName>
    <definedName name="RAIDs" localSheetId="22">RAIDController[Part]</definedName>
    <definedName name="RAIDs">RAIDController[Part]</definedName>
    <definedName name="RAM_10DRI">'RAM'!$K$2:$K$7</definedName>
    <definedName name="RAM_10DRU">'RAM'!$J$2:$J$7</definedName>
    <definedName name="RAM_10QBI">'RAM'!$M$2:$M$8</definedName>
    <definedName name="RAM_11DPU">'RAM'!$L$2:$L$8</definedName>
    <definedName name="RAM_3250">'RAM'!$G$11:$G$12</definedName>
    <definedName name="RAM_HAB">'RAM'!$H$11:$H$12</definedName>
    <definedName name="RAM_QB6">'RAM'!$T$2:$T$6</definedName>
    <definedName name="RAMDRI">'RAM'!$O$2:$O$7</definedName>
    <definedName name="RAMDRI_1.2">'RAM'!$O$2:$O$7</definedName>
    <definedName name="RAMDTN">'RAM'!$S$2:$S$6</definedName>
    <definedName name="RAMDTU">'RAM'!$R$2:$R$6</definedName>
    <definedName name="RAMNone">'RAM'!$F$2</definedName>
    <definedName name="RAMQRI">'RAM'!$N$2:$N$7</definedName>
    <definedName name="RAMs" localSheetId="15">RAM[Part]</definedName>
    <definedName name="RAMs" localSheetId="19">RAM[Part]</definedName>
    <definedName name="RAMs" localSheetId="18">RAM[Part]</definedName>
    <definedName name="RAMs" localSheetId="20">RAM[Part]</definedName>
    <definedName name="RAMs" localSheetId="21">RAM[Part]</definedName>
    <definedName name="RAMs" localSheetId="22">RAM[Part]</definedName>
    <definedName name="RAMs">RAM[Part]</definedName>
    <definedName name="RAMSCI">'RAM'!$P$2:$P$5</definedName>
    <definedName name="RAMSIE">'RAM'!$Q$2:$Q$4</definedName>
    <definedName name="RAMSLH">'RAM'!$I$2:$I$5</definedName>
    <definedName name="RAMSLM">'RAM'!$H$2:$H$5</definedName>
    <definedName name="RAMSSW">'RAM'!$G$2:$G$5</definedName>
    <definedName name="SCD">'Motherboard to Processor'!$O$2:$O$6</definedName>
    <definedName name="SCD_1">Motherboard!$H$3:$H$4</definedName>
    <definedName name="SCI">'Motherboard to Processor'!$N$2:$N$6</definedName>
    <definedName name="SCI_1">Motherboard!$I$3:$I$4</definedName>
    <definedName name="Server_List" localSheetId="15">'Server List'!$A$3:$A$50</definedName>
    <definedName name="Server_List">'Server List'!$A$3:$A$50</definedName>
    <definedName name="Servers" localSheetId="15">Server_Configs[#All]</definedName>
    <definedName name="Servers" localSheetId="19">Server_Configs[#All]</definedName>
    <definedName name="Servers" localSheetId="18">Server_Configs[#All]</definedName>
    <definedName name="Servers" localSheetId="20">Server_Configs[#All]</definedName>
    <definedName name="Servers" localSheetId="21">Server_Configs[#All]</definedName>
    <definedName name="Servers" localSheetId="22">Server_Configs[#All]</definedName>
    <definedName name="Servers">Server_Configs[#All]</definedName>
    <definedName name="SIE">'Motherboard to Processor'!$P$2:$P$5</definedName>
    <definedName name="SIE_1">Motherboard!$J$3:$J$5</definedName>
    <definedName name="SingleProcPopulations" localSheetId="15">Motherboard!$F$3:$F$4,Motherboard!$P$3:$P$5,Motherboard!$R$3:$R$5,Motherboard!$J$3:$J$5,Motherboard!$I$3:$I$4,Motherboard!$M$3:$M$4,Motherboard!$O$3:$O$5</definedName>
    <definedName name="SingleProcPopulations">Motherboard!$F$3:$F$4,Motherboard!$P$3:$P$5,Motherboard!$R$3:$R$5,Motherboard!$J$3:$J$5,Motherboard!$I$3:$I$4,Motherboard!$M$3:$M$4,Motherboard!$O$3:$O$5</definedName>
    <definedName name="SLH">'Motherboard to Processor'!$G$2:$G$3</definedName>
    <definedName name="SLH_1">Motherboard!$G$3:$G$4</definedName>
    <definedName name="SLM">'Motherboard to Processor'!$F$2:$F$4</definedName>
    <definedName name="SLM_1">Motherboard!$F$3:$F$4</definedName>
    <definedName name="Slot">'Rack Layout'!$A$2:$A$47</definedName>
    <definedName name="SSW">'Motherboard to Processor'!$B$2:$B$3</definedName>
    <definedName name="SSW_1">Motherboard!$F$9:$F$10</definedName>
    <definedName name="X10SLM">'Motherboard to Processor'!$F$2:$F$4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4" l="1"/>
  <c r="E27" i="2"/>
  <c r="C27" i="2"/>
  <c r="B28" i="2" s="1"/>
  <c r="D27" i="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AV21" i="27"/>
  <c r="AV22" i="27"/>
  <c r="AV35" i="27" s="1"/>
  <c r="AW61" i="27" s="1"/>
  <c r="AV23" i="27"/>
  <c r="AV24" i="27"/>
  <c r="AV25" i="27"/>
  <c r="AV26" i="27"/>
  <c r="AV27" i="27"/>
  <c r="AV28" i="27"/>
  <c r="AV29" i="27"/>
  <c r="AV30" i="27"/>
  <c r="AV31" i="27"/>
  <c r="AV32" i="27"/>
  <c r="AV33" i="27"/>
  <c r="AV34" i="27"/>
  <c r="AW21" i="27"/>
  <c r="AW22" i="27"/>
  <c r="AW23" i="27"/>
  <c r="AW24" i="27"/>
  <c r="AW25" i="27"/>
  <c r="AW26" i="27"/>
  <c r="AW27" i="27"/>
  <c r="AW28" i="27"/>
  <c r="AW29" i="27"/>
  <c r="AW30" i="27"/>
  <c r="AW31" i="27"/>
  <c r="AW32" i="27"/>
  <c r="AW33" i="27"/>
  <c r="AW34" i="27"/>
  <c r="AW35" i="27"/>
  <c r="AW62" i="27" s="1"/>
  <c r="AX21" i="27"/>
  <c r="AX22" i="27"/>
  <c r="AX23" i="27"/>
  <c r="AX24" i="27"/>
  <c r="AX25" i="27"/>
  <c r="AX26" i="27"/>
  <c r="AX27" i="27"/>
  <c r="AX28" i="27"/>
  <c r="AX29" i="27"/>
  <c r="AX30" i="27"/>
  <c r="AX31" i="27"/>
  <c r="AX32" i="27"/>
  <c r="AX33" i="27"/>
  <c r="AX34" i="27"/>
  <c r="AX35" i="27"/>
  <c r="AW63" i="27" s="1"/>
  <c r="AY21" i="27"/>
  <c r="AY22" i="27"/>
  <c r="AY23" i="27"/>
  <c r="AY24" i="27"/>
  <c r="AY25" i="27"/>
  <c r="AY26" i="27"/>
  <c r="AY27" i="27"/>
  <c r="AY28" i="27"/>
  <c r="AY29" i="27"/>
  <c r="AY30" i="27"/>
  <c r="AY31" i="27"/>
  <c r="AY32" i="27"/>
  <c r="AY33" i="27"/>
  <c r="AY34" i="27"/>
  <c r="AY35" i="27"/>
  <c r="AW64" i="27" s="1"/>
  <c r="AZ21" i="27"/>
  <c r="AZ22" i="27"/>
  <c r="AZ23" i="27"/>
  <c r="AZ24" i="27"/>
  <c r="AZ25" i="27"/>
  <c r="AZ26" i="27"/>
  <c r="AZ27" i="27"/>
  <c r="AZ28" i="27"/>
  <c r="AZ29" i="27"/>
  <c r="AZ30" i="27"/>
  <c r="AZ31" i="27"/>
  <c r="AZ32" i="27"/>
  <c r="AZ33" i="27"/>
  <c r="AZ34" i="27"/>
  <c r="AZ35" i="27"/>
  <c r="AZ61" i="27" s="1"/>
  <c r="AV37" i="27"/>
  <c r="AV38" i="27"/>
  <c r="AV39" i="27"/>
  <c r="AV40" i="27"/>
  <c r="AV41" i="27"/>
  <c r="AV42" i="27"/>
  <c r="AV53" i="27" s="1"/>
  <c r="AW67" i="27" s="1"/>
  <c r="AV43" i="27"/>
  <c r="AV44" i="27"/>
  <c r="AV45" i="27"/>
  <c r="AV46" i="27"/>
  <c r="AV47" i="27"/>
  <c r="AV48" i="27"/>
  <c r="AV49" i="27"/>
  <c r="AV50" i="27"/>
  <c r="AV51" i="27"/>
  <c r="AV52" i="27"/>
  <c r="AW37" i="27"/>
  <c r="AW38" i="27"/>
  <c r="AW39" i="27"/>
  <c r="AW40" i="27"/>
  <c r="AW53" i="27" s="1"/>
  <c r="AW68" i="27" s="1"/>
  <c r="AW41" i="27"/>
  <c r="AW42" i="27"/>
  <c r="AW43" i="27"/>
  <c r="AW44" i="27"/>
  <c r="AW45" i="27"/>
  <c r="AW46" i="27"/>
  <c r="AW47" i="27"/>
  <c r="AW48" i="27"/>
  <c r="AW49" i="27"/>
  <c r="AW50" i="27"/>
  <c r="AW51" i="27"/>
  <c r="AW52" i="27"/>
  <c r="AX37" i="27"/>
  <c r="AX38" i="27"/>
  <c r="AX53" i="27" s="1"/>
  <c r="AW69" i="27" s="1"/>
  <c r="AX39" i="27"/>
  <c r="AX40" i="27"/>
  <c r="AX41" i="27"/>
  <c r="AX42" i="27"/>
  <c r="AX43" i="27"/>
  <c r="AX44" i="27"/>
  <c r="AX45" i="27"/>
  <c r="AX46" i="27"/>
  <c r="AX47" i="27"/>
  <c r="AX48" i="27"/>
  <c r="AX49" i="27"/>
  <c r="AX50" i="27"/>
  <c r="AX51" i="27"/>
  <c r="AX52" i="27"/>
  <c r="AY37" i="27"/>
  <c r="AY38" i="27"/>
  <c r="AY39" i="27"/>
  <c r="AY40" i="27"/>
  <c r="AY41" i="27"/>
  <c r="AY42" i="27"/>
  <c r="AY43" i="27"/>
  <c r="AY44" i="27"/>
  <c r="AY45" i="27"/>
  <c r="AY46" i="27"/>
  <c r="AY47" i="27"/>
  <c r="AY48" i="27"/>
  <c r="AY49" i="27"/>
  <c r="AY50" i="27"/>
  <c r="AY51" i="27"/>
  <c r="AY52" i="27"/>
  <c r="AZ37" i="27"/>
  <c r="AZ38" i="27"/>
  <c r="AZ39" i="27"/>
  <c r="AZ40" i="27"/>
  <c r="AZ41" i="27"/>
  <c r="AZ42" i="27"/>
  <c r="AZ43" i="27"/>
  <c r="AZ44" i="27"/>
  <c r="AZ45" i="27"/>
  <c r="AZ46" i="27"/>
  <c r="AZ47" i="27"/>
  <c r="AZ48" i="27"/>
  <c r="AZ49" i="27"/>
  <c r="AZ50" i="27"/>
  <c r="AZ51" i="27"/>
  <c r="AZ52" i="27"/>
  <c r="AV4" i="27"/>
  <c r="AV5" i="27"/>
  <c r="AV6" i="27"/>
  <c r="AV7" i="27"/>
  <c r="AV8" i="27"/>
  <c r="AV9" i="27"/>
  <c r="AV10" i="27"/>
  <c r="AV11" i="27"/>
  <c r="AV12" i="27"/>
  <c r="AV13" i="27"/>
  <c r="AV14" i="27"/>
  <c r="AV15" i="27"/>
  <c r="AV16" i="27"/>
  <c r="AV17" i="27"/>
  <c r="AV18" i="27"/>
  <c r="AW4" i="27"/>
  <c r="AW19" i="27" s="1"/>
  <c r="AW56" i="27" s="1"/>
  <c r="AW5" i="27"/>
  <c r="AW6" i="27"/>
  <c r="AW7" i="27"/>
  <c r="AW8" i="27"/>
  <c r="AW9" i="27"/>
  <c r="AW10" i="27"/>
  <c r="AW11" i="27"/>
  <c r="AW12" i="27"/>
  <c r="AW13" i="27"/>
  <c r="AW14" i="27"/>
  <c r="AW15" i="27"/>
  <c r="AW16" i="27"/>
  <c r="AW17" i="27"/>
  <c r="AW18" i="27"/>
  <c r="AX4" i="27"/>
  <c r="AX5" i="27"/>
  <c r="AX6" i="27"/>
  <c r="AX7" i="27"/>
  <c r="AX8" i="27"/>
  <c r="AX9" i="27"/>
  <c r="AX10" i="27"/>
  <c r="AX11" i="27"/>
  <c r="AX12" i="27"/>
  <c r="AX13" i="27"/>
  <c r="AX14" i="27"/>
  <c r="AX15" i="27"/>
  <c r="AX16" i="27"/>
  <c r="AX17" i="27"/>
  <c r="AX18" i="27"/>
  <c r="AY4" i="27"/>
  <c r="AY5" i="27"/>
  <c r="AY6" i="27"/>
  <c r="AY19" i="27" s="1"/>
  <c r="AW58" i="27" s="1"/>
  <c r="AY7" i="27"/>
  <c r="AY8" i="27"/>
  <c r="AY9" i="27"/>
  <c r="AY10" i="27"/>
  <c r="AY11" i="27"/>
  <c r="AY12" i="27"/>
  <c r="AY13" i="27"/>
  <c r="AY14" i="27"/>
  <c r="AY15" i="27"/>
  <c r="AY16" i="27"/>
  <c r="AY17" i="27"/>
  <c r="AY18" i="27"/>
  <c r="AZ4" i="27"/>
  <c r="AZ5" i="27"/>
  <c r="AZ6" i="27"/>
  <c r="AZ7" i="27"/>
  <c r="AZ8" i="27"/>
  <c r="AZ9" i="27"/>
  <c r="AZ10" i="27"/>
  <c r="AZ11" i="27"/>
  <c r="AZ12" i="27"/>
  <c r="AZ13" i="27"/>
  <c r="AZ14" i="27"/>
  <c r="AZ15" i="27"/>
  <c r="AZ16" i="27"/>
  <c r="AZ17" i="27"/>
  <c r="AZ18" i="27"/>
  <c r="BB21" i="27"/>
  <c r="BB22" i="27"/>
  <c r="BB23" i="27"/>
  <c r="BB24" i="27"/>
  <c r="BB25" i="27"/>
  <c r="BB26" i="27"/>
  <c r="BB27" i="27"/>
  <c r="BB28" i="27"/>
  <c r="BB29" i="27"/>
  <c r="BB30" i="27"/>
  <c r="BB31" i="27"/>
  <c r="BB32" i="27"/>
  <c r="BB33" i="27"/>
  <c r="BB34" i="27"/>
  <c r="BC21" i="27"/>
  <c r="BC22" i="27"/>
  <c r="BC35" i="27" s="1"/>
  <c r="BC62" i="27" s="1"/>
  <c r="BC23" i="27"/>
  <c r="BC24" i="27"/>
  <c r="BC25" i="27"/>
  <c r="BC26" i="27"/>
  <c r="BC27" i="27"/>
  <c r="BC28" i="27"/>
  <c r="BC29" i="27"/>
  <c r="BC30" i="27"/>
  <c r="BC31" i="27"/>
  <c r="BC32" i="27"/>
  <c r="BC33" i="27"/>
  <c r="BC34" i="27"/>
  <c r="BD21" i="27"/>
  <c r="BD22" i="27"/>
  <c r="BD23" i="27"/>
  <c r="BD24" i="27"/>
  <c r="BD25" i="27"/>
  <c r="BD26" i="27"/>
  <c r="BD27" i="27"/>
  <c r="BD28" i="27"/>
  <c r="BD29" i="27"/>
  <c r="BD30" i="27"/>
  <c r="BD31" i="27"/>
  <c r="BD32" i="27"/>
  <c r="BD33" i="27"/>
  <c r="BD34" i="27"/>
  <c r="BE21" i="27"/>
  <c r="BE22" i="27"/>
  <c r="BE35" i="27" s="1"/>
  <c r="BC64" i="27" s="1"/>
  <c r="BE23" i="27"/>
  <c r="BE24" i="27"/>
  <c r="BE25" i="27"/>
  <c r="BE26" i="27"/>
  <c r="BE27" i="27"/>
  <c r="BE28" i="27"/>
  <c r="BE29" i="27"/>
  <c r="BE30" i="27"/>
  <c r="BE31" i="27"/>
  <c r="BE32" i="27"/>
  <c r="BE33" i="27"/>
  <c r="BE34" i="27"/>
  <c r="BF21" i="27"/>
  <c r="BF22" i="27"/>
  <c r="BF23" i="27"/>
  <c r="BF24" i="27"/>
  <c r="BF25" i="27"/>
  <c r="BF26" i="27"/>
  <c r="BF27" i="27"/>
  <c r="BF28" i="27"/>
  <c r="BF29" i="27"/>
  <c r="BF30" i="27"/>
  <c r="BF31" i="27"/>
  <c r="BF32" i="27"/>
  <c r="BF33" i="27"/>
  <c r="BF34" i="27"/>
  <c r="BB37" i="27"/>
  <c r="BB38" i="27"/>
  <c r="BB39" i="27"/>
  <c r="BB40" i="27"/>
  <c r="BB41" i="27"/>
  <c r="BB42" i="27"/>
  <c r="BB43" i="27"/>
  <c r="BB44" i="27"/>
  <c r="BB45" i="27"/>
  <c r="BB46" i="27"/>
  <c r="BB47" i="27"/>
  <c r="BB48" i="27"/>
  <c r="BB49" i="27"/>
  <c r="BB50" i="27"/>
  <c r="BB51" i="27"/>
  <c r="BB52" i="27"/>
  <c r="BC37" i="27"/>
  <c r="BC38" i="27"/>
  <c r="BC39" i="27"/>
  <c r="BC40" i="27"/>
  <c r="BC41" i="27"/>
  <c r="BC42" i="27"/>
  <c r="BC43" i="27"/>
  <c r="BC44" i="27"/>
  <c r="BC45" i="27"/>
  <c r="BC46" i="27"/>
  <c r="BC47" i="27"/>
  <c r="BC48" i="27"/>
  <c r="BC49" i="27"/>
  <c r="BC50" i="27"/>
  <c r="BC51" i="27"/>
  <c r="BC52" i="27"/>
  <c r="BD37" i="27"/>
  <c r="BD38" i="27"/>
  <c r="BD39" i="27"/>
  <c r="BD40" i="27"/>
  <c r="BD41" i="27"/>
  <c r="BD53" i="27" s="1"/>
  <c r="BC69" i="27" s="1"/>
  <c r="BD42" i="27"/>
  <c r="BD43" i="27"/>
  <c r="BD44" i="27"/>
  <c r="BD45" i="27"/>
  <c r="BD46" i="27"/>
  <c r="BD47" i="27"/>
  <c r="BD48" i="27"/>
  <c r="BD49" i="27"/>
  <c r="BD50" i="27"/>
  <c r="BD51" i="27"/>
  <c r="BD52" i="27"/>
  <c r="BE37" i="27"/>
  <c r="BE38" i="27"/>
  <c r="BE39" i="27"/>
  <c r="BE40" i="27"/>
  <c r="BE41" i="27"/>
  <c r="BE42" i="27"/>
  <c r="BE43" i="27"/>
  <c r="BE44" i="27"/>
  <c r="BE45" i="27"/>
  <c r="BE46" i="27"/>
  <c r="BE47" i="27"/>
  <c r="BE48" i="27"/>
  <c r="BE49" i="27"/>
  <c r="BE50" i="27"/>
  <c r="BE51" i="27"/>
  <c r="BE52" i="27"/>
  <c r="BF37" i="27"/>
  <c r="BF38" i="27"/>
  <c r="BF39" i="27"/>
  <c r="BF40" i="27"/>
  <c r="BF41" i="27"/>
  <c r="BF42" i="27"/>
  <c r="BF43" i="27"/>
  <c r="BF44" i="27"/>
  <c r="BF45" i="27"/>
  <c r="BF46" i="27"/>
  <c r="BF47" i="27"/>
  <c r="BF48" i="27"/>
  <c r="BF49" i="27"/>
  <c r="BF50" i="27"/>
  <c r="BF51" i="27"/>
  <c r="BF52" i="27"/>
  <c r="BB4" i="27"/>
  <c r="BB5" i="27"/>
  <c r="BB6" i="27"/>
  <c r="BB7" i="27"/>
  <c r="BB8" i="27"/>
  <c r="BB9" i="27"/>
  <c r="BB10" i="27"/>
  <c r="BB11" i="27"/>
  <c r="BB12" i="27"/>
  <c r="BB13" i="27"/>
  <c r="BB14" i="27"/>
  <c r="BB15" i="27"/>
  <c r="BB16" i="27"/>
  <c r="BB17" i="27"/>
  <c r="BB18" i="27"/>
  <c r="BC4" i="27"/>
  <c r="BC19" i="27" s="1"/>
  <c r="BC56" i="27" s="1"/>
  <c r="BC5" i="27"/>
  <c r="BC6" i="27"/>
  <c r="BC7" i="27"/>
  <c r="BC8" i="27"/>
  <c r="BC9" i="27"/>
  <c r="BC10" i="27"/>
  <c r="BC11" i="27"/>
  <c r="BC12" i="27"/>
  <c r="BC13" i="27"/>
  <c r="BC14" i="27"/>
  <c r="BC15" i="27"/>
  <c r="BC16" i="27"/>
  <c r="BC17" i="27"/>
  <c r="BC18" i="27"/>
  <c r="BD4" i="27"/>
  <c r="BD5" i="27"/>
  <c r="BD6" i="27"/>
  <c r="BD7" i="27"/>
  <c r="BD8" i="27"/>
  <c r="BD9" i="27"/>
  <c r="BD10" i="27"/>
  <c r="BD11" i="27"/>
  <c r="BD12" i="27"/>
  <c r="BD13" i="27"/>
  <c r="BD14" i="27"/>
  <c r="BD15" i="27"/>
  <c r="BD16" i="27"/>
  <c r="BD17" i="27"/>
  <c r="BD18" i="27"/>
  <c r="BE4" i="27"/>
  <c r="BE5" i="27"/>
  <c r="BE6" i="27"/>
  <c r="BE7" i="27"/>
  <c r="BE8" i="27"/>
  <c r="BE9" i="27"/>
  <c r="BE10" i="27"/>
  <c r="BE11" i="27"/>
  <c r="BE12" i="27"/>
  <c r="BE13" i="27"/>
  <c r="BE14" i="27"/>
  <c r="BE15" i="27"/>
  <c r="BE16" i="27"/>
  <c r="BE17" i="27"/>
  <c r="BE18" i="27"/>
  <c r="BF4" i="27"/>
  <c r="BF5" i="27"/>
  <c r="BF6" i="27"/>
  <c r="BF7" i="27"/>
  <c r="BF8" i="27"/>
  <c r="BF9" i="27"/>
  <c r="BF10" i="27"/>
  <c r="BF11" i="27"/>
  <c r="BF12" i="27"/>
  <c r="BF13" i="27"/>
  <c r="BF14" i="27"/>
  <c r="BF15" i="27"/>
  <c r="BF16" i="27"/>
  <c r="BF17" i="27"/>
  <c r="BF18" i="27"/>
  <c r="BF19" i="27"/>
  <c r="BF55" i="27" s="1"/>
  <c r="AS29" i="27"/>
  <c r="AA68" i="22" s="1"/>
  <c r="AA3" i="22" s="1"/>
  <c r="Z21" i="22"/>
  <c r="Z20" i="22"/>
  <c r="Z19" i="22"/>
  <c r="Z18" i="22"/>
  <c r="Z17" i="22"/>
  <c r="Z16" i="22"/>
  <c r="Z15" i="22"/>
  <c r="Z14" i="22"/>
  <c r="Z13" i="22"/>
  <c r="Z12" i="22"/>
  <c r="Z11" i="22"/>
  <c r="Z10" i="22"/>
  <c r="Z9" i="22"/>
  <c r="Z8" i="22"/>
  <c r="Z7" i="22"/>
  <c r="Z6" i="22"/>
  <c r="Z5" i="22"/>
  <c r="Z4" i="22"/>
  <c r="Z3" i="22"/>
  <c r="C21" i="27"/>
  <c r="C22" i="27"/>
  <c r="C23" i="27"/>
  <c r="C24" i="27"/>
  <c r="C25" i="27"/>
  <c r="C26" i="27"/>
  <c r="C27" i="27"/>
  <c r="C28" i="27"/>
  <c r="C35" i="27" s="1"/>
  <c r="C29" i="27"/>
  <c r="C30" i="27"/>
  <c r="C31" i="27"/>
  <c r="C32" i="27"/>
  <c r="C33" i="27"/>
  <c r="C34" i="27"/>
  <c r="D61" i="27"/>
  <c r="D21" i="27"/>
  <c r="D22" i="27"/>
  <c r="D23" i="27"/>
  <c r="D24" i="27"/>
  <c r="D25" i="27"/>
  <c r="D26" i="27"/>
  <c r="D27" i="27"/>
  <c r="D28" i="27"/>
  <c r="D35" i="27" s="1"/>
  <c r="D62" i="27" s="1"/>
  <c r="D29" i="27"/>
  <c r="D30" i="27"/>
  <c r="D31" i="27"/>
  <c r="D32" i="27"/>
  <c r="D33" i="27"/>
  <c r="D34" i="27"/>
  <c r="E21" i="27"/>
  <c r="E22" i="27"/>
  <c r="E23" i="27"/>
  <c r="E24" i="27"/>
  <c r="E25" i="27"/>
  <c r="E26" i="27"/>
  <c r="E27" i="27"/>
  <c r="E28" i="27"/>
  <c r="E35" i="27" s="1"/>
  <c r="D63" i="27" s="1"/>
  <c r="E29" i="27"/>
  <c r="E30" i="27"/>
  <c r="E31" i="27"/>
  <c r="E32" i="27"/>
  <c r="E33" i="27"/>
  <c r="E34" i="27"/>
  <c r="F21" i="27"/>
  <c r="F22" i="27"/>
  <c r="F23" i="27"/>
  <c r="F24" i="27"/>
  <c r="F25" i="27"/>
  <c r="F26" i="27"/>
  <c r="F27" i="27"/>
  <c r="F28" i="27"/>
  <c r="F35" i="27" s="1"/>
  <c r="D64" i="27" s="1"/>
  <c r="F29" i="27"/>
  <c r="F30" i="27"/>
  <c r="F31" i="27"/>
  <c r="F32" i="27"/>
  <c r="F33" i="27"/>
  <c r="F34" i="27"/>
  <c r="G21" i="27"/>
  <c r="G22" i="27"/>
  <c r="G23" i="27"/>
  <c r="G24" i="27"/>
  <c r="G25" i="27"/>
  <c r="G26" i="27"/>
  <c r="G27" i="27"/>
  <c r="G28" i="27"/>
  <c r="G35" i="27" s="1"/>
  <c r="G29" i="27"/>
  <c r="G30" i="27"/>
  <c r="G31" i="27"/>
  <c r="G32" i="27"/>
  <c r="G33" i="27"/>
  <c r="G34" i="27"/>
  <c r="G61" i="27"/>
  <c r="C37" i="27"/>
  <c r="C38" i="27"/>
  <c r="C53" i="27" s="1"/>
  <c r="D67" i="27" s="1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D37" i="27"/>
  <c r="D38" i="27"/>
  <c r="D39" i="27"/>
  <c r="D40" i="27"/>
  <c r="D53" i="27" s="1"/>
  <c r="D68" i="27" s="1"/>
  <c r="D41" i="27"/>
  <c r="D42" i="27"/>
  <c r="D43" i="27"/>
  <c r="D44" i="27"/>
  <c r="D45" i="27"/>
  <c r="D46" i="27"/>
  <c r="D47" i="27"/>
  <c r="D48" i="27"/>
  <c r="D49" i="27"/>
  <c r="D50" i="27"/>
  <c r="D51" i="27"/>
  <c r="D52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D70" i="27" s="1"/>
  <c r="G37" i="27"/>
  <c r="G38" i="27"/>
  <c r="G53" i="27" s="1"/>
  <c r="G67" i="27" s="1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56" i="27" s="1"/>
  <c r="E4" i="27"/>
  <c r="E5" i="27"/>
  <c r="E19" i="27" s="1"/>
  <c r="D57" i="27" s="1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F4" i="27"/>
  <c r="F19" i="27" s="1"/>
  <c r="D58" i="27" s="1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K21" i="27"/>
  <c r="K35" i="27" s="1"/>
  <c r="J63" i="27" s="1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L21" i="27"/>
  <c r="L35" i="27" s="1"/>
  <c r="J64" i="27" s="1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M21" i="27"/>
  <c r="M22" i="27"/>
  <c r="M23" i="27"/>
  <c r="M24" i="27"/>
  <c r="M25" i="27"/>
  <c r="M26" i="27"/>
  <c r="M27" i="27"/>
  <c r="M28" i="27"/>
  <c r="M29" i="27"/>
  <c r="M30" i="27"/>
  <c r="M31" i="27"/>
  <c r="M32" i="27"/>
  <c r="M33" i="27"/>
  <c r="M34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K37" i="27"/>
  <c r="K38" i="27"/>
  <c r="K39" i="27"/>
  <c r="K53" i="27" s="1"/>
  <c r="J69" i="27" s="1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M37" i="27"/>
  <c r="M38" i="27"/>
  <c r="M53" i="27" s="1"/>
  <c r="M67" i="27" s="1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I4" i="27"/>
  <c r="I19" i="27" s="1"/>
  <c r="J55" i="27" s="1"/>
  <c r="I5" i="27"/>
  <c r="I6" i="27"/>
  <c r="I7" i="27"/>
  <c r="I8" i="27"/>
  <c r="I9" i="27"/>
  <c r="I10" i="27"/>
  <c r="I11" i="27"/>
  <c r="I12" i="27"/>
  <c r="I13" i="27"/>
  <c r="I14" i="27"/>
  <c r="I15" i="27"/>
  <c r="I16" i="27"/>
  <c r="I17" i="27"/>
  <c r="I18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L4" i="27"/>
  <c r="L19" i="27" s="1"/>
  <c r="J58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M4" i="27"/>
  <c r="M19" i="27" s="1"/>
  <c r="M55" i="27" s="1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P29" i="27"/>
  <c r="M68" i="22"/>
  <c r="M3" i="22" s="1"/>
  <c r="L21" i="22"/>
  <c r="L20" i="22"/>
  <c r="L19" i="22"/>
  <c r="L18" i="22"/>
  <c r="L17" i="22"/>
  <c r="L16" i="22"/>
  <c r="L15" i="22"/>
  <c r="L14" i="22"/>
  <c r="L13" i="22"/>
  <c r="L12" i="22"/>
  <c r="L11" i="22"/>
  <c r="L10" i="22"/>
  <c r="L9" i="22"/>
  <c r="L8" i="22"/>
  <c r="L7" i="22"/>
  <c r="L6" i="22"/>
  <c r="L5" i="22"/>
  <c r="L4" i="22"/>
  <c r="L3" i="22"/>
  <c r="V22" i="23"/>
  <c r="V23" i="23"/>
  <c r="V24" i="23"/>
  <c r="V25" i="23"/>
  <c r="V26" i="23"/>
  <c r="V27" i="23"/>
  <c r="V28" i="23"/>
  <c r="V29" i="23"/>
  <c r="V30" i="23"/>
  <c r="V31" i="23"/>
  <c r="W22" i="23"/>
  <c r="W23" i="23"/>
  <c r="W24" i="23"/>
  <c r="W25" i="23"/>
  <c r="W26" i="23"/>
  <c r="W27" i="23"/>
  <c r="W28" i="23"/>
  <c r="W29" i="23"/>
  <c r="W30" i="23"/>
  <c r="W31" i="23"/>
  <c r="X22" i="23"/>
  <c r="X23" i="23"/>
  <c r="X24" i="23"/>
  <c r="X25" i="23"/>
  <c r="X26" i="23"/>
  <c r="X27" i="23"/>
  <c r="X28" i="23"/>
  <c r="X29" i="23"/>
  <c r="X30" i="23"/>
  <c r="X31" i="23"/>
  <c r="Y22" i="23"/>
  <c r="Y23" i="23"/>
  <c r="Y24" i="23"/>
  <c r="Y25" i="23"/>
  <c r="Y26" i="23"/>
  <c r="Y27" i="23"/>
  <c r="Y28" i="23"/>
  <c r="Y29" i="23"/>
  <c r="Y30" i="23"/>
  <c r="Y31" i="23"/>
  <c r="Z22" i="23"/>
  <c r="Z23" i="23"/>
  <c r="Z24" i="23"/>
  <c r="Z25" i="23"/>
  <c r="Z26" i="23"/>
  <c r="Z27" i="23"/>
  <c r="Z28" i="23"/>
  <c r="Z29" i="23"/>
  <c r="Z30" i="23"/>
  <c r="Z31" i="23"/>
  <c r="V6" i="23"/>
  <c r="V7" i="23"/>
  <c r="V8" i="23"/>
  <c r="V9" i="23"/>
  <c r="V10" i="23"/>
  <c r="V11" i="23"/>
  <c r="V12" i="23"/>
  <c r="V13" i="23"/>
  <c r="V14" i="23"/>
  <c r="V15" i="23"/>
  <c r="V16" i="23"/>
  <c r="V17" i="23"/>
  <c r="W6" i="23"/>
  <c r="W7" i="23"/>
  <c r="W8" i="23"/>
  <c r="W9" i="23"/>
  <c r="W10" i="23"/>
  <c r="W11" i="23"/>
  <c r="W12" i="23"/>
  <c r="W13" i="23"/>
  <c r="W14" i="23"/>
  <c r="W15" i="23"/>
  <c r="W16" i="23"/>
  <c r="W17" i="23"/>
  <c r="W18" i="23"/>
  <c r="W37" i="23" s="1"/>
  <c r="X6" i="23"/>
  <c r="X7" i="23"/>
  <c r="X18" i="23" s="1"/>
  <c r="W38" i="23" s="1"/>
  <c r="X8" i="23"/>
  <c r="X9" i="23"/>
  <c r="X10" i="23"/>
  <c r="X11" i="23"/>
  <c r="X12" i="23"/>
  <c r="X13" i="23"/>
  <c r="X14" i="23"/>
  <c r="X15" i="23"/>
  <c r="X16" i="23"/>
  <c r="X17" i="23"/>
  <c r="Y6" i="23"/>
  <c r="Y7" i="23"/>
  <c r="Y8" i="23"/>
  <c r="Y9" i="23"/>
  <c r="Y10" i="23"/>
  <c r="Y11" i="23"/>
  <c r="Y12" i="23"/>
  <c r="Y13" i="23"/>
  <c r="Y14" i="23"/>
  <c r="Y15" i="23"/>
  <c r="Y16" i="23"/>
  <c r="Y17" i="23"/>
  <c r="Z6" i="23"/>
  <c r="Z18" i="23" s="1"/>
  <c r="Z36" i="23" s="1"/>
  <c r="Z7" i="23"/>
  <c r="Z8" i="23"/>
  <c r="Z9" i="23"/>
  <c r="Z10" i="23"/>
  <c r="Z11" i="23"/>
  <c r="Z12" i="23"/>
  <c r="Z13" i="23"/>
  <c r="Z14" i="23"/>
  <c r="Z15" i="23"/>
  <c r="Z16" i="23"/>
  <c r="Z17" i="23"/>
  <c r="P22" i="23"/>
  <c r="P23" i="23"/>
  <c r="P24" i="23"/>
  <c r="P25" i="23"/>
  <c r="P26" i="23"/>
  <c r="P27" i="23"/>
  <c r="P28" i="23"/>
  <c r="P29" i="23"/>
  <c r="P30" i="23"/>
  <c r="P31" i="23"/>
  <c r="P32" i="23"/>
  <c r="Q43" i="23" s="1"/>
  <c r="Q22" i="23"/>
  <c r="Q23" i="23"/>
  <c r="Q32" i="23" s="1"/>
  <c r="Q44" i="23" s="1"/>
  <c r="Q24" i="23"/>
  <c r="Q25" i="23"/>
  <c r="Q26" i="23"/>
  <c r="Q27" i="23"/>
  <c r="Q28" i="23"/>
  <c r="Q29" i="23"/>
  <c r="Q30" i="23"/>
  <c r="Q31" i="23"/>
  <c r="R22" i="23"/>
  <c r="R23" i="23"/>
  <c r="R24" i="23"/>
  <c r="R25" i="23"/>
  <c r="R26" i="23"/>
  <c r="R27" i="23"/>
  <c r="R28" i="23"/>
  <c r="R29" i="23"/>
  <c r="R30" i="23"/>
  <c r="R31" i="23"/>
  <c r="R32" i="23"/>
  <c r="Q45" i="23" s="1"/>
  <c r="S22" i="23"/>
  <c r="S23" i="23"/>
  <c r="S32" i="23" s="1"/>
  <c r="Q46" i="23" s="1"/>
  <c r="S24" i="23"/>
  <c r="S25" i="23"/>
  <c r="S26" i="23"/>
  <c r="S27" i="23"/>
  <c r="S28" i="23"/>
  <c r="S29" i="23"/>
  <c r="S30" i="23"/>
  <c r="S31" i="23"/>
  <c r="T22" i="23"/>
  <c r="T23" i="23"/>
  <c r="T24" i="23"/>
  <c r="T25" i="23"/>
  <c r="T26" i="23"/>
  <c r="T27" i="23"/>
  <c r="T28" i="23"/>
  <c r="T29" i="23"/>
  <c r="T30" i="23"/>
  <c r="T31" i="23"/>
  <c r="T32" i="23"/>
  <c r="T43" i="23" s="1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Q36" i="23" s="1"/>
  <c r="Q6" i="23"/>
  <c r="Q7" i="23"/>
  <c r="Q8" i="23"/>
  <c r="Q9" i="23"/>
  <c r="Q10" i="23"/>
  <c r="Q11" i="23"/>
  <c r="Q12" i="23"/>
  <c r="Q13" i="23"/>
  <c r="Q14" i="23"/>
  <c r="Q15" i="23"/>
  <c r="Q16" i="23"/>
  <c r="Q17" i="23"/>
  <c r="R6" i="23"/>
  <c r="R7" i="23"/>
  <c r="R8" i="23"/>
  <c r="R9" i="23"/>
  <c r="R10" i="23"/>
  <c r="R11" i="23"/>
  <c r="R12" i="23"/>
  <c r="R13" i="23"/>
  <c r="R14" i="23"/>
  <c r="R15" i="23"/>
  <c r="R16" i="23"/>
  <c r="R17" i="23"/>
  <c r="S6" i="23"/>
  <c r="S7" i="23"/>
  <c r="S8" i="23"/>
  <c r="S9" i="23"/>
  <c r="S10" i="23"/>
  <c r="S11" i="23"/>
  <c r="S12" i="23"/>
  <c r="S13" i="23"/>
  <c r="S14" i="23"/>
  <c r="S15" i="23"/>
  <c r="S16" i="23"/>
  <c r="S17" i="23"/>
  <c r="T6" i="23"/>
  <c r="T7" i="23"/>
  <c r="T8" i="23"/>
  <c r="T9" i="23"/>
  <c r="T10" i="23"/>
  <c r="T11" i="23"/>
  <c r="T12" i="23"/>
  <c r="T13" i="23"/>
  <c r="T14" i="23"/>
  <c r="T15" i="23"/>
  <c r="T16" i="23"/>
  <c r="T17" i="23"/>
  <c r="T18" i="23"/>
  <c r="T36" i="23" s="1"/>
  <c r="V53" i="23"/>
  <c r="AA48" i="22"/>
  <c r="BM22" i="29"/>
  <c r="BM23" i="29"/>
  <c r="BM24" i="29"/>
  <c r="BM25" i="29"/>
  <c r="BM32" i="29" s="1"/>
  <c r="BN43" i="29" s="1"/>
  <c r="BM26" i="29"/>
  <c r="BM27" i="29"/>
  <c r="BM28" i="29"/>
  <c r="BM29" i="29"/>
  <c r="BM30" i="29"/>
  <c r="BM31" i="29"/>
  <c r="BN22" i="29"/>
  <c r="BN23" i="29"/>
  <c r="BN24" i="29"/>
  <c r="BN25" i="29"/>
  <c r="BN26" i="29"/>
  <c r="BN27" i="29"/>
  <c r="BN28" i="29"/>
  <c r="BN29" i="29"/>
  <c r="BN30" i="29"/>
  <c r="BN31" i="29"/>
  <c r="BO22" i="29"/>
  <c r="BO23" i="29"/>
  <c r="BO24" i="29"/>
  <c r="BO25" i="29"/>
  <c r="BO26" i="29"/>
  <c r="BO27" i="29"/>
  <c r="BO28" i="29"/>
  <c r="BO29" i="29"/>
  <c r="BO30" i="29"/>
  <c r="BO31" i="29"/>
  <c r="BP22" i="29"/>
  <c r="BP23" i="29"/>
  <c r="BP24" i="29"/>
  <c r="BP25" i="29"/>
  <c r="BP26" i="29"/>
  <c r="BP27" i="29"/>
  <c r="BP28" i="29"/>
  <c r="BP29" i="29"/>
  <c r="BP30" i="29"/>
  <c r="BP31" i="29"/>
  <c r="BQ22" i="29"/>
  <c r="BQ23" i="29"/>
  <c r="BQ24" i="29"/>
  <c r="BQ25" i="29"/>
  <c r="BQ32" i="29" s="1"/>
  <c r="BQ43" i="29" s="1"/>
  <c r="BQ26" i="29"/>
  <c r="BQ27" i="29"/>
  <c r="BQ28" i="29"/>
  <c r="BQ29" i="29"/>
  <c r="BQ30" i="29"/>
  <c r="BQ31" i="29"/>
  <c r="BM6" i="29"/>
  <c r="BM7" i="29"/>
  <c r="BM8" i="29"/>
  <c r="BM9" i="29"/>
  <c r="BM10" i="29"/>
  <c r="BM11" i="29"/>
  <c r="BM12" i="29"/>
  <c r="BM13" i="29"/>
  <c r="BM14" i="29"/>
  <c r="BM15" i="29"/>
  <c r="BM16" i="29"/>
  <c r="BM17" i="29"/>
  <c r="BN6" i="29"/>
  <c r="BN7" i="29"/>
  <c r="BN8" i="29"/>
  <c r="BN9" i="29"/>
  <c r="BN10" i="29"/>
  <c r="BN11" i="29"/>
  <c r="BN12" i="29"/>
  <c r="BN13" i="29"/>
  <c r="BN14" i="29"/>
  <c r="BN15" i="29"/>
  <c r="BN16" i="29"/>
  <c r="BN17" i="29"/>
  <c r="BO6" i="29"/>
  <c r="BO18" i="29" s="1"/>
  <c r="BN38" i="29" s="1"/>
  <c r="BO7" i="29"/>
  <c r="BO8" i="29"/>
  <c r="BO9" i="29"/>
  <c r="BO10" i="29"/>
  <c r="BO11" i="29"/>
  <c r="BO12" i="29"/>
  <c r="BO13" i="29"/>
  <c r="BO14" i="29"/>
  <c r="BO15" i="29"/>
  <c r="BO16" i="29"/>
  <c r="BO17" i="29"/>
  <c r="BP6" i="29"/>
  <c r="BP7" i="29"/>
  <c r="BP8" i="29"/>
  <c r="BP9" i="29"/>
  <c r="BP10" i="29"/>
  <c r="BP11" i="29"/>
  <c r="BP12" i="29"/>
  <c r="BP13" i="29"/>
  <c r="BP14" i="29"/>
  <c r="BP15" i="29"/>
  <c r="BP16" i="29"/>
  <c r="BP17" i="29"/>
  <c r="BP18" i="29"/>
  <c r="BN39" i="29" s="1"/>
  <c r="BQ6" i="29"/>
  <c r="BQ7" i="29"/>
  <c r="BQ8" i="29"/>
  <c r="BQ9" i="29"/>
  <c r="BQ10" i="29"/>
  <c r="BQ11" i="29"/>
  <c r="BQ12" i="29"/>
  <c r="BQ13" i="29"/>
  <c r="BQ14" i="29"/>
  <c r="BQ15" i="29"/>
  <c r="BQ16" i="29"/>
  <c r="BQ17" i="29"/>
  <c r="BG22" i="29"/>
  <c r="BG23" i="29"/>
  <c r="BG32" i="29" s="1"/>
  <c r="BH43" i="29" s="1"/>
  <c r="BG24" i="29"/>
  <c r="BG25" i="29"/>
  <c r="BG26" i="29"/>
  <c r="BG27" i="29"/>
  <c r="BG28" i="29"/>
  <c r="BG29" i="29"/>
  <c r="BG30" i="29"/>
  <c r="BG31" i="29"/>
  <c r="BH22" i="29"/>
  <c r="BH23" i="29"/>
  <c r="BH24" i="29"/>
  <c r="BH25" i="29"/>
  <c r="BH26" i="29"/>
  <c r="BH27" i="29"/>
  <c r="BH28" i="29"/>
  <c r="BH29" i="29"/>
  <c r="BH30" i="29"/>
  <c r="BH31" i="29"/>
  <c r="BH32" i="29"/>
  <c r="BH44" i="29" s="1"/>
  <c r="BI22" i="29"/>
  <c r="BI23" i="29"/>
  <c r="BI24" i="29"/>
  <c r="BI25" i="29"/>
  <c r="BI26" i="29"/>
  <c r="BI27" i="29"/>
  <c r="BI28" i="29"/>
  <c r="BI29" i="29"/>
  <c r="BI30" i="29"/>
  <c r="BI31" i="29"/>
  <c r="BJ22" i="29"/>
  <c r="BJ23" i="29"/>
  <c r="BJ24" i="29"/>
  <c r="BJ25" i="29"/>
  <c r="BJ26" i="29"/>
  <c r="BJ27" i="29"/>
  <c r="BJ28" i="29"/>
  <c r="BJ29" i="29"/>
  <c r="BJ30" i="29"/>
  <c r="BJ31" i="29"/>
  <c r="BJ32" i="29"/>
  <c r="BH46" i="29" s="1"/>
  <c r="BK22" i="29"/>
  <c r="BK23" i="29"/>
  <c r="BK24" i="29"/>
  <c r="BK25" i="29"/>
  <c r="BK26" i="29"/>
  <c r="BK27" i="29"/>
  <c r="BK28" i="29"/>
  <c r="BK29" i="29"/>
  <c r="BK30" i="29"/>
  <c r="BK31" i="29"/>
  <c r="BG6" i="29"/>
  <c r="BG7" i="29"/>
  <c r="BG8" i="29"/>
  <c r="BG9" i="29"/>
  <c r="BG10" i="29"/>
  <c r="BG11" i="29"/>
  <c r="BG12" i="29"/>
  <c r="BG13" i="29"/>
  <c r="BG14" i="29"/>
  <c r="BG15" i="29"/>
  <c r="BG16" i="29"/>
  <c r="BG17" i="29"/>
  <c r="BH6" i="29"/>
  <c r="BH18" i="29" s="1"/>
  <c r="BH37" i="29" s="1"/>
  <c r="BH7" i="29"/>
  <c r="BH8" i="29"/>
  <c r="BH9" i="29"/>
  <c r="BH10" i="29"/>
  <c r="BH11" i="29"/>
  <c r="BH12" i="29"/>
  <c r="BH13" i="29"/>
  <c r="BH14" i="29"/>
  <c r="BH15" i="29"/>
  <c r="BH16" i="29"/>
  <c r="BH17" i="29"/>
  <c r="BI6" i="29"/>
  <c r="BI7" i="29"/>
  <c r="BI8" i="29"/>
  <c r="BI9" i="29"/>
  <c r="BI10" i="29"/>
  <c r="BI11" i="29"/>
  <c r="BI12" i="29"/>
  <c r="BI13" i="29"/>
  <c r="BI14" i="29"/>
  <c r="BI15" i="29"/>
  <c r="BI16" i="29"/>
  <c r="BI17" i="29"/>
  <c r="BI18" i="29"/>
  <c r="BH38" i="29" s="1"/>
  <c r="BJ6" i="29"/>
  <c r="BJ7" i="29"/>
  <c r="BJ18" i="29" s="1"/>
  <c r="BH39" i="29" s="1"/>
  <c r="BJ8" i="29"/>
  <c r="BJ9" i="29"/>
  <c r="BJ10" i="29"/>
  <c r="BJ11" i="29"/>
  <c r="BJ12" i="29"/>
  <c r="BJ13" i="29"/>
  <c r="BJ14" i="29"/>
  <c r="BJ15" i="29"/>
  <c r="BJ16" i="29"/>
  <c r="BJ17" i="29"/>
  <c r="BK6" i="29"/>
  <c r="BK7" i="29"/>
  <c r="BK8" i="29"/>
  <c r="BK9" i="29"/>
  <c r="BK10" i="29"/>
  <c r="BK11" i="29"/>
  <c r="BK12" i="29"/>
  <c r="BK13" i="29"/>
  <c r="BK14" i="29"/>
  <c r="BK15" i="29"/>
  <c r="BK16" i="29"/>
  <c r="BK17" i="29"/>
  <c r="BY22" i="29"/>
  <c r="BY23" i="29"/>
  <c r="BY24" i="29"/>
  <c r="BY25" i="29"/>
  <c r="BY26" i="29"/>
  <c r="BY27" i="29"/>
  <c r="BY28" i="29"/>
  <c r="BY29" i="29"/>
  <c r="BY30" i="29"/>
  <c r="BY31" i="29"/>
  <c r="BZ22" i="29"/>
  <c r="BZ23" i="29"/>
  <c r="BZ24" i="29"/>
  <c r="BZ25" i="29"/>
  <c r="BZ26" i="29"/>
  <c r="BZ27" i="29"/>
  <c r="BZ28" i="29"/>
  <c r="BZ29" i="29"/>
  <c r="BZ30" i="29"/>
  <c r="BZ31" i="29"/>
  <c r="CA22" i="29"/>
  <c r="CA23" i="29"/>
  <c r="CA24" i="29"/>
  <c r="CA25" i="29"/>
  <c r="CA26" i="29"/>
  <c r="CA27" i="29"/>
  <c r="CA28" i="29"/>
  <c r="CA29" i="29"/>
  <c r="CA30" i="29"/>
  <c r="CA31" i="29"/>
  <c r="CB22" i="29"/>
  <c r="CB23" i="29"/>
  <c r="CB24" i="29"/>
  <c r="CB25" i="29"/>
  <c r="CB32" i="29" s="1"/>
  <c r="BZ46" i="29" s="1"/>
  <c r="CB26" i="29"/>
  <c r="CB27" i="29"/>
  <c r="CB28" i="29"/>
  <c r="CB29" i="29"/>
  <c r="CB30" i="29"/>
  <c r="CB31" i="29"/>
  <c r="CC22" i="29"/>
  <c r="CC23" i="29"/>
  <c r="CC24" i="29"/>
  <c r="CC25" i="29"/>
  <c r="CC26" i="29"/>
  <c r="CC27" i="29"/>
  <c r="CC28" i="29"/>
  <c r="CC29" i="29"/>
  <c r="CC30" i="29"/>
  <c r="CC31" i="29"/>
  <c r="BY6" i="29"/>
  <c r="BY7" i="29"/>
  <c r="BY8" i="29"/>
  <c r="BY9" i="29"/>
  <c r="BY10" i="29"/>
  <c r="BY11" i="29"/>
  <c r="BY12" i="29"/>
  <c r="BY13" i="29"/>
  <c r="BY14" i="29"/>
  <c r="BY15" i="29"/>
  <c r="BY16" i="29"/>
  <c r="BY17" i="29"/>
  <c r="BZ6" i="29"/>
  <c r="BZ7" i="29"/>
  <c r="BZ8" i="29"/>
  <c r="BZ9" i="29"/>
  <c r="BZ10" i="29"/>
  <c r="BZ11" i="29"/>
  <c r="BZ12" i="29"/>
  <c r="BZ13" i="29"/>
  <c r="BZ14" i="29"/>
  <c r="BZ15" i="29"/>
  <c r="BZ16" i="29"/>
  <c r="BZ17" i="29"/>
  <c r="BZ18" i="29"/>
  <c r="BZ37" i="29" s="1"/>
  <c r="CA6" i="29"/>
  <c r="CA7" i="29"/>
  <c r="CA18" i="29" s="1"/>
  <c r="BZ38" i="29" s="1"/>
  <c r="CA8" i="29"/>
  <c r="CA9" i="29"/>
  <c r="CA10" i="29"/>
  <c r="CA11" i="29"/>
  <c r="CA12" i="29"/>
  <c r="CA13" i="29"/>
  <c r="CA14" i="29"/>
  <c r="CA15" i="29"/>
  <c r="CA16" i="29"/>
  <c r="CA17" i="29"/>
  <c r="CB6" i="29"/>
  <c r="CB7" i="29"/>
  <c r="CB8" i="29"/>
  <c r="CB9" i="29"/>
  <c r="CB10" i="29"/>
  <c r="CB11" i="29"/>
  <c r="CB12" i="29"/>
  <c r="CB13" i="29"/>
  <c r="CB14" i="29"/>
  <c r="CB15" i="29"/>
  <c r="CB16" i="29"/>
  <c r="CB17" i="29"/>
  <c r="CC6" i="29"/>
  <c r="CC7" i="29"/>
  <c r="CC8" i="29"/>
  <c r="CC9" i="29"/>
  <c r="CC10" i="29"/>
  <c r="CC11" i="29"/>
  <c r="CC12" i="29"/>
  <c r="CC13" i="29"/>
  <c r="CC14" i="29"/>
  <c r="CC15" i="29"/>
  <c r="CC16" i="29"/>
  <c r="CC17" i="29"/>
  <c r="BS22" i="29"/>
  <c r="BS23" i="29"/>
  <c r="BS24" i="29"/>
  <c r="BS25" i="29"/>
  <c r="BS26" i="29"/>
  <c r="BS27" i="29"/>
  <c r="BS28" i="29"/>
  <c r="BS29" i="29"/>
  <c r="BS30" i="29"/>
  <c r="BS31" i="29"/>
  <c r="BS32" i="29"/>
  <c r="BT43" i="29" s="1"/>
  <c r="BT22" i="29"/>
  <c r="BT23" i="29"/>
  <c r="BT24" i="29"/>
  <c r="BT25" i="29"/>
  <c r="BT26" i="29"/>
  <c r="BT27" i="29"/>
  <c r="BT28" i="29"/>
  <c r="BT29" i="29"/>
  <c r="BT30" i="29"/>
  <c r="BT31" i="29"/>
  <c r="BU22" i="29"/>
  <c r="BU23" i="29"/>
  <c r="BU24" i="29"/>
  <c r="BU25" i="29"/>
  <c r="BU26" i="29"/>
  <c r="BU27" i="29"/>
  <c r="BU28" i="29"/>
  <c r="BU29" i="29"/>
  <c r="BU30" i="29"/>
  <c r="BU31" i="29"/>
  <c r="BU32" i="29"/>
  <c r="BT45" i="29" s="1"/>
  <c r="BV22" i="29"/>
  <c r="BV23" i="29"/>
  <c r="BV32" i="29" s="1"/>
  <c r="BT46" i="29" s="1"/>
  <c r="BV24" i="29"/>
  <c r="BV25" i="29"/>
  <c r="BV26" i="29"/>
  <c r="BV27" i="29"/>
  <c r="BV28" i="29"/>
  <c r="BV29" i="29"/>
  <c r="BV30" i="29"/>
  <c r="BV31" i="29"/>
  <c r="BW22" i="29"/>
  <c r="BW23" i="29"/>
  <c r="BW24" i="29"/>
  <c r="BW25" i="29"/>
  <c r="BW26" i="29"/>
  <c r="BW27" i="29"/>
  <c r="BW28" i="29"/>
  <c r="BW29" i="29"/>
  <c r="BW30" i="29"/>
  <c r="BW31" i="29"/>
  <c r="BW32" i="29"/>
  <c r="BW43" i="29" s="1"/>
  <c r="BS6" i="29"/>
  <c r="BS7" i="29"/>
  <c r="BS8" i="29"/>
  <c r="BS9" i="29"/>
  <c r="BS10" i="29"/>
  <c r="BS11" i="29"/>
  <c r="BS12" i="29"/>
  <c r="BS13" i="29"/>
  <c r="BS14" i="29"/>
  <c r="BS15" i="29"/>
  <c r="BS16" i="29"/>
  <c r="BS17" i="29"/>
  <c r="BS18" i="29"/>
  <c r="BT36" i="29" s="1"/>
  <c r="BT6" i="29"/>
  <c r="BT7" i="29"/>
  <c r="BT8" i="29"/>
  <c r="BT9" i="29"/>
  <c r="BT10" i="29"/>
  <c r="BT11" i="29"/>
  <c r="BT12" i="29"/>
  <c r="BT13" i="29"/>
  <c r="BT14" i="29"/>
  <c r="BT15" i="29"/>
  <c r="BT16" i="29"/>
  <c r="BT17" i="29"/>
  <c r="BU6" i="29"/>
  <c r="BU7" i="29"/>
  <c r="BU8" i="29"/>
  <c r="BU9" i="29"/>
  <c r="BU10" i="29"/>
  <c r="BU11" i="29"/>
  <c r="BU12" i="29"/>
  <c r="BU13" i="29"/>
  <c r="BU14" i="29"/>
  <c r="BU15" i="29"/>
  <c r="BU16" i="29"/>
  <c r="BU17" i="29"/>
  <c r="BV6" i="29"/>
  <c r="BV18" i="29" s="1"/>
  <c r="BT39" i="29" s="1"/>
  <c r="BV7" i="29"/>
  <c r="BV8" i="29"/>
  <c r="BV9" i="29"/>
  <c r="BV10" i="29"/>
  <c r="BV11" i="29"/>
  <c r="BV12" i="29"/>
  <c r="BV13" i="29"/>
  <c r="BV14" i="29"/>
  <c r="BV15" i="29"/>
  <c r="BV16" i="29"/>
  <c r="BV17" i="29"/>
  <c r="BW6" i="29"/>
  <c r="BW7" i="29"/>
  <c r="BW8" i="29"/>
  <c r="BW9" i="29"/>
  <c r="BW10" i="29"/>
  <c r="BW11" i="29"/>
  <c r="BW12" i="29"/>
  <c r="BW13" i="29"/>
  <c r="BW14" i="29"/>
  <c r="BW15" i="29"/>
  <c r="BW16" i="29"/>
  <c r="BW17" i="29"/>
  <c r="BW18" i="29"/>
  <c r="BW36" i="29" s="1"/>
  <c r="BB37" i="30"/>
  <c r="BB38" i="30"/>
  <c r="BB53" i="30" s="1"/>
  <c r="BC67" i="30" s="1"/>
  <c r="BB39" i="30"/>
  <c r="BB40" i="30"/>
  <c r="BB41" i="30"/>
  <c r="BB42" i="30"/>
  <c r="BB43" i="30"/>
  <c r="BB44" i="30"/>
  <c r="BB45" i="30"/>
  <c r="BB46" i="30"/>
  <c r="BB47" i="30"/>
  <c r="BB48" i="30"/>
  <c r="BB49" i="30"/>
  <c r="BB50" i="30"/>
  <c r="BB51" i="30"/>
  <c r="BB52" i="30"/>
  <c r="BC37" i="30"/>
  <c r="BC38" i="30"/>
  <c r="BC39" i="30"/>
  <c r="BC40" i="30"/>
  <c r="BC41" i="30"/>
  <c r="BC42" i="30"/>
  <c r="BC43" i="30"/>
  <c r="BC44" i="30"/>
  <c r="BC45" i="30"/>
  <c r="BC46" i="30"/>
  <c r="BC47" i="30"/>
  <c r="BC48" i="30"/>
  <c r="BC49" i="30"/>
  <c r="BC50" i="30"/>
  <c r="BC51" i="30"/>
  <c r="BC52" i="30"/>
  <c r="BD37" i="30"/>
  <c r="BD38" i="30"/>
  <c r="BD39" i="30"/>
  <c r="BD40" i="30"/>
  <c r="BD41" i="30"/>
  <c r="BD42" i="30"/>
  <c r="BD43" i="30"/>
  <c r="BD44" i="30"/>
  <c r="BD45" i="30"/>
  <c r="BD46" i="30"/>
  <c r="BD47" i="30"/>
  <c r="BD48" i="30"/>
  <c r="BD49" i="30"/>
  <c r="BD50" i="30"/>
  <c r="BD51" i="30"/>
  <c r="BD52" i="30"/>
  <c r="BE37" i="30"/>
  <c r="BE38" i="30"/>
  <c r="BE39" i="30"/>
  <c r="BE40" i="30"/>
  <c r="BE41" i="30"/>
  <c r="BE53" i="30" s="1"/>
  <c r="BC70" i="30" s="1"/>
  <c r="BE42" i="30"/>
  <c r="BE43" i="30"/>
  <c r="BE44" i="30"/>
  <c r="BE45" i="30"/>
  <c r="BE46" i="30"/>
  <c r="BE47" i="30"/>
  <c r="BE48" i="30"/>
  <c r="BE49" i="30"/>
  <c r="BE50" i="30"/>
  <c r="BE51" i="30"/>
  <c r="BE52" i="30"/>
  <c r="BF37" i="30"/>
  <c r="BF38" i="30"/>
  <c r="BF39" i="30"/>
  <c r="BF40" i="30"/>
  <c r="BF41" i="30"/>
  <c r="BF42" i="30"/>
  <c r="BF43" i="30"/>
  <c r="BF44" i="30"/>
  <c r="BF45" i="30"/>
  <c r="BF46" i="30"/>
  <c r="BF47" i="30"/>
  <c r="BF48" i="30"/>
  <c r="BF49" i="30"/>
  <c r="BF50" i="30"/>
  <c r="BF51" i="30"/>
  <c r="BF52" i="30"/>
  <c r="BB21" i="30"/>
  <c r="BB22" i="30"/>
  <c r="BB23" i="30"/>
  <c r="BB24" i="30"/>
  <c r="BB25" i="30"/>
  <c r="BB26" i="30"/>
  <c r="BB27" i="30"/>
  <c r="BB28" i="30"/>
  <c r="BB29" i="30"/>
  <c r="BB30" i="30"/>
  <c r="BB31" i="30"/>
  <c r="BB32" i="30"/>
  <c r="BB33" i="30"/>
  <c r="BB34" i="30"/>
  <c r="BB35" i="30"/>
  <c r="BC61" i="30" s="1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62" i="30" s="1"/>
  <c r="BD21" i="30"/>
  <c r="BD22" i="30"/>
  <c r="BD23" i="30"/>
  <c r="BD24" i="30"/>
  <c r="BD25" i="30"/>
  <c r="BD26" i="30"/>
  <c r="BD27" i="30"/>
  <c r="BD28" i="30"/>
  <c r="BD29" i="30"/>
  <c r="BD30" i="30"/>
  <c r="BD31" i="30"/>
  <c r="BD32" i="30"/>
  <c r="BD33" i="30"/>
  <c r="BD34" i="30"/>
  <c r="BD35" i="30"/>
  <c r="BC63" i="30" s="1"/>
  <c r="BE21" i="30"/>
  <c r="BE22" i="30"/>
  <c r="BE23" i="30"/>
  <c r="BE24" i="30"/>
  <c r="BE25" i="30"/>
  <c r="BE26" i="30"/>
  <c r="BE27" i="30"/>
  <c r="BE28" i="30"/>
  <c r="BE29" i="30"/>
  <c r="BE30" i="30"/>
  <c r="BE31" i="30"/>
  <c r="BE32" i="30"/>
  <c r="BE33" i="30"/>
  <c r="BE34" i="30"/>
  <c r="BE35" i="30"/>
  <c r="BC64" i="30" s="1"/>
  <c r="BF21" i="30"/>
  <c r="BF22" i="30"/>
  <c r="BF23" i="30"/>
  <c r="BF24" i="30"/>
  <c r="BF25" i="30"/>
  <c r="BF26" i="30"/>
  <c r="BF27" i="30"/>
  <c r="BF28" i="30"/>
  <c r="BF29" i="30"/>
  <c r="BF30" i="30"/>
  <c r="BF31" i="30"/>
  <c r="BF32" i="30"/>
  <c r="BF33" i="30"/>
  <c r="BF34" i="30"/>
  <c r="BF35" i="30"/>
  <c r="BF61" i="30" s="1"/>
  <c r="BB4" i="30"/>
  <c r="BB5" i="30"/>
  <c r="BB6" i="30"/>
  <c r="BB7" i="30"/>
  <c r="BB8" i="30"/>
  <c r="BB9" i="30"/>
  <c r="BB10" i="30"/>
  <c r="BB11" i="30"/>
  <c r="BB12" i="30"/>
  <c r="BB13" i="30"/>
  <c r="BB14" i="30"/>
  <c r="BB15" i="30"/>
  <c r="BB16" i="30"/>
  <c r="BB17" i="30"/>
  <c r="BB18" i="30"/>
  <c r="BC4" i="30"/>
  <c r="BC19" i="30" s="1"/>
  <c r="BC56" i="30" s="1"/>
  <c r="BC5" i="30"/>
  <c r="BC6" i="30"/>
  <c r="BC7" i="30"/>
  <c r="BC8" i="30"/>
  <c r="BC9" i="30"/>
  <c r="BC10" i="30"/>
  <c r="BC11" i="30"/>
  <c r="BC12" i="30"/>
  <c r="BC13" i="30"/>
  <c r="BC14" i="30"/>
  <c r="BC15" i="30"/>
  <c r="BC16" i="30"/>
  <c r="BC17" i="30"/>
  <c r="BC18" i="30"/>
  <c r="BD4" i="30"/>
  <c r="BD5" i="30"/>
  <c r="BD6" i="30"/>
  <c r="BD7" i="30"/>
  <c r="BD8" i="30"/>
  <c r="BD9" i="30"/>
  <c r="BD10" i="30"/>
  <c r="BD11" i="30"/>
  <c r="BD12" i="30"/>
  <c r="BD13" i="30"/>
  <c r="BD14" i="30"/>
  <c r="BD15" i="30"/>
  <c r="BD16" i="30"/>
  <c r="BD17" i="30"/>
  <c r="BD18" i="30"/>
  <c r="BE4" i="30"/>
  <c r="BE5" i="30"/>
  <c r="BE6" i="30"/>
  <c r="BE7" i="30"/>
  <c r="BE8" i="30"/>
  <c r="BE9" i="30"/>
  <c r="BE10" i="30"/>
  <c r="BE11" i="30"/>
  <c r="BE12" i="30"/>
  <c r="BE13" i="30"/>
  <c r="BE14" i="30"/>
  <c r="BE15" i="30"/>
  <c r="BE16" i="30"/>
  <c r="BE17" i="30"/>
  <c r="BE18" i="30"/>
  <c r="BF4" i="30"/>
  <c r="BF5" i="30"/>
  <c r="BF6" i="30"/>
  <c r="BF7" i="30"/>
  <c r="BF8" i="30"/>
  <c r="BF9" i="30"/>
  <c r="BF10" i="30"/>
  <c r="BF11" i="30"/>
  <c r="BF12" i="30"/>
  <c r="BF13" i="30"/>
  <c r="BF14" i="30"/>
  <c r="BF15" i="30"/>
  <c r="BF16" i="30"/>
  <c r="BF17" i="30"/>
  <c r="BF18" i="30"/>
  <c r="BF19" i="30"/>
  <c r="BF55" i="30" s="1"/>
  <c r="AV37" i="30"/>
  <c r="AV38" i="30"/>
  <c r="AV39" i="30"/>
  <c r="AV40" i="30"/>
  <c r="AV41" i="30"/>
  <c r="AV42" i="30"/>
  <c r="AV43" i="30"/>
  <c r="AV44" i="30"/>
  <c r="AV45" i="30"/>
  <c r="AV46" i="30"/>
  <c r="AV47" i="30"/>
  <c r="AV48" i="30"/>
  <c r="AV49" i="30"/>
  <c r="AV50" i="30"/>
  <c r="AV51" i="30"/>
  <c r="AV52" i="30"/>
  <c r="AW37" i="30"/>
  <c r="AW38" i="30"/>
  <c r="AW39" i="30"/>
  <c r="AW40" i="30"/>
  <c r="AW41" i="30"/>
  <c r="AW42" i="30"/>
  <c r="AW43" i="30"/>
  <c r="AW44" i="30"/>
  <c r="AW45" i="30"/>
  <c r="AW46" i="30"/>
  <c r="AW47" i="30"/>
  <c r="AW48" i="30"/>
  <c r="AW49" i="30"/>
  <c r="AW50" i="30"/>
  <c r="AW51" i="30"/>
  <c r="AW52" i="30"/>
  <c r="AX37" i="30"/>
  <c r="AX38" i="30"/>
  <c r="AX39" i="30"/>
  <c r="AX40" i="30"/>
  <c r="AX41" i="30"/>
  <c r="AX42" i="30"/>
  <c r="AX43" i="30"/>
  <c r="AX44" i="30"/>
  <c r="AX45" i="30"/>
  <c r="AX46" i="30"/>
  <c r="AX47" i="30"/>
  <c r="AX48" i="30"/>
  <c r="AX49" i="30"/>
  <c r="AX50" i="30"/>
  <c r="AX51" i="30"/>
  <c r="AX52" i="30"/>
  <c r="AY37" i="30"/>
  <c r="AY38" i="30"/>
  <c r="AY39" i="30"/>
  <c r="AY40" i="30"/>
  <c r="AY41" i="30"/>
  <c r="AY42" i="30"/>
  <c r="AY43" i="30"/>
  <c r="AY44" i="30"/>
  <c r="AY45" i="30"/>
  <c r="AY46" i="30"/>
  <c r="AY47" i="30"/>
  <c r="AY48" i="30"/>
  <c r="AY49" i="30"/>
  <c r="AY50" i="30"/>
  <c r="AY51" i="30"/>
  <c r="AY52" i="30"/>
  <c r="AZ37" i="30"/>
  <c r="AZ38" i="30"/>
  <c r="AZ53" i="30" s="1"/>
  <c r="AZ67" i="30" s="1"/>
  <c r="AZ39" i="30"/>
  <c r="AZ40" i="30"/>
  <c r="AZ41" i="30"/>
  <c r="AZ42" i="30"/>
  <c r="AZ43" i="30"/>
  <c r="AZ44" i="30"/>
  <c r="AZ45" i="30"/>
  <c r="AZ46" i="30"/>
  <c r="AZ47" i="30"/>
  <c r="AZ48" i="30"/>
  <c r="AZ49" i="30"/>
  <c r="AZ50" i="30"/>
  <c r="AZ51" i="30"/>
  <c r="AZ52" i="30"/>
  <c r="AV21" i="30"/>
  <c r="AV22" i="30"/>
  <c r="AV23" i="30"/>
  <c r="AV24" i="30"/>
  <c r="AV25" i="30"/>
  <c r="AV26" i="30"/>
  <c r="AV27" i="30"/>
  <c r="AV28" i="30"/>
  <c r="AV29" i="30"/>
  <c r="AV30" i="30"/>
  <c r="AV31" i="30"/>
  <c r="AV32" i="30"/>
  <c r="AV33" i="30"/>
  <c r="AV34" i="30"/>
  <c r="AV35" i="30"/>
  <c r="AW61" i="30" s="1"/>
  <c r="AW21" i="30"/>
  <c r="AW22" i="30"/>
  <c r="AW23" i="30"/>
  <c r="AW24" i="30"/>
  <c r="AW25" i="30"/>
  <c r="AW26" i="30"/>
  <c r="AW27" i="30"/>
  <c r="AW28" i="30"/>
  <c r="AW29" i="30"/>
  <c r="AW30" i="30"/>
  <c r="AW31" i="30"/>
  <c r="AW32" i="30"/>
  <c r="AW33" i="30"/>
  <c r="AW34" i="30"/>
  <c r="AW35" i="30"/>
  <c r="AW62" i="30" s="1"/>
  <c r="AX21" i="30"/>
  <c r="AX22" i="30"/>
  <c r="AX23" i="30"/>
  <c r="AX24" i="30"/>
  <c r="AX25" i="30"/>
  <c r="AX26" i="30"/>
  <c r="AX27" i="30"/>
  <c r="AX28" i="30"/>
  <c r="AX35" i="30" s="1"/>
  <c r="AW63" i="30" s="1"/>
  <c r="AX29" i="30"/>
  <c r="AX30" i="30"/>
  <c r="AX31" i="30"/>
  <c r="AX32" i="30"/>
  <c r="AX33" i="30"/>
  <c r="AX34" i="30"/>
  <c r="AY21" i="30"/>
  <c r="AY22" i="30"/>
  <c r="AY23" i="30"/>
  <c r="AY24" i="30"/>
  <c r="AY25" i="30"/>
  <c r="AY26" i="30"/>
  <c r="AY27" i="30"/>
  <c r="AY28" i="30"/>
  <c r="AY35" i="30" s="1"/>
  <c r="AW64" i="30" s="1"/>
  <c r="AY29" i="30"/>
  <c r="AY30" i="30"/>
  <c r="AY31" i="30"/>
  <c r="AY32" i="30"/>
  <c r="AY33" i="30"/>
  <c r="AY34" i="30"/>
  <c r="AZ21" i="30"/>
  <c r="AZ22" i="30"/>
  <c r="AZ23" i="30"/>
  <c r="AZ24" i="30"/>
  <c r="AZ25" i="30"/>
  <c r="AZ26" i="30"/>
  <c r="AZ27" i="30"/>
  <c r="AZ28" i="30"/>
  <c r="AZ35" i="30" s="1"/>
  <c r="AZ61" i="30" s="1"/>
  <c r="AZ29" i="30"/>
  <c r="AZ30" i="30"/>
  <c r="AZ31" i="30"/>
  <c r="AZ32" i="30"/>
  <c r="AZ33" i="30"/>
  <c r="AZ34" i="30"/>
  <c r="AV4" i="30"/>
  <c r="AV5" i="30"/>
  <c r="AV6" i="30"/>
  <c r="AV7" i="30"/>
  <c r="AV8" i="30"/>
  <c r="AV9" i="30"/>
  <c r="AV10" i="30"/>
  <c r="AV11" i="30"/>
  <c r="AV12" i="30"/>
  <c r="AV13" i="30"/>
  <c r="AV14" i="30"/>
  <c r="AV15" i="30"/>
  <c r="AV16" i="30"/>
  <c r="AV17" i="30"/>
  <c r="AV18" i="30"/>
  <c r="AW4" i="30"/>
  <c r="AW19" i="30" s="1"/>
  <c r="AW56" i="30" s="1"/>
  <c r="AW5" i="30"/>
  <c r="AW6" i="30"/>
  <c r="AW7" i="30"/>
  <c r="AW8" i="30"/>
  <c r="AW9" i="30"/>
  <c r="AW10" i="30"/>
  <c r="AW11" i="30"/>
  <c r="AW12" i="30"/>
  <c r="AW13" i="30"/>
  <c r="AW14" i="30"/>
  <c r="AW15" i="30"/>
  <c r="AW16" i="30"/>
  <c r="AW17" i="30"/>
  <c r="AW18" i="30"/>
  <c r="AX4" i="30"/>
  <c r="AX5" i="30"/>
  <c r="AX6" i="30"/>
  <c r="AX7" i="30"/>
  <c r="AX8" i="30"/>
  <c r="AX9" i="30"/>
  <c r="AX10" i="30"/>
  <c r="AX11" i="30"/>
  <c r="AX12" i="30"/>
  <c r="AX13" i="30"/>
  <c r="AX14" i="30"/>
  <c r="AX15" i="30"/>
  <c r="AX16" i="30"/>
  <c r="AX17" i="30"/>
  <c r="AX18" i="30"/>
  <c r="AY4" i="30"/>
  <c r="AY5" i="30"/>
  <c r="AY6" i="30"/>
  <c r="AY7" i="30"/>
  <c r="AY8" i="30"/>
  <c r="AY9" i="30"/>
  <c r="AY10" i="30"/>
  <c r="AY11" i="30"/>
  <c r="AY12" i="30"/>
  <c r="AY13" i="30"/>
  <c r="AY14" i="30"/>
  <c r="AY15" i="30"/>
  <c r="AY16" i="30"/>
  <c r="AY17" i="30"/>
  <c r="AY18" i="30"/>
  <c r="AZ4" i="30"/>
  <c r="AZ5" i="30"/>
  <c r="AZ6" i="30"/>
  <c r="AZ7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55" i="30" s="1"/>
  <c r="AS14" i="30"/>
  <c r="AA88" i="22"/>
  <c r="AV34" i="33"/>
  <c r="AV35" i="33"/>
  <c r="AV36" i="33"/>
  <c r="AV37" i="33"/>
  <c r="AV38" i="33"/>
  <c r="AV39" i="33"/>
  <c r="AV40" i="33"/>
  <c r="AV41" i="33"/>
  <c r="AV42" i="33"/>
  <c r="AV43" i="33"/>
  <c r="AV44" i="33"/>
  <c r="AV45" i="33"/>
  <c r="AV46" i="33"/>
  <c r="AV47" i="33"/>
  <c r="AV48" i="33"/>
  <c r="AV49" i="33"/>
  <c r="AV50" i="33"/>
  <c r="AV51" i="33"/>
  <c r="AV52" i="33"/>
  <c r="AV53" i="33"/>
  <c r="AW34" i="33"/>
  <c r="AW35" i="33"/>
  <c r="AW36" i="33"/>
  <c r="AW37" i="33"/>
  <c r="AW54" i="33" s="1"/>
  <c r="AW66" i="33" s="1"/>
  <c r="AW38" i="33"/>
  <c r="AW39" i="33"/>
  <c r="AW40" i="33"/>
  <c r="AW41" i="33"/>
  <c r="AW42" i="33"/>
  <c r="AW43" i="33"/>
  <c r="AW44" i="33"/>
  <c r="AW45" i="33"/>
  <c r="AW46" i="33"/>
  <c r="AW47" i="33"/>
  <c r="AW48" i="33"/>
  <c r="AW49" i="33"/>
  <c r="AW50" i="33"/>
  <c r="AW51" i="33"/>
  <c r="AW52" i="33"/>
  <c r="AW53" i="33"/>
  <c r="AX34" i="33"/>
  <c r="AX35" i="33"/>
  <c r="AX36" i="33"/>
  <c r="AX37" i="33"/>
  <c r="AX38" i="33"/>
  <c r="AX39" i="33"/>
  <c r="AX40" i="33"/>
  <c r="AX41" i="33"/>
  <c r="AX42" i="33"/>
  <c r="AX43" i="33"/>
  <c r="AX44" i="33"/>
  <c r="AX45" i="33"/>
  <c r="AX46" i="33"/>
  <c r="AX47" i="33"/>
  <c r="AX48" i="33"/>
  <c r="AX49" i="33"/>
  <c r="AX50" i="33"/>
  <c r="AX51" i="33"/>
  <c r="AX52" i="33"/>
  <c r="AX53" i="33"/>
  <c r="AY34" i="33"/>
  <c r="AY35" i="33"/>
  <c r="AY36" i="33"/>
  <c r="AY37" i="33"/>
  <c r="AY38" i="33"/>
  <c r="AY39" i="33"/>
  <c r="AY40" i="33"/>
  <c r="AY41" i="33"/>
  <c r="AY42" i="33"/>
  <c r="AY43" i="33"/>
  <c r="AY44" i="33"/>
  <c r="AY45" i="33"/>
  <c r="AY46" i="33"/>
  <c r="AY47" i="33"/>
  <c r="AY48" i="33"/>
  <c r="AY49" i="33"/>
  <c r="AY50" i="33"/>
  <c r="AY51" i="33"/>
  <c r="AY52" i="33"/>
  <c r="AY53" i="33"/>
  <c r="AZ34" i="33"/>
  <c r="AZ35" i="33"/>
  <c r="AZ36" i="33"/>
  <c r="AZ37" i="33"/>
  <c r="AZ38" i="33"/>
  <c r="AZ39" i="33"/>
  <c r="AZ40" i="33"/>
  <c r="AZ41" i="33"/>
  <c r="AZ42" i="33"/>
  <c r="AZ43" i="33"/>
  <c r="AZ44" i="33"/>
  <c r="AZ45" i="33"/>
  <c r="AZ46" i="33"/>
  <c r="AZ47" i="33"/>
  <c r="AZ48" i="33"/>
  <c r="AZ49" i="33"/>
  <c r="AZ50" i="33"/>
  <c r="AZ51" i="33"/>
  <c r="AZ52" i="33"/>
  <c r="AZ53" i="33"/>
  <c r="AV6" i="33"/>
  <c r="AV7" i="33"/>
  <c r="AV8" i="33"/>
  <c r="AV9" i="33"/>
  <c r="AV10" i="33"/>
  <c r="AV11" i="33"/>
  <c r="AV12" i="33"/>
  <c r="AV13" i="33"/>
  <c r="AV14" i="33"/>
  <c r="AV15" i="33"/>
  <c r="AV16" i="33"/>
  <c r="AV17" i="33"/>
  <c r="AV18" i="33"/>
  <c r="AV19" i="33"/>
  <c r="AV20" i="33"/>
  <c r="AV21" i="33"/>
  <c r="AV22" i="33"/>
  <c r="AV23" i="33"/>
  <c r="AV24" i="33"/>
  <c r="AV25" i="33"/>
  <c r="AV26" i="33"/>
  <c r="AV27" i="33"/>
  <c r="AV28" i="33"/>
  <c r="AV29" i="33"/>
  <c r="AW6" i="33"/>
  <c r="AW7" i="33"/>
  <c r="AW8" i="33"/>
  <c r="AW9" i="33"/>
  <c r="AW10" i="33"/>
  <c r="AW11" i="33"/>
  <c r="AW12" i="33"/>
  <c r="AW13" i="33"/>
  <c r="AW14" i="33"/>
  <c r="AW15" i="33"/>
  <c r="AW16" i="33"/>
  <c r="AW17" i="33"/>
  <c r="AW18" i="33"/>
  <c r="AW19" i="33"/>
  <c r="AW20" i="33"/>
  <c r="AW21" i="33"/>
  <c r="AW22" i="33"/>
  <c r="AW23" i="33"/>
  <c r="AW24" i="33"/>
  <c r="AW25" i="33"/>
  <c r="AW26" i="33"/>
  <c r="AW27" i="33"/>
  <c r="AW28" i="33"/>
  <c r="AW29" i="33"/>
  <c r="AW30" i="33"/>
  <c r="AW59" i="33" s="1"/>
  <c r="AX6" i="33"/>
  <c r="AX7" i="33"/>
  <c r="AX8" i="33"/>
  <c r="AX9" i="33"/>
  <c r="AX10" i="33"/>
  <c r="AX11" i="33"/>
  <c r="AX12" i="33"/>
  <c r="AX13" i="33"/>
  <c r="AX14" i="33"/>
  <c r="AX15" i="33"/>
  <c r="AX16" i="33"/>
  <c r="AX17" i="33"/>
  <c r="AX18" i="33"/>
  <c r="AX19" i="33"/>
  <c r="AX20" i="33"/>
  <c r="AX21" i="33"/>
  <c r="AX22" i="33"/>
  <c r="AX23" i="33"/>
  <c r="AX24" i="33"/>
  <c r="AX25" i="33"/>
  <c r="AX26" i="33"/>
  <c r="AX27" i="33"/>
  <c r="AX28" i="33"/>
  <c r="AX29" i="33"/>
  <c r="AY6" i="33"/>
  <c r="AY7" i="33"/>
  <c r="AY8" i="33"/>
  <c r="AY9" i="33"/>
  <c r="AY10" i="33"/>
  <c r="AY11" i="33"/>
  <c r="AY12" i="33"/>
  <c r="AY13" i="33"/>
  <c r="AY14" i="33"/>
  <c r="AY15" i="33"/>
  <c r="AY16" i="33"/>
  <c r="AY17" i="33"/>
  <c r="AY18" i="33"/>
  <c r="AY19" i="33"/>
  <c r="AY20" i="33"/>
  <c r="AY21" i="33"/>
  <c r="AY22" i="33"/>
  <c r="AY23" i="33"/>
  <c r="AY24" i="33"/>
  <c r="AY25" i="33"/>
  <c r="AY26" i="33"/>
  <c r="AY27" i="33"/>
  <c r="AY28" i="33"/>
  <c r="AY29" i="33"/>
  <c r="AZ6" i="33"/>
  <c r="AZ7" i="33"/>
  <c r="AZ8" i="33"/>
  <c r="AZ9" i="33"/>
  <c r="AZ10" i="33"/>
  <c r="AZ11" i="33"/>
  <c r="AZ12" i="33"/>
  <c r="AZ13" i="33"/>
  <c r="AZ14" i="33"/>
  <c r="AZ15" i="33"/>
  <c r="AZ16" i="33"/>
  <c r="AZ17" i="33"/>
  <c r="AZ18" i="33"/>
  <c r="AZ19" i="33"/>
  <c r="AZ20" i="33"/>
  <c r="AZ21" i="33"/>
  <c r="AZ22" i="33"/>
  <c r="AZ23" i="33"/>
  <c r="AZ24" i="33"/>
  <c r="AZ25" i="33"/>
  <c r="AZ26" i="33"/>
  <c r="AZ27" i="33"/>
  <c r="AZ28" i="33"/>
  <c r="AZ29" i="33"/>
  <c r="AP34" i="33"/>
  <c r="AP35" i="33"/>
  <c r="AP36" i="33"/>
  <c r="AP37" i="33"/>
  <c r="AP38" i="33"/>
  <c r="AP39" i="33"/>
  <c r="AP40" i="33"/>
  <c r="AP41" i="33"/>
  <c r="AP42" i="33"/>
  <c r="AP43" i="33"/>
  <c r="AP44" i="33"/>
  <c r="AP45" i="33"/>
  <c r="AP46" i="33"/>
  <c r="AP47" i="33"/>
  <c r="AP48" i="33"/>
  <c r="AP49" i="33"/>
  <c r="AP50" i="33"/>
  <c r="AP51" i="33"/>
  <c r="AP52" i="33"/>
  <c r="AP53" i="33"/>
  <c r="AQ34" i="33"/>
  <c r="AQ35" i="33"/>
  <c r="AQ36" i="33"/>
  <c r="AQ37" i="33"/>
  <c r="AQ38" i="33"/>
  <c r="AQ39" i="33"/>
  <c r="AQ40" i="33"/>
  <c r="AQ41" i="33"/>
  <c r="AQ42" i="33"/>
  <c r="AQ43" i="33"/>
  <c r="AQ44" i="33"/>
  <c r="AQ45" i="33"/>
  <c r="AQ46" i="33"/>
  <c r="AQ47" i="33"/>
  <c r="AQ48" i="33"/>
  <c r="AQ49" i="33"/>
  <c r="AQ50" i="33"/>
  <c r="AQ51" i="33"/>
  <c r="AQ52" i="33"/>
  <c r="AQ53" i="33"/>
  <c r="AR34" i="33"/>
  <c r="AR35" i="33"/>
  <c r="AR36" i="33"/>
  <c r="AR37" i="33"/>
  <c r="AR38" i="33"/>
  <c r="AR39" i="33"/>
  <c r="AR40" i="33"/>
  <c r="AR41" i="33"/>
  <c r="AR42" i="33"/>
  <c r="AR43" i="33"/>
  <c r="AR44" i="33"/>
  <c r="AR45" i="33"/>
  <c r="AR46" i="33"/>
  <c r="AR47" i="33"/>
  <c r="AR48" i="33"/>
  <c r="AR49" i="33"/>
  <c r="AR50" i="33"/>
  <c r="AR51" i="33"/>
  <c r="AR52" i="33"/>
  <c r="AR53" i="33"/>
  <c r="AS34" i="33"/>
  <c r="AS35" i="33"/>
  <c r="AS36" i="33"/>
  <c r="AS37" i="33"/>
  <c r="AS38" i="33"/>
  <c r="AS39" i="33"/>
  <c r="AS40" i="33"/>
  <c r="AS41" i="33"/>
  <c r="AS42" i="33"/>
  <c r="AS43" i="33"/>
  <c r="AS44" i="33"/>
  <c r="AS45" i="33"/>
  <c r="AS46" i="33"/>
  <c r="AS47" i="33"/>
  <c r="AS48" i="33"/>
  <c r="AS49" i="33"/>
  <c r="AS50" i="33"/>
  <c r="AS51" i="33"/>
  <c r="AS52" i="33"/>
  <c r="AS53" i="33"/>
  <c r="AS54" i="33"/>
  <c r="AQ68" i="33" s="1"/>
  <c r="AT34" i="33"/>
  <c r="AT35" i="33"/>
  <c r="AT36" i="33"/>
  <c r="AT37" i="33"/>
  <c r="AT38" i="33"/>
  <c r="AT39" i="33"/>
  <c r="AT40" i="33"/>
  <c r="AT41" i="33"/>
  <c r="AT42" i="33"/>
  <c r="AT43" i="33"/>
  <c r="AT44" i="33"/>
  <c r="AT45" i="33"/>
  <c r="AT46" i="33"/>
  <c r="AT47" i="33"/>
  <c r="AT48" i="33"/>
  <c r="AT49" i="33"/>
  <c r="AT50" i="33"/>
  <c r="AT51" i="33"/>
  <c r="AT52" i="33"/>
  <c r="AT53" i="33"/>
  <c r="AP6" i="33"/>
  <c r="AP7" i="33"/>
  <c r="AP8" i="33"/>
  <c r="AP9" i="33"/>
  <c r="AP10" i="33"/>
  <c r="AP11" i="33"/>
  <c r="AP12" i="33"/>
  <c r="AP13" i="33"/>
  <c r="AP14" i="33"/>
  <c r="AP15" i="33"/>
  <c r="AP16" i="33"/>
  <c r="AP17" i="33"/>
  <c r="AP18" i="33"/>
  <c r="AP19" i="33"/>
  <c r="AP20" i="33"/>
  <c r="AP21" i="33"/>
  <c r="AP22" i="33"/>
  <c r="AP23" i="33"/>
  <c r="AP24" i="33"/>
  <c r="AP25" i="33"/>
  <c r="AP26" i="33"/>
  <c r="AP27" i="33"/>
  <c r="AP28" i="33"/>
  <c r="AP29" i="33"/>
  <c r="AQ6" i="33"/>
  <c r="AQ7" i="33"/>
  <c r="AQ30" i="33" s="1"/>
  <c r="AQ59" i="33" s="1"/>
  <c r="AQ8" i="33"/>
  <c r="AQ9" i="33"/>
  <c r="AQ10" i="33"/>
  <c r="AQ11" i="33"/>
  <c r="AQ12" i="33"/>
  <c r="AQ13" i="33"/>
  <c r="AQ14" i="33"/>
  <c r="AQ15" i="33"/>
  <c r="AQ16" i="33"/>
  <c r="AQ17" i="33"/>
  <c r="AQ18" i="33"/>
  <c r="AQ19" i="33"/>
  <c r="AQ20" i="33"/>
  <c r="AQ21" i="33"/>
  <c r="AQ22" i="33"/>
  <c r="AQ23" i="33"/>
  <c r="AQ24" i="33"/>
  <c r="AQ25" i="33"/>
  <c r="AQ26" i="33"/>
  <c r="AQ27" i="33"/>
  <c r="AQ28" i="33"/>
  <c r="AQ29" i="33"/>
  <c r="AR6" i="33"/>
  <c r="AR7" i="33"/>
  <c r="AR8" i="33"/>
  <c r="AR9" i="33"/>
  <c r="AR10" i="33"/>
  <c r="AR11" i="33"/>
  <c r="AR12" i="33"/>
  <c r="AR13" i="33"/>
  <c r="AR14" i="33"/>
  <c r="AR15" i="33"/>
  <c r="AR16" i="33"/>
  <c r="AR17" i="33"/>
  <c r="AR18" i="33"/>
  <c r="AR19" i="33"/>
  <c r="AR20" i="33"/>
  <c r="AR21" i="33"/>
  <c r="AR22" i="33"/>
  <c r="AR23" i="33"/>
  <c r="AR24" i="33"/>
  <c r="AR25" i="33"/>
  <c r="AR26" i="33"/>
  <c r="AR27" i="33"/>
  <c r="AR28" i="33"/>
  <c r="AR29" i="33"/>
  <c r="AS6" i="33"/>
  <c r="AS7" i="33"/>
  <c r="AS8" i="33"/>
  <c r="AS9" i="33"/>
  <c r="AS10" i="33"/>
  <c r="AS11" i="33"/>
  <c r="AS12" i="33"/>
  <c r="AS13" i="33"/>
  <c r="AS14" i="33"/>
  <c r="AS15" i="33"/>
  <c r="AS16" i="33"/>
  <c r="AS17" i="33"/>
  <c r="AS18" i="33"/>
  <c r="AS19" i="33"/>
  <c r="AS20" i="33"/>
  <c r="AS21" i="33"/>
  <c r="AS22" i="33"/>
  <c r="AS23" i="33"/>
  <c r="AS24" i="33"/>
  <c r="AS25" i="33"/>
  <c r="AS26" i="33"/>
  <c r="AS27" i="33"/>
  <c r="AS28" i="33"/>
  <c r="AS29" i="33"/>
  <c r="AS30" i="33"/>
  <c r="AQ61" i="33" s="1"/>
  <c r="AT6" i="33"/>
  <c r="AT7" i="33"/>
  <c r="AT8" i="33"/>
  <c r="AT9" i="33"/>
  <c r="AT10" i="33"/>
  <c r="AT11" i="33"/>
  <c r="AT12" i="33"/>
  <c r="AT13" i="33"/>
  <c r="AT14" i="33"/>
  <c r="AT15" i="33"/>
  <c r="AT16" i="33"/>
  <c r="AT17" i="33"/>
  <c r="AT18" i="33"/>
  <c r="AT19" i="33"/>
  <c r="AT20" i="33"/>
  <c r="AT21" i="33"/>
  <c r="AT22" i="33"/>
  <c r="AT23" i="33"/>
  <c r="AT24" i="33"/>
  <c r="AT25" i="33"/>
  <c r="AT26" i="33"/>
  <c r="AT27" i="33"/>
  <c r="AT28" i="33"/>
  <c r="AT29" i="33"/>
  <c r="AU75" i="33"/>
  <c r="AA106" i="22"/>
  <c r="I34" i="33"/>
  <c r="I35" i="33"/>
  <c r="I36" i="33"/>
  <c r="I37" i="33"/>
  <c r="I38" i="33"/>
  <c r="I39" i="33"/>
  <c r="I40" i="33"/>
  <c r="I41" i="33"/>
  <c r="I42" i="33"/>
  <c r="I43" i="33"/>
  <c r="I44" i="33"/>
  <c r="I45" i="33"/>
  <c r="I46" i="33"/>
  <c r="I47" i="33"/>
  <c r="I48" i="33"/>
  <c r="I49" i="33"/>
  <c r="I50" i="33"/>
  <c r="I51" i="33"/>
  <c r="I52" i="33"/>
  <c r="I53" i="33"/>
  <c r="J34" i="33"/>
  <c r="J35" i="33"/>
  <c r="J36" i="33"/>
  <c r="J37" i="33"/>
  <c r="J54" i="33" s="1"/>
  <c r="J66" i="33" s="1"/>
  <c r="J38" i="33"/>
  <c r="J39" i="33"/>
  <c r="J40" i="33"/>
  <c r="J41" i="33"/>
  <c r="J42" i="33"/>
  <c r="J43" i="33"/>
  <c r="J44" i="33"/>
  <c r="J45" i="33"/>
  <c r="J46" i="33"/>
  <c r="J47" i="33"/>
  <c r="J48" i="33"/>
  <c r="J49" i="33"/>
  <c r="J50" i="33"/>
  <c r="J51" i="33"/>
  <c r="J52" i="33"/>
  <c r="J5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M34" i="33"/>
  <c r="M35" i="33"/>
  <c r="M36" i="33"/>
  <c r="M37" i="33"/>
  <c r="M38" i="33"/>
  <c r="M39" i="33"/>
  <c r="M40" i="33"/>
  <c r="M41" i="33"/>
  <c r="M42" i="33"/>
  <c r="M43" i="33"/>
  <c r="M44" i="33"/>
  <c r="M45" i="33"/>
  <c r="M46" i="33"/>
  <c r="M47" i="33"/>
  <c r="M48" i="33"/>
  <c r="M49" i="33"/>
  <c r="M50" i="33"/>
  <c r="M51" i="33"/>
  <c r="M52" i="33"/>
  <c r="M53" i="33"/>
  <c r="I6" i="33"/>
  <c r="I7" i="33"/>
  <c r="I8" i="33"/>
  <c r="I9" i="33"/>
  <c r="I10" i="33"/>
  <c r="I11" i="33"/>
  <c r="I12" i="33"/>
  <c r="I13" i="33"/>
  <c r="I14" i="33"/>
  <c r="I15" i="33"/>
  <c r="I16" i="33"/>
  <c r="I17" i="33"/>
  <c r="I18" i="33"/>
  <c r="I19" i="33"/>
  <c r="I20" i="33"/>
  <c r="I21" i="33"/>
  <c r="I22" i="33"/>
  <c r="I23" i="33"/>
  <c r="I24" i="33"/>
  <c r="I25" i="33"/>
  <c r="I26" i="33"/>
  <c r="I27" i="33"/>
  <c r="I28" i="33"/>
  <c r="I29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59" i="33" s="1"/>
  <c r="K6" i="33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L6" i="33"/>
  <c r="L7" i="33"/>
  <c r="L8" i="33"/>
  <c r="L9" i="33"/>
  <c r="L10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M6" i="33"/>
  <c r="M7" i="33"/>
  <c r="M8" i="33"/>
  <c r="M9" i="33"/>
  <c r="M10" i="33"/>
  <c r="M11" i="33"/>
  <c r="M12" i="33"/>
  <c r="M13" i="33"/>
  <c r="M14" i="33"/>
  <c r="M15" i="33"/>
  <c r="M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C34" i="33"/>
  <c r="C35" i="33"/>
  <c r="C36" i="33"/>
  <c r="C37" i="33"/>
  <c r="C38" i="33"/>
  <c r="C39" i="33"/>
  <c r="C40" i="33"/>
  <c r="C41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D34" i="33"/>
  <c r="D35" i="33"/>
  <c r="D36" i="33"/>
  <c r="D37" i="33"/>
  <c r="D38" i="33"/>
  <c r="D39" i="33"/>
  <c r="D40" i="33"/>
  <c r="D41" i="33"/>
  <c r="D42" i="33"/>
  <c r="D43" i="33"/>
  <c r="D44" i="33"/>
  <c r="D45" i="33"/>
  <c r="D46" i="33"/>
  <c r="D47" i="33"/>
  <c r="D48" i="33"/>
  <c r="D49" i="33"/>
  <c r="D50" i="33"/>
  <c r="D51" i="33"/>
  <c r="D52" i="33"/>
  <c r="D5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F34" i="33"/>
  <c r="F35" i="33"/>
  <c r="F36" i="33"/>
  <c r="F37" i="33"/>
  <c r="F38" i="33"/>
  <c r="F39" i="33"/>
  <c r="F40" i="33"/>
  <c r="F41" i="33"/>
  <c r="F42" i="33"/>
  <c r="F43" i="33"/>
  <c r="F44" i="33"/>
  <c r="F45" i="33"/>
  <c r="F46" i="33"/>
  <c r="F47" i="33"/>
  <c r="F48" i="33"/>
  <c r="F49" i="33"/>
  <c r="F50" i="33"/>
  <c r="F51" i="33"/>
  <c r="F52" i="33"/>
  <c r="F53" i="33"/>
  <c r="F54" i="33"/>
  <c r="D68" i="33" s="1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C6" i="33"/>
  <c r="C7" i="33"/>
  <c r="C30" i="33" s="1"/>
  <c r="D58" i="33" s="1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D6" i="33"/>
  <c r="D7" i="33"/>
  <c r="D30" i="33" s="1"/>
  <c r="D59" i="33" s="1"/>
  <c r="D8" i="33"/>
  <c r="D9" i="33"/>
  <c r="D10" i="33"/>
  <c r="D11" i="33"/>
  <c r="D12" i="33"/>
  <c r="D13" i="33"/>
  <c r="D14" i="33"/>
  <c r="D15" i="33"/>
  <c r="D16" i="33"/>
  <c r="D17" i="33"/>
  <c r="D18" i="33"/>
  <c r="D19" i="33"/>
  <c r="D20" i="33"/>
  <c r="D21" i="33"/>
  <c r="D22" i="33"/>
  <c r="D23" i="33"/>
  <c r="D24" i="33"/>
  <c r="D25" i="33"/>
  <c r="D26" i="33"/>
  <c r="D27" i="33"/>
  <c r="D28" i="33"/>
  <c r="D29" i="33"/>
  <c r="E6" i="33"/>
  <c r="E7" i="33"/>
  <c r="E8" i="33"/>
  <c r="E9" i="33"/>
  <c r="E10" i="33"/>
  <c r="E11" i="33"/>
  <c r="E12" i="33"/>
  <c r="E13" i="33"/>
  <c r="E14" i="33"/>
  <c r="E15" i="33"/>
  <c r="E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F6" i="33"/>
  <c r="F7" i="33"/>
  <c r="F8" i="33"/>
  <c r="F9" i="33"/>
  <c r="F10" i="33"/>
  <c r="F11" i="33"/>
  <c r="F12" i="33"/>
  <c r="F13" i="33"/>
  <c r="F14" i="33"/>
  <c r="F15" i="33"/>
  <c r="F16" i="33"/>
  <c r="F17" i="33"/>
  <c r="F18" i="33"/>
  <c r="F19" i="33"/>
  <c r="F20" i="33"/>
  <c r="F21" i="33"/>
  <c r="F22" i="33"/>
  <c r="F23" i="33"/>
  <c r="F24" i="33"/>
  <c r="F25" i="33"/>
  <c r="F26" i="33"/>
  <c r="F27" i="33"/>
  <c r="F28" i="33"/>
  <c r="F29" i="33"/>
  <c r="F30" i="33"/>
  <c r="D61" i="33" s="1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H75" i="33"/>
  <c r="M106" i="22"/>
  <c r="AV34" i="32"/>
  <c r="AV35" i="32"/>
  <c r="AV36" i="32"/>
  <c r="AV37" i="32"/>
  <c r="AV38" i="32"/>
  <c r="AV39" i="32"/>
  <c r="AV40" i="32"/>
  <c r="AV41" i="32"/>
  <c r="AV42" i="32"/>
  <c r="AV43" i="32"/>
  <c r="AV44" i="32"/>
  <c r="AV45" i="32"/>
  <c r="AV46" i="32"/>
  <c r="AV47" i="32"/>
  <c r="AV48" i="32"/>
  <c r="AV49" i="32"/>
  <c r="AV50" i="32"/>
  <c r="AV51" i="32"/>
  <c r="AV52" i="32"/>
  <c r="AV53" i="32"/>
  <c r="AW34" i="32"/>
  <c r="AW35" i="32"/>
  <c r="AW36" i="32"/>
  <c r="AW37" i="32"/>
  <c r="AW54" i="32" s="1"/>
  <c r="AW66" i="32" s="1"/>
  <c r="AW38" i="32"/>
  <c r="AW39" i="32"/>
  <c r="AW40" i="32"/>
  <c r="AW41" i="32"/>
  <c r="AW42" i="32"/>
  <c r="AW43" i="32"/>
  <c r="AW44" i="32"/>
  <c r="AW45" i="32"/>
  <c r="AW46" i="32"/>
  <c r="AW47" i="32"/>
  <c r="AW48" i="32"/>
  <c r="AW49" i="32"/>
  <c r="AW50" i="32"/>
  <c r="AW51" i="32"/>
  <c r="AW52" i="32"/>
  <c r="AW53" i="32"/>
  <c r="AX34" i="32"/>
  <c r="AX35" i="32"/>
  <c r="AX36" i="32"/>
  <c r="AX37" i="32"/>
  <c r="AX38" i="32"/>
  <c r="AX39" i="32"/>
  <c r="AX40" i="32"/>
  <c r="AX41" i="32"/>
  <c r="AX42" i="32"/>
  <c r="AX43" i="32"/>
  <c r="AX44" i="32"/>
  <c r="AX45" i="32"/>
  <c r="AX46" i="32"/>
  <c r="AX47" i="32"/>
  <c r="AX48" i="32"/>
  <c r="AX49" i="32"/>
  <c r="AX50" i="32"/>
  <c r="AX51" i="32"/>
  <c r="AX52" i="32"/>
  <c r="AX53" i="32"/>
  <c r="AY34" i="32"/>
  <c r="AY35" i="32"/>
  <c r="AY36" i="32"/>
  <c r="AY37" i="32"/>
  <c r="AY38" i="32"/>
  <c r="AY39" i="32"/>
  <c r="AY40" i="32"/>
  <c r="AY41" i="32"/>
  <c r="AY42" i="32"/>
  <c r="AY43" i="32"/>
  <c r="AY44" i="32"/>
  <c r="AY45" i="32"/>
  <c r="AY46" i="32"/>
  <c r="AY47" i="32"/>
  <c r="AY48" i="32"/>
  <c r="AY49" i="32"/>
  <c r="AY50" i="32"/>
  <c r="AY51" i="32"/>
  <c r="AY52" i="32"/>
  <c r="AY53" i="32"/>
  <c r="AZ34" i="32"/>
  <c r="AZ35" i="32"/>
  <c r="AZ36" i="32"/>
  <c r="AZ37" i="32"/>
  <c r="AZ38" i="32"/>
  <c r="AZ39" i="32"/>
  <c r="AZ40" i="32"/>
  <c r="AZ41" i="32"/>
  <c r="AZ42" i="32"/>
  <c r="AZ43" i="32"/>
  <c r="AZ44" i="32"/>
  <c r="AZ45" i="32"/>
  <c r="AZ46" i="32"/>
  <c r="AZ47" i="32"/>
  <c r="AZ48" i="32"/>
  <c r="AZ49" i="32"/>
  <c r="AZ50" i="32"/>
  <c r="AZ51" i="32"/>
  <c r="AZ52" i="32"/>
  <c r="AZ53" i="32"/>
  <c r="AV6" i="32"/>
  <c r="AV7" i="32"/>
  <c r="AV8" i="32"/>
  <c r="AV9" i="32"/>
  <c r="AV10" i="32"/>
  <c r="AV11" i="32"/>
  <c r="AV12" i="32"/>
  <c r="AV13" i="32"/>
  <c r="AV14" i="32"/>
  <c r="AV15" i="32"/>
  <c r="AV16" i="32"/>
  <c r="AV17" i="32"/>
  <c r="AV18" i="32"/>
  <c r="AV19" i="32"/>
  <c r="AV20" i="32"/>
  <c r="AV21" i="32"/>
  <c r="AV22" i="32"/>
  <c r="AV23" i="32"/>
  <c r="AV24" i="32"/>
  <c r="AV25" i="32"/>
  <c r="AV26" i="32"/>
  <c r="AV27" i="32"/>
  <c r="AV28" i="32"/>
  <c r="AV29" i="32"/>
  <c r="AW6" i="32"/>
  <c r="AW7" i="32"/>
  <c r="AW8" i="32"/>
  <c r="AW9" i="32"/>
  <c r="AW10" i="32"/>
  <c r="AW11" i="32"/>
  <c r="AW12" i="32"/>
  <c r="AW13" i="32"/>
  <c r="AW14" i="32"/>
  <c r="AW15" i="32"/>
  <c r="AW16" i="32"/>
  <c r="AW17" i="32"/>
  <c r="AW18" i="32"/>
  <c r="AW19" i="32"/>
  <c r="AW20" i="32"/>
  <c r="AW21" i="32"/>
  <c r="AW22" i="32"/>
  <c r="AW23" i="32"/>
  <c r="AW24" i="32"/>
  <c r="AW25" i="32"/>
  <c r="AW26" i="32"/>
  <c r="AW27" i="32"/>
  <c r="AW28" i="32"/>
  <c r="AW29" i="32"/>
  <c r="AW30" i="32"/>
  <c r="AW59" i="32" s="1"/>
  <c r="AX6" i="32"/>
  <c r="AX7" i="32"/>
  <c r="AX8" i="32"/>
  <c r="AX9" i="32"/>
  <c r="AX10" i="32"/>
  <c r="AX11" i="32"/>
  <c r="AX12" i="32"/>
  <c r="AX13" i="32"/>
  <c r="AX14" i="32"/>
  <c r="AX15" i="32"/>
  <c r="AX16" i="32"/>
  <c r="AX17" i="32"/>
  <c r="AX18" i="32"/>
  <c r="AX19" i="32"/>
  <c r="AX20" i="32"/>
  <c r="AX21" i="32"/>
  <c r="AX22" i="32"/>
  <c r="AX23" i="32"/>
  <c r="AX24" i="32"/>
  <c r="AX25" i="32"/>
  <c r="AX26" i="32"/>
  <c r="AX27" i="32"/>
  <c r="AX28" i="32"/>
  <c r="AX29" i="32"/>
  <c r="AY6" i="32"/>
  <c r="AY7" i="32"/>
  <c r="AY8" i="32"/>
  <c r="AY9" i="32"/>
  <c r="AY10" i="32"/>
  <c r="AY11" i="32"/>
  <c r="AY12" i="32"/>
  <c r="AY13" i="32"/>
  <c r="AY14" i="32"/>
  <c r="AY15" i="32"/>
  <c r="AY16" i="32"/>
  <c r="AY17" i="32"/>
  <c r="AY18" i="32"/>
  <c r="AY19" i="32"/>
  <c r="AY20" i="32"/>
  <c r="AY21" i="32"/>
  <c r="AY22" i="32"/>
  <c r="AY23" i="32"/>
  <c r="AY24" i="32"/>
  <c r="AY25" i="32"/>
  <c r="AY26" i="32"/>
  <c r="AY27" i="32"/>
  <c r="AY28" i="32"/>
  <c r="AY29" i="32"/>
  <c r="AZ6" i="32"/>
  <c r="AZ7" i="32"/>
  <c r="AZ8" i="32"/>
  <c r="AZ9" i="32"/>
  <c r="AZ10" i="32"/>
  <c r="AZ11" i="32"/>
  <c r="AZ12" i="32"/>
  <c r="AZ13" i="32"/>
  <c r="AZ14" i="32"/>
  <c r="AZ15" i="32"/>
  <c r="AZ16" i="32"/>
  <c r="AZ17" i="32"/>
  <c r="AZ18" i="32"/>
  <c r="AZ19" i="32"/>
  <c r="AZ20" i="32"/>
  <c r="AZ21" i="32"/>
  <c r="AZ22" i="32"/>
  <c r="AZ23" i="32"/>
  <c r="AZ24" i="32"/>
  <c r="AZ25" i="32"/>
  <c r="AZ26" i="32"/>
  <c r="AZ27" i="32"/>
  <c r="AZ28" i="32"/>
  <c r="AZ29" i="32"/>
  <c r="AP34" i="32"/>
  <c r="AP35" i="32"/>
  <c r="AP36" i="32"/>
  <c r="AP37" i="32"/>
  <c r="AP38" i="32"/>
  <c r="AP39" i="32"/>
  <c r="AP40" i="32"/>
  <c r="AP41" i="32"/>
  <c r="AP42" i="32"/>
  <c r="AP43" i="32"/>
  <c r="AP44" i="32"/>
  <c r="AP45" i="32"/>
  <c r="AP46" i="32"/>
  <c r="AP47" i="32"/>
  <c r="AP48" i="32"/>
  <c r="AP49" i="32"/>
  <c r="AP50" i="32"/>
  <c r="AP51" i="32"/>
  <c r="AP52" i="32"/>
  <c r="AP53" i="32"/>
  <c r="AQ34" i="32"/>
  <c r="AQ35" i="32"/>
  <c r="AQ36" i="32"/>
  <c r="AQ37" i="32"/>
  <c r="AQ38" i="32"/>
  <c r="AQ39" i="32"/>
  <c r="AQ40" i="32"/>
  <c r="AQ41" i="32"/>
  <c r="AQ42" i="32"/>
  <c r="AQ43" i="32"/>
  <c r="AQ44" i="32"/>
  <c r="AQ45" i="32"/>
  <c r="AQ46" i="32"/>
  <c r="AQ47" i="32"/>
  <c r="AQ48" i="32"/>
  <c r="AQ49" i="32"/>
  <c r="AQ50" i="32"/>
  <c r="AQ51" i="32"/>
  <c r="AQ52" i="32"/>
  <c r="AQ53" i="32"/>
  <c r="AR34" i="32"/>
  <c r="AR35" i="32"/>
  <c r="AR36" i="32"/>
  <c r="AR37" i="32"/>
  <c r="AR38" i="32"/>
  <c r="AR39" i="32"/>
  <c r="AR40" i="32"/>
  <c r="AR41" i="32"/>
  <c r="AR42" i="32"/>
  <c r="AR43" i="32"/>
  <c r="AR44" i="32"/>
  <c r="AR45" i="32"/>
  <c r="AR46" i="32"/>
  <c r="AR47" i="32"/>
  <c r="AR48" i="32"/>
  <c r="AR49" i="32"/>
  <c r="AR50" i="32"/>
  <c r="AR51" i="32"/>
  <c r="AR52" i="32"/>
  <c r="AR53" i="32"/>
  <c r="AS34" i="32"/>
  <c r="AS35" i="32"/>
  <c r="AS36" i="32"/>
  <c r="AS37" i="32"/>
  <c r="AS38" i="32"/>
  <c r="AS39" i="32"/>
  <c r="AS40" i="32"/>
  <c r="AS41" i="32"/>
  <c r="AS42" i="32"/>
  <c r="AS43" i="32"/>
  <c r="AS44" i="32"/>
  <c r="AS45" i="32"/>
  <c r="AS46" i="32"/>
  <c r="AS47" i="32"/>
  <c r="AS48" i="32"/>
  <c r="AS49" i="32"/>
  <c r="AS50" i="32"/>
  <c r="AS51" i="32"/>
  <c r="AS52" i="32"/>
  <c r="AS53" i="32"/>
  <c r="AT34" i="32"/>
  <c r="AT35" i="32"/>
  <c r="AT36" i="32"/>
  <c r="AT37" i="32"/>
  <c r="AT38" i="32"/>
  <c r="AT39" i="32"/>
  <c r="AT40" i="32"/>
  <c r="AT41" i="32"/>
  <c r="AT42" i="32"/>
  <c r="AT43" i="32"/>
  <c r="AT44" i="32"/>
  <c r="AT45" i="32"/>
  <c r="AT46" i="32"/>
  <c r="AT47" i="32"/>
  <c r="AT48" i="32"/>
  <c r="AT49" i="32"/>
  <c r="AT50" i="32"/>
  <c r="AT51" i="32"/>
  <c r="AT52" i="32"/>
  <c r="AT53" i="32"/>
  <c r="AP6" i="32"/>
  <c r="AP7" i="32"/>
  <c r="AP8" i="32"/>
  <c r="AP9" i="32"/>
  <c r="AP10" i="32"/>
  <c r="AP11" i="32"/>
  <c r="AP12" i="32"/>
  <c r="AP13" i="32"/>
  <c r="AP14" i="32"/>
  <c r="AP15" i="32"/>
  <c r="AP16" i="32"/>
  <c r="AP17" i="32"/>
  <c r="AP18" i="32"/>
  <c r="AP19" i="32"/>
  <c r="AP20" i="32"/>
  <c r="AP21" i="32"/>
  <c r="AP22" i="32"/>
  <c r="AP23" i="32"/>
  <c r="AP24" i="32"/>
  <c r="AP25" i="32"/>
  <c r="AP26" i="32"/>
  <c r="AP27" i="32"/>
  <c r="AP28" i="32"/>
  <c r="AP29" i="32"/>
  <c r="AQ6" i="32"/>
  <c r="AQ7" i="32"/>
  <c r="AQ8" i="32"/>
  <c r="AQ9" i="32"/>
  <c r="AQ10" i="32"/>
  <c r="AQ11" i="32"/>
  <c r="AQ12" i="32"/>
  <c r="AQ13" i="32"/>
  <c r="AQ14" i="32"/>
  <c r="AQ15" i="32"/>
  <c r="AQ16" i="32"/>
  <c r="AQ17" i="32"/>
  <c r="AQ18" i="32"/>
  <c r="AQ19" i="32"/>
  <c r="AQ20" i="32"/>
  <c r="AQ21" i="32"/>
  <c r="AQ22" i="32"/>
  <c r="AQ23" i="32"/>
  <c r="AQ24" i="32"/>
  <c r="AQ25" i="32"/>
  <c r="AQ26" i="32"/>
  <c r="AQ27" i="32"/>
  <c r="AQ28" i="32"/>
  <c r="AQ29" i="32"/>
  <c r="AR6" i="32"/>
  <c r="AR7" i="32"/>
  <c r="AR8" i="32"/>
  <c r="AR9" i="32"/>
  <c r="AR10" i="32"/>
  <c r="AR11" i="32"/>
  <c r="AR12" i="32"/>
  <c r="AR13" i="32"/>
  <c r="AR14" i="32"/>
  <c r="AR15" i="32"/>
  <c r="AR16" i="32"/>
  <c r="AR17" i="32"/>
  <c r="AR18" i="32"/>
  <c r="AR19" i="32"/>
  <c r="AR20" i="32"/>
  <c r="AR21" i="32"/>
  <c r="AR22" i="32"/>
  <c r="AR23" i="32"/>
  <c r="AR24" i="32"/>
  <c r="AR25" i="32"/>
  <c r="AR26" i="32"/>
  <c r="AR27" i="32"/>
  <c r="AR28" i="32"/>
  <c r="AR29" i="32"/>
  <c r="AS6" i="32"/>
  <c r="AS7" i="32"/>
  <c r="AS8" i="32"/>
  <c r="AS9" i="32"/>
  <c r="AS10" i="32"/>
  <c r="AS11" i="32"/>
  <c r="AS12" i="32"/>
  <c r="AS13" i="32"/>
  <c r="AS30" i="32" s="1"/>
  <c r="AQ61" i="32" s="1"/>
  <c r="AS14" i="32"/>
  <c r="AS15" i="32"/>
  <c r="AS16" i="32"/>
  <c r="AS17" i="32"/>
  <c r="AS18" i="32"/>
  <c r="AS19" i="32"/>
  <c r="AS20" i="32"/>
  <c r="AS21" i="32"/>
  <c r="AS22" i="32"/>
  <c r="AS23" i="32"/>
  <c r="AS24" i="32"/>
  <c r="AS25" i="32"/>
  <c r="AS26" i="32"/>
  <c r="AS27" i="32"/>
  <c r="AS28" i="32"/>
  <c r="AS29" i="32"/>
  <c r="AT6" i="32"/>
  <c r="AT7" i="32"/>
  <c r="AT8" i="32"/>
  <c r="AT9" i="32"/>
  <c r="AT10" i="32"/>
  <c r="AT11" i="32"/>
  <c r="AT12" i="32"/>
  <c r="AT13" i="32"/>
  <c r="AT14" i="32"/>
  <c r="AT15" i="32"/>
  <c r="AT16" i="32"/>
  <c r="AT17" i="32"/>
  <c r="AT18" i="32"/>
  <c r="AT19" i="32"/>
  <c r="AT20" i="32"/>
  <c r="AT21" i="32"/>
  <c r="AT22" i="32"/>
  <c r="AT23" i="32"/>
  <c r="AT24" i="32"/>
  <c r="AT25" i="32"/>
  <c r="AT26" i="32"/>
  <c r="AT27" i="32"/>
  <c r="AT28" i="32"/>
  <c r="AT29" i="32"/>
  <c r="AU75" i="32"/>
  <c r="AA98" i="22" s="1"/>
  <c r="I34" i="32"/>
  <c r="I35" i="32"/>
  <c r="I36" i="32"/>
  <c r="I37" i="32"/>
  <c r="I38" i="32"/>
  <c r="I39" i="32"/>
  <c r="I40" i="32"/>
  <c r="I41" i="32"/>
  <c r="I42" i="32"/>
  <c r="I43" i="32"/>
  <c r="I44" i="32"/>
  <c r="I45" i="32"/>
  <c r="I46" i="32"/>
  <c r="I47" i="32"/>
  <c r="I48" i="32"/>
  <c r="I49" i="32"/>
  <c r="I50" i="32"/>
  <c r="I51" i="32"/>
  <c r="I52" i="32"/>
  <c r="I53" i="32"/>
  <c r="J34" i="32"/>
  <c r="J35" i="32"/>
  <c r="J36" i="32"/>
  <c r="J37" i="32"/>
  <c r="J38" i="32"/>
  <c r="J39" i="32"/>
  <c r="J40" i="32"/>
  <c r="J41" i="32"/>
  <c r="J42" i="32"/>
  <c r="J43" i="32"/>
  <c r="J44" i="32"/>
  <c r="J45" i="32"/>
  <c r="J46" i="32"/>
  <c r="J47" i="32"/>
  <c r="J48" i="32"/>
  <c r="J49" i="32"/>
  <c r="J50" i="32"/>
  <c r="J51" i="32"/>
  <c r="J52" i="32"/>
  <c r="J5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M34" i="32"/>
  <c r="M35" i="32"/>
  <c r="M36" i="32"/>
  <c r="M37" i="32"/>
  <c r="M38" i="32"/>
  <c r="M39" i="32"/>
  <c r="M40" i="32"/>
  <c r="M41" i="32"/>
  <c r="M42" i="32"/>
  <c r="M43" i="32"/>
  <c r="M44" i="32"/>
  <c r="M45" i="32"/>
  <c r="M46" i="32"/>
  <c r="M47" i="32"/>
  <c r="M48" i="32"/>
  <c r="M49" i="32"/>
  <c r="M50" i="32"/>
  <c r="M51" i="32"/>
  <c r="M52" i="32"/>
  <c r="M53" i="32"/>
  <c r="I6" i="32"/>
  <c r="I7" i="32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K6" i="32"/>
  <c r="K7" i="32"/>
  <c r="K8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L6" i="32"/>
  <c r="L7" i="32"/>
  <c r="L8" i="32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M6" i="32"/>
  <c r="M7" i="32"/>
  <c r="M8" i="32"/>
  <c r="M9" i="32"/>
  <c r="M10" i="32"/>
  <c r="M11" i="32"/>
  <c r="M12" i="32"/>
  <c r="M13" i="32"/>
  <c r="M14" i="32"/>
  <c r="M15" i="32"/>
  <c r="M16" i="32"/>
  <c r="M17" i="32"/>
  <c r="M18" i="32"/>
  <c r="M19" i="32"/>
  <c r="M20" i="32"/>
  <c r="M21" i="32"/>
  <c r="M22" i="32"/>
  <c r="M23" i="32"/>
  <c r="M24" i="32"/>
  <c r="M25" i="32"/>
  <c r="M26" i="32"/>
  <c r="M27" i="32"/>
  <c r="M28" i="32"/>
  <c r="M29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D34" i="32"/>
  <c r="D35" i="32"/>
  <c r="D36" i="32"/>
  <c r="D37" i="32"/>
  <c r="D38" i="32"/>
  <c r="D39" i="32"/>
  <c r="D40" i="32"/>
  <c r="D41" i="32"/>
  <c r="D42" i="32"/>
  <c r="D43" i="32"/>
  <c r="D44" i="32"/>
  <c r="D45" i="32"/>
  <c r="D46" i="32"/>
  <c r="D47" i="32"/>
  <c r="D48" i="32"/>
  <c r="D49" i="32"/>
  <c r="D50" i="32"/>
  <c r="D51" i="32"/>
  <c r="D52" i="32"/>
  <c r="D5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D68" i="32" s="1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D58" i="32" s="1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F6" i="32"/>
  <c r="F7" i="32"/>
  <c r="F30" i="32" s="1"/>
  <c r="D61" i="32" s="1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58" i="32" s="1"/>
  <c r="H75" i="32"/>
  <c r="M98" i="22" s="1"/>
  <c r="Z2" i="22"/>
  <c r="I22" i="23"/>
  <c r="I23" i="23"/>
  <c r="I24" i="23"/>
  <c r="I25" i="23"/>
  <c r="I32" i="23" s="1"/>
  <c r="J43" i="23" s="1"/>
  <c r="I26" i="23"/>
  <c r="I27" i="23"/>
  <c r="I28" i="23"/>
  <c r="I29" i="23"/>
  <c r="I30" i="23"/>
  <c r="I31" i="23"/>
  <c r="J22" i="23"/>
  <c r="J32" i="23" s="1"/>
  <c r="J44" i="23" s="1"/>
  <c r="J23" i="23"/>
  <c r="J24" i="23"/>
  <c r="J25" i="23"/>
  <c r="J26" i="23"/>
  <c r="J27" i="23"/>
  <c r="J28" i="23"/>
  <c r="J29" i="23"/>
  <c r="J30" i="23"/>
  <c r="J31" i="23"/>
  <c r="K22" i="23"/>
  <c r="K23" i="23"/>
  <c r="K24" i="23"/>
  <c r="K25" i="23"/>
  <c r="K32" i="23" s="1"/>
  <c r="J45" i="23" s="1"/>
  <c r="K26" i="23"/>
  <c r="K27" i="23"/>
  <c r="K28" i="23"/>
  <c r="K29" i="23"/>
  <c r="K30" i="23"/>
  <c r="K31" i="23"/>
  <c r="L22" i="23"/>
  <c r="L32" i="23" s="1"/>
  <c r="J46" i="23" s="1"/>
  <c r="L23" i="23"/>
  <c r="L24" i="23"/>
  <c r="L25" i="23"/>
  <c r="L26" i="23"/>
  <c r="L27" i="23"/>
  <c r="L28" i="23"/>
  <c r="L29" i="23"/>
  <c r="L30" i="23"/>
  <c r="L31" i="23"/>
  <c r="M22" i="23"/>
  <c r="M23" i="23"/>
  <c r="M24" i="23"/>
  <c r="M25" i="23"/>
  <c r="M32" i="23" s="1"/>
  <c r="M43" i="23" s="1"/>
  <c r="M26" i="23"/>
  <c r="M27" i="23"/>
  <c r="M28" i="23"/>
  <c r="M29" i="23"/>
  <c r="M30" i="23"/>
  <c r="M31" i="23"/>
  <c r="I6" i="23"/>
  <c r="I7" i="23"/>
  <c r="I8" i="23"/>
  <c r="I9" i="23"/>
  <c r="I10" i="23"/>
  <c r="I11" i="23"/>
  <c r="I12" i="23"/>
  <c r="I13" i="23"/>
  <c r="I14" i="23"/>
  <c r="I15" i="23"/>
  <c r="I16" i="23"/>
  <c r="I17" i="23"/>
  <c r="J6" i="23"/>
  <c r="J18" i="23" s="1"/>
  <c r="J37" i="23" s="1"/>
  <c r="J7" i="23"/>
  <c r="J8" i="23"/>
  <c r="J9" i="23"/>
  <c r="J10" i="23"/>
  <c r="J11" i="23"/>
  <c r="J12" i="23"/>
  <c r="J13" i="23"/>
  <c r="J14" i="23"/>
  <c r="J15" i="23"/>
  <c r="J16" i="23"/>
  <c r="J17" i="23"/>
  <c r="K6" i="23"/>
  <c r="K18" i="23" s="1"/>
  <c r="J38" i="23" s="1"/>
  <c r="K7" i="23"/>
  <c r="K8" i="23"/>
  <c r="K9" i="23"/>
  <c r="K10" i="23"/>
  <c r="K11" i="23"/>
  <c r="K12" i="23"/>
  <c r="K13" i="23"/>
  <c r="K14" i="23"/>
  <c r="K15" i="23"/>
  <c r="K16" i="23"/>
  <c r="K17" i="23"/>
  <c r="L6" i="23"/>
  <c r="L7" i="23"/>
  <c r="L8" i="23"/>
  <c r="L9" i="23"/>
  <c r="L10" i="23"/>
  <c r="L11" i="23"/>
  <c r="L12" i="23"/>
  <c r="L13" i="23"/>
  <c r="L14" i="23"/>
  <c r="L15" i="23"/>
  <c r="L16" i="23"/>
  <c r="L17" i="23"/>
  <c r="M6" i="23"/>
  <c r="M7" i="23"/>
  <c r="M8" i="23"/>
  <c r="M9" i="23"/>
  <c r="M10" i="23"/>
  <c r="M11" i="23"/>
  <c r="M12" i="23"/>
  <c r="M13" i="23"/>
  <c r="M14" i="23"/>
  <c r="M15" i="23"/>
  <c r="M16" i="23"/>
  <c r="M17" i="23"/>
  <c r="C22" i="23"/>
  <c r="C23" i="23"/>
  <c r="C32" i="23" s="1"/>
  <c r="D43" i="23" s="1"/>
  <c r="C24" i="23"/>
  <c r="C25" i="23"/>
  <c r="C26" i="23"/>
  <c r="C27" i="23"/>
  <c r="C28" i="23"/>
  <c r="C29" i="23"/>
  <c r="C30" i="23"/>
  <c r="C31" i="23"/>
  <c r="D22" i="23"/>
  <c r="D32" i="23" s="1"/>
  <c r="D44" i="23" s="1"/>
  <c r="D23" i="23"/>
  <c r="D24" i="23"/>
  <c r="D25" i="23"/>
  <c r="D26" i="23"/>
  <c r="D27" i="23"/>
  <c r="D28" i="23"/>
  <c r="D29" i="23"/>
  <c r="D30" i="23"/>
  <c r="D31" i="23"/>
  <c r="E22" i="23"/>
  <c r="E23" i="23"/>
  <c r="E24" i="23"/>
  <c r="E25" i="23"/>
  <c r="E26" i="23"/>
  <c r="E27" i="23"/>
  <c r="E28" i="23"/>
  <c r="E29" i="23"/>
  <c r="E30" i="23"/>
  <c r="E31" i="23"/>
  <c r="F22" i="23"/>
  <c r="F23" i="23"/>
  <c r="F24" i="23"/>
  <c r="F25" i="23"/>
  <c r="F26" i="23"/>
  <c r="F27" i="23"/>
  <c r="F28" i="23"/>
  <c r="F29" i="23"/>
  <c r="F30" i="23"/>
  <c r="F31" i="23"/>
  <c r="G22" i="23"/>
  <c r="G23" i="23"/>
  <c r="G32" i="23" s="1"/>
  <c r="G43" i="23" s="1"/>
  <c r="G24" i="23"/>
  <c r="G25" i="23"/>
  <c r="G26" i="23"/>
  <c r="G27" i="23"/>
  <c r="G28" i="23"/>
  <c r="G29" i="23"/>
  <c r="G30" i="23"/>
  <c r="G31" i="23"/>
  <c r="C6" i="23"/>
  <c r="C7" i="23"/>
  <c r="C8" i="23"/>
  <c r="C9" i="23"/>
  <c r="C10" i="23"/>
  <c r="C11" i="23"/>
  <c r="C12" i="23"/>
  <c r="C13" i="23"/>
  <c r="C14" i="23"/>
  <c r="C15" i="23"/>
  <c r="C16" i="23"/>
  <c r="C17" i="23"/>
  <c r="D6" i="23"/>
  <c r="D7" i="23"/>
  <c r="D8" i="23"/>
  <c r="D9" i="23"/>
  <c r="D10" i="23"/>
  <c r="D11" i="23"/>
  <c r="D12" i="23"/>
  <c r="D13" i="23"/>
  <c r="D14" i="23"/>
  <c r="D15" i="23"/>
  <c r="D16" i="23"/>
  <c r="D17" i="23"/>
  <c r="E6" i="23"/>
  <c r="E18" i="23" s="1"/>
  <c r="D38" i="23" s="1"/>
  <c r="E7" i="23"/>
  <c r="E8" i="23"/>
  <c r="E9" i="23"/>
  <c r="E10" i="23"/>
  <c r="E11" i="23"/>
  <c r="E12" i="23"/>
  <c r="E13" i="23"/>
  <c r="E14" i="23"/>
  <c r="E15" i="23"/>
  <c r="E16" i="23"/>
  <c r="E17" i="23"/>
  <c r="F6" i="23"/>
  <c r="F7" i="23"/>
  <c r="F18" i="23" s="1"/>
  <c r="D39" i="23" s="1"/>
  <c r="F8" i="23"/>
  <c r="F9" i="23"/>
  <c r="F10" i="23"/>
  <c r="F11" i="23"/>
  <c r="F12" i="23"/>
  <c r="F13" i="23"/>
  <c r="F14" i="23"/>
  <c r="F15" i="23"/>
  <c r="F16" i="23"/>
  <c r="F17" i="23"/>
  <c r="G6" i="23"/>
  <c r="G7" i="23"/>
  <c r="G8" i="23"/>
  <c r="G9" i="23"/>
  <c r="G18" i="23" s="1"/>
  <c r="G36" i="23" s="1"/>
  <c r="G10" i="23"/>
  <c r="G11" i="23"/>
  <c r="G12" i="23"/>
  <c r="G13" i="23"/>
  <c r="G14" i="23"/>
  <c r="G15" i="23"/>
  <c r="G16" i="23"/>
  <c r="G17" i="23"/>
  <c r="I53" i="23"/>
  <c r="M48" i="22"/>
  <c r="U6" i="22"/>
  <c r="U8" i="22"/>
  <c r="V9" i="22"/>
  <c r="Q10" i="22"/>
  <c r="R10" i="22" s="1"/>
  <c r="V16" i="22"/>
  <c r="Q17" i="22"/>
  <c r="R17" i="22"/>
  <c r="Q18" i="22"/>
  <c r="R18" i="22"/>
  <c r="U20" i="22"/>
  <c r="U22" i="22"/>
  <c r="Q24" i="22"/>
  <c r="R24" i="22" s="1"/>
  <c r="V25" i="22"/>
  <c r="Q26" i="22"/>
  <c r="V28" i="22"/>
  <c r="U30" i="22"/>
  <c r="U32" i="22"/>
  <c r="V33" i="22"/>
  <c r="Q34" i="22"/>
  <c r="R34" i="22"/>
  <c r="U38" i="22"/>
  <c r="X40" i="22"/>
  <c r="V41" i="22"/>
  <c r="Q42" i="22"/>
  <c r="R42" i="22" s="1"/>
  <c r="U46" i="22"/>
  <c r="W4" i="22"/>
  <c r="V5" i="22"/>
  <c r="Q8" i="22"/>
  <c r="U11" i="22"/>
  <c r="X12" i="22"/>
  <c r="V13" i="22"/>
  <c r="U14" i="22"/>
  <c r="Q15" i="22"/>
  <c r="R15" i="22"/>
  <c r="Q16" i="22"/>
  <c r="Q23" i="22"/>
  <c r="Q31" i="22"/>
  <c r="R31" i="22" s="1"/>
  <c r="V37" i="22"/>
  <c r="Q39" i="22"/>
  <c r="R39" i="22"/>
  <c r="W47" i="22"/>
  <c r="X3" i="22"/>
  <c r="Q7" i="22"/>
  <c r="R7" i="22" s="1"/>
  <c r="Q19" i="22"/>
  <c r="R19" i="22" s="1"/>
  <c r="V21" i="22"/>
  <c r="Q27" i="22"/>
  <c r="V29" i="22"/>
  <c r="U31" i="22"/>
  <c r="Q35" i="22"/>
  <c r="S35" i="22" s="1"/>
  <c r="W36" i="22"/>
  <c r="U43" i="22"/>
  <c r="Q44" i="22"/>
  <c r="R44" i="22" s="1"/>
  <c r="V45" i="22"/>
  <c r="X7" i="22"/>
  <c r="Q11" i="22"/>
  <c r="S11" i="22" s="1"/>
  <c r="T11" i="22" s="1"/>
  <c r="X16" i="22"/>
  <c r="X19" i="22"/>
  <c r="X23" i="22"/>
  <c r="V39" i="22"/>
  <c r="W39" i="22"/>
  <c r="Q47" i="22"/>
  <c r="S47" i="22" s="1"/>
  <c r="T47" i="22" s="1"/>
  <c r="U47" i="22"/>
  <c r="V47" i="22"/>
  <c r="V40" i="22"/>
  <c r="X47" i="22"/>
  <c r="U40" i="22"/>
  <c r="Q40" i="22"/>
  <c r="U39" i="22"/>
  <c r="X39" i="22"/>
  <c r="Q32" i="22"/>
  <c r="R32" i="22" s="1"/>
  <c r="X32" i="22"/>
  <c r="V32" i="22"/>
  <c r="W31" i="22"/>
  <c r="X31" i="22"/>
  <c r="V31" i="22"/>
  <c r="U24" i="22"/>
  <c r="U23" i="22"/>
  <c r="W23" i="22"/>
  <c r="V23" i="22"/>
  <c r="U16" i="22"/>
  <c r="X15" i="22"/>
  <c r="W15" i="22"/>
  <c r="V15" i="22"/>
  <c r="U15" i="22"/>
  <c r="V17" i="22"/>
  <c r="W7" i="22"/>
  <c r="V7" i="22"/>
  <c r="U7" i="22"/>
  <c r="Q43" i="22"/>
  <c r="R43" i="22" s="1"/>
  <c r="Q37" i="22"/>
  <c r="R37" i="22"/>
  <c r="Q28" i="22"/>
  <c r="W45" i="22"/>
  <c r="U45" i="22"/>
  <c r="W44" i="22"/>
  <c r="V44" i="22"/>
  <c r="U44" i="22"/>
  <c r="X43" i="22"/>
  <c r="V43" i="22"/>
  <c r="W43" i="22"/>
  <c r="X38" i="22"/>
  <c r="U37" i="22"/>
  <c r="V36" i="22"/>
  <c r="X36" i="22"/>
  <c r="U36" i="22"/>
  <c r="Q36" i="22"/>
  <c r="R36" i="22"/>
  <c r="W35" i="22"/>
  <c r="U35" i="22"/>
  <c r="X35" i="22"/>
  <c r="V35" i="22"/>
  <c r="X34" i="22"/>
  <c r="U33" i="22"/>
  <c r="Q30" i="22"/>
  <c r="R30" i="22"/>
  <c r="X29" i="22"/>
  <c r="Q29" i="22"/>
  <c r="S29" i="22" s="1"/>
  <c r="T29" i="22" s="1"/>
  <c r="X28" i="22"/>
  <c r="W28" i="22"/>
  <c r="U28" i="22"/>
  <c r="X27" i="22"/>
  <c r="V27" i="22"/>
  <c r="W27" i="22"/>
  <c r="U27" i="22"/>
  <c r="U25" i="22"/>
  <c r="Q25" i="22"/>
  <c r="R25" i="22" s="1"/>
  <c r="X24" i="22"/>
  <c r="V24" i="22"/>
  <c r="W21" i="22"/>
  <c r="X21" i="22"/>
  <c r="W20" i="22"/>
  <c r="X20" i="22"/>
  <c r="V20" i="22"/>
  <c r="Q20" i="22"/>
  <c r="R20" i="22"/>
  <c r="W19" i="22"/>
  <c r="U19" i="22"/>
  <c r="V19" i="22"/>
  <c r="W13" i="22"/>
  <c r="U13" i="22"/>
  <c r="U12" i="22"/>
  <c r="W12" i="22"/>
  <c r="V12" i="22"/>
  <c r="V11" i="22"/>
  <c r="X11" i="22"/>
  <c r="W11" i="22"/>
  <c r="X8" i="22"/>
  <c r="V8" i="22"/>
  <c r="X6" i="22"/>
  <c r="U5" i="22"/>
  <c r="Q5" i="22"/>
  <c r="R5" i="22"/>
  <c r="X4" i="22"/>
  <c r="V4" i="22"/>
  <c r="U4" i="22"/>
  <c r="Q4" i="22"/>
  <c r="W3" i="22"/>
  <c r="U3" i="22"/>
  <c r="Q3" i="22"/>
  <c r="R3" i="22"/>
  <c r="V3" i="22"/>
  <c r="Q38" i="22"/>
  <c r="S38" i="22" s="1"/>
  <c r="T38" i="22" s="1"/>
  <c r="R38" i="22"/>
  <c r="X14" i="22"/>
  <c r="X10" i="22"/>
  <c r="Q45" i="22"/>
  <c r="R45" i="22"/>
  <c r="X37" i="22"/>
  <c r="Q33" i="22"/>
  <c r="R33" i="22"/>
  <c r="U21" i="22"/>
  <c r="Q14" i="22"/>
  <c r="R14" i="22" s="1"/>
  <c r="U9" i="22"/>
  <c r="X44" i="22"/>
  <c r="W37" i="22"/>
  <c r="X30" i="22"/>
  <c r="X26" i="22"/>
  <c r="Q21" i="22"/>
  <c r="X13" i="22"/>
  <c r="Q12" i="22"/>
  <c r="R12" i="22"/>
  <c r="Q9" i="22"/>
  <c r="R9" i="22" s="1"/>
  <c r="X46" i="22"/>
  <c r="AN46" i="22" s="1"/>
  <c r="X42" i="22"/>
  <c r="Q6" i="22"/>
  <c r="R6" i="22" s="1"/>
  <c r="Q46" i="22"/>
  <c r="R46" i="22"/>
  <c r="U41" i="22"/>
  <c r="W29" i="22"/>
  <c r="X22" i="22"/>
  <c r="X18" i="22"/>
  <c r="AN18" i="22" s="1"/>
  <c r="Q13" i="22"/>
  <c r="R13" i="22" s="1"/>
  <c r="X5" i="22"/>
  <c r="X45" i="22"/>
  <c r="Q41" i="22"/>
  <c r="U29" i="22"/>
  <c r="Q22" i="22"/>
  <c r="U17" i="22"/>
  <c r="W5" i="22"/>
  <c r="W34" i="22"/>
  <c r="W26" i="22"/>
  <c r="W18" i="22"/>
  <c r="W10" i="22"/>
  <c r="V42" i="22"/>
  <c r="V34" i="22"/>
  <c r="V26" i="22"/>
  <c r="V18" i="22"/>
  <c r="V10" i="22"/>
  <c r="U42" i="22"/>
  <c r="W40" i="22"/>
  <c r="U34" i="22"/>
  <c r="W32" i="22"/>
  <c r="U26" i="22"/>
  <c r="W24" i="22"/>
  <c r="U18" i="22"/>
  <c r="W16" i="22"/>
  <c r="U10" i="22"/>
  <c r="W8" i="22"/>
  <c r="W42" i="22"/>
  <c r="W46" i="22"/>
  <c r="X41" i="22"/>
  <c r="W38" i="22"/>
  <c r="X33" i="22"/>
  <c r="W30" i="22"/>
  <c r="X25" i="22"/>
  <c r="X9" i="22"/>
  <c r="W6" i="22"/>
  <c r="V46" i="22"/>
  <c r="W41" i="22"/>
  <c r="V38" i="22"/>
  <c r="W33" i="22"/>
  <c r="V30" i="22"/>
  <c r="W25" i="22"/>
  <c r="V22" i="22"/>
  <c r="W17" i="22"/>
  <c r="V14" i="22"/>
  <c r="W9" i="22"/>
  <c r="V6" i="22"/>
  <c r="W22" i="22"/>
  <c r="X17" i="22"/>
  <c r="W14" i="22"/>
  <c r="S44" i="22"/>
  <c r="T44" i="22" s="1"/>
  <c r="S39" i="22"/>
  <c r="T39" i="22"/>
  <c r="T35" i="22"/>
  <c r="S34" i="22"/>
  <c r="T34" i="22" s="1"/>
  <c r="S24" i="22"/>
  <c r="T24" i="22" s="1"/>
  <c r="S19" i="22"/>
  <c r="T19" i="22"/>
  <c r="S18" i="22"/>
  <c r="T18" i="22"/>
  <c r="S17" i="22"/>
  <c r="T17" i="22" s="1"/>
  <c r="S15" i="22"/>
  <c r="T15" i="22"/>
  <c r="S10" i="22"/>
  <c r="T10" i="22" s="1"/>
  <c r="P14" i="30"/>
  <c r="S32" i="22"/>
  <c r="T32" i="22"/>
  <c r="S13" i="22"/>
  <c r="T13" i="22" s="1"/>
  <c r="S46" i="22"/>
  <c r="T46" i="22"/>
  <c r="S43" i="22"/>
  <c r="T43" i="22" s="1"/>
  <c r="S30" i="22"/>
  <c r="T30" i="22" s="1"/>
  <c r="V31" i="28" s="1"/>
  <c r="N23" i="28" s="1"/>
  <c r="S36" i="22"/>
  <c r="T36" i="22" s="1"/>
  <c r="S37" i="22"/>
  <c r="T37" i="22"/>
  <c r="S25" i="22"/>
  <c r="T25" i="22"/>
  <c r="S5" i="22"/>
  <c r="T5" i="22" s="1"/>
  <c r="S20" i="22"/>
  <c r="T20" i="22" s="1"/>
  <c r="S45" i="22"/>
  <c r="T45" i="22"/>
  <c r="S12" i="22"/>
  <c r="T12" i="22" s="1"/>
  <c r="S6" i="22"/>
  <c r="T6" i="22" s="1"/>
  <c r="S3" i="22"/>
  <c r="T3" i="22" s="1"/>
  <c r="S33" i="22"/>
  <c r="T33" i="22"/>
  <c r="S14" i="22"/>
  <c r="T14" i="22" s="1"/>
  <c r="I5" i="2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40" i="24"/>
  <c r="C40" i="24"/>
  <c r="E38" i="24"/>
  <c r="E33" i="24"/>
  <c r="E32" i="24"/>
  <c r="E26" i="24"/>
  <c r="E25" i="24"/>
  <c r="B24" i="24"/>
  <c r="C24" i="24"/>
  <c r="B10" i="24"/>
  <c r="C10" i="24" s="1"/>
  <c r="E4" i="24"/>
  <c r="M52" i="30"/>
  <c r="L52" i="30"/>
  <c r="K52" i="30"/>
  <c r="J52" i="30"/>
  <c r="I52" i="30"/>
  <c r="G52" i="30"/>
  <c r="F52" i="30"/>
  <c r="E52" i="30"/>
  <c r="D52" i="30"/>
  <c r="C52" i="30"/>
  <c r="M51" i="30"/>
  <c r="L51" i="30"/>
  <c r="K51" i="30"/>
  <c r="J51" i="30"/>
  <c r="I51" i="30"/>
  <c r="G51" i="30"/>
  <c r="F51" i="30"/>
  <c r="E51" i="30"/>
  <c r="D51" i="30"/>
  <c r="C51" i="30"/>
  <c r="M50" i="30"/>
  <c r="L50" i="30"/>
  <c r="K50" i="30"/>
  <c r="J50" i="30"/>
  <c r="I50" i="30"/>
  <c r="G50" i="30"/>
  <c r="F50" i="30"/>
  <c r="E50" i="30"/>
  <c r="D50" i="30"/>
  <c r="C50" i="30"/>
  <c r="M49" i="30"/>
  <c r="L49" i="30"/>
  <c r="K49" i="30"/>
  <c r="J49" i="30"/>
  <c r="I49" i="30"/>
  <c r="G49" i="30"/>
  <c r="F49" i="30"/>
  <c r="E49" i="30"/>
  <c r="D49" i="30"/>
  <c r="C49" i="30"/>
  <c r="M48" i="30"/>
  <c r="L48" i="30"/>
  <c r="K48" i="30"/>
  <c r="J48" i="30"/>
  <c r="I48" i="30"/>
  <c r="G48" i="30"/>
  <c r="F48" i="30"/>
  <c r="E48" i="30"/>
  <c r="D48" i="30"/>
  <c r="C48" i="30"/>
  <c r="M47" i="30"/>
  <c r="L47" i="30"/>
  <c r="K47" i="30"/>
  <c r="J47" i="30"/>
  <c r="I47" i="30"/>
  <c r="G47" i="30"/>
  <c r="F47" i="30"/>
  <c r="E47" i="30"/>
  <c r="D47" i="30"/>
  <c r="C47" i="30"/>
  <c r="M46" i="30"/>
  <c r="L46" i="30"/>
  <c r="K46" i="30"/>
  <c r="J46" i="30"/>
  <c r="I46" i="30"/>
  <c r="G46" i="30"/>
  <c r="F46" i="30"/>
  <c r="E46" i="30"/>
  <c r="D46" i="30"/>
  <c r="C46" i="30"/>
  <c r="M45" i="30"/>
  <c r="L45" i="30"/>
  <c r="K45" i="30"/>
  <c r="J45" i="30"/>
  <c r="I45" i="30"/>
  <c r="G45" i="30"/>
  <c r="F45" i="30"/>
  <c r="E45" i="30"/>
  <c r="D45" i="30"/>
  <c r="C45" i="30"/>
  <c r="M44" i="30"/>
  <c r="L44" i="30"/>
  <c r="K44" i="30"/>
  <c r="J44" i="30"/>
  <c r="I44" i="30"/>
  <c r="G44" i="30"/>
  <c r="F44" i="30"/>
  <c r="E44" i="30"/>
  <c r="D44" i="30"/>
  <c r="C44" i="30"/>
  <c r="M43" i="30"/>
  <c r="L43" i="30"/>
  <c r="K43" i="30"/>
  <c r="J43" i="30"/>
  <c r="I43" i="30"/>
  <c r="G43" i="30"/>
  <c r="F43" i="30"/>
  <c r="E43" i="30"/>
  <c r="D43" i="30"/>
  <c r="C43" i="30"/>
  <c r="M42" i="30"/>
  <c r="L42" i="30"/>
  <c r="K42" i="30"/>
  <c r="J42" i="30"/>
  <c r="I42" i="30"/>
  <c r="G42" i="30"/>
  <c r="F42" i="30"/>
  <c r="E42" i="30"/>
  <c r="D42" i="30"/>
  <c r="C42" i="30"/>
  <c r="M41" i="30"/>
  <c r="L41" i="30"/>
  <c r="K41" i="30"/>
  <c r="J41" i="30"/>
  <c r="I41" i="30"/>
  <c r="G41" i="30"/>
  <c r="F41" i="30"/>
  <c r="E41" i="30"/>
  <c r="D41" i="30"/>
  <c r="C41" i="30"/>
  <c r="M40" i="30"/>
  <c r="L40" i="30"/>
  <c r="K40" i="30"/>
  <c r="J40" i="30"/>
  <c r="I40" i="30"/>
  <c r="G40" i="30"/>
  <c r="F40" i="30"/>
  <c r="E40" i="30"/>
  <c r="D40" i="30"/>
  <c r="C40" i="30"/>
  <c r="M39" i="30"/>
  <c r="L39" i="30"/>
  <c r="K39" i="30"/>
  <c r="J39" i="30"/>
  <c r="I39" i="30"/>
  <c r="G39" i="30"/>
  <c r="G53" i="30" s="1"/>
  <c r="G67" i="30" s="1"/>
  <c r="F39" i="30"/>
  <c r="E39" i="30"/>
  <c r="D39" i="30"/>
  <c r="C39" i="30"/>
  <c r="M38" i="30"/>
  <c r="L38" i="30"/>
  <c r="K38" i="30"/>
  <c r="J38" i="30"/>
  <c r="I38" i="30"/>
  <c r="G38" i="30"/>
  <c r="F38" i="30"/>
  <c r="E38" i="30"/>
  <c r="D38" i="30"/>
  <c r="C38" i="30"/>
  <c r="M37" i="30"/>
  <c r="L37" i="30"/>
  <c r="K37" i="30"/>
  <c r="K53" i="30" s="1"/>
  <c r="J37" i="30"/>
  <c r="I37" i="30"/>
  <c r="G37" i="30"/>
  <c r="F37" i="30"/>
  <c r="E37" i="30"/>
  <c r="D37" i="30"/>
  <c r="C37" i="30"/>
  <c r="M34" i="30"/>
  <c r="L34" i="30"/>
  <c r="K34" i="30"/>
  <c r="J34" i="30"/>
  <c r="I34" i="30"/>
  <c r="G34" i="30"/>
  <c r="F34" i="30"/>
  <c r="E34" i="30"/>
  <c r="D34" i="30"/>
  <c r="C34" i="30"/>
  <c r="M33" i="30"/>
  <c r="L33" i="30"/>
  <c r="K33" i="30"/>
  <c r="J33" i="30"/>
  <c r="I33" i="30"/>
  <c r="G33" i="30"/>
  <c r="F33" i="30"/>
  <c r="E33" i="30"/>
  <c r="D33" i="30"/>
  <c r="C33" i="30"/>
  <c r="M32" i="30"/>
  <c r="L32" i="30"/>
  <c r="K32" i="30"/>
  <c r="J32" i="30"/>
  <c r="I32" i="30"/>
  <c r="G32" i="30"/>
  <c r="F32" i="30"/>
  <c r="E32" i="30"/>
  <c r="D32" i="30"/>
  <c r="C32" i="30"/>
  <c r="M31" i="30"/>
  <c r="L31" i="30"/>
  <c r="K31" i="30"/>
  <c r="J31" i="30"/>
  <c r="I31" i="30"/>
  <c r="G31" i="30"/>
  <c r="F31" i="30"/>
  <c r="E31" i="30"/>
  <c r="D31" i="30"/>
  <c r="C31" i="30"/>
  <c r="M30" i="30"/>
  <c r="L30" i="30"/>
  <c r="K30" i="30"/>
  <c r="J30" i="30"/>
  <c r="I30" i="30"/>
  <c r="G30" i="30"/>
  <c r="F30" i="30"/>
  <c r="E30" i="30"/>
  <c r="D30" i="30"/>
  <c r="C30" i="30"/>
  <c r="M29" i="30"/>
  <c r="L29" i="30"/>
  <c r="K29" i="30"/>
  <c r="J29" i="30"/>
  <c r="I29" i="30"/>
  <c r="G29" i="30"/>
  <c r="F29" i="30"/>
  <c r="E29" i="30"/>
  <c r="D29" i="30"/>
  <c r="C29" i="30"/>
  <c r="M28" i="30"/>
  <c r="L28" i="30"/>
  <c r="K28" i="30"/>
  <c r="J28" i="30"/>
  <c r="I28" i="30"/>
  <c r="G28" i="30"/>
  <c r="F28" i="30"/>
  <c r="E28" i="30"/>
  <c r="D28" i="30"/>
  <c r="C28" i="30"/>
  <c r="M27" i="30"/>
  <c r="L27" i="30"/>
  <c r="K27" i="30"/>
  <c r="J27" i="30"/>
  <c r="I27" i="30"/>
  <c r="G27" i="30"/>
  <c r="F27" i="30"/>
  <c r="E27" i="30"/>
  <c r="D27" i="30"/>
  <c r="C27" i="30"/>
  <c r="M26" i="30"/>
  <c r="L26" i="30"/>
  <c r="K26" i="30"/>
  <c r="J26" i="30"/>
  <c r="I26" i="30"/>
  <c r="G26" i="30"/>
  <c r="F26" i="30"/>
  <c r="E26" i="30"/>
  <c r="D26" i="30"/>
  <c r="C26" i="30"/>
  <c r="M25" i="30"/>
  <c r="L25" i="30"/>
  <c r="K25" i="30"/>
  <c r="J25" i="30"/>
  <c r="I25" i="30"/>
  <c r="G25" i="30"/>
  <c r="F25" i="30"/>
  <c r="E25" i="30"/>
  <c r="D25" i="30"/>
  <c r="C25" i="30"/>
  <c r="M24" i="30"/>
  <c r="L24" i="30"/>
  <c r="K24" i="30"/>
  <c r="J24" i="30"/>
  <c r="J35" i="30" s="1"/>
  <c r="J62" i="30" s="1"/>
  <c r="I24" i="30"/>
  <c r="G24" i="30"/>
  <c r="F24" i="30"/>
  <c r="E24" i="30"/>
  <c r="D24" i="30"/>
  <c r="C24" i="30"/>
  <c r="M23" i="30"/>
  <c r="L23" i="30"/>
  <c r="K23" i="30"/>
  <c r="J23" i="30"/>
  <c r="I23" i="30"/>
  <c r="G23" i="30"/>
  <c r="F23" i="30"/>
  <c r="E23" i="30"/>
  <c r="D23" i="30"/>
  <c r="C23" i="30"/>
  <c r="M22" i="30"/>
  <c r="L22" i="30"/>
  <c r="K22" i="30"/>
  <c r="J22" i="30"/>
  <c r="I22" i="30"/>
  <c r="G22" i="30"/>
  <c r="F22" i="30"/>
  <c r="E22" i="30"/>
  <c r="D22" i="30"/>
  <c r="C22" i="30"/>
  <c r="M21" i="30"/>
  <c r="L21" i="30"/>
  <c r="K21" i="30"/>
  <c r="J21" i="30"/>
  <c r="I21" i="30"/>
  <c r="G21" i="30"/>
  <c r="G35" i="30" s="1"/>
  <c r="F21" i="30"/>
  <c r="E21" i="30"/>
  <c r="D21" i="30"/>
  <c r="C21" i="30"/>
  <c r="M18" i="30"/>
  <c r="L18" i="30"/>
  <c r="K18" i="30"/>
  <c r="J18" i="30"/>
  <c r="I18" i="30"/>
  <c r="G18" i="30"/>
  <c r="F18" i="30"/>
  <c r="E18" i="30"/>
  <c r="D18" i="30"/>
  <c r="C18" i="30"/>
  <c r="M17" i="30"/>
  <c r="L17" i="30"/>
  <c r="K17" i="30"/>
  <c r="J17" i="30"/>
  <c r="I17" i="30"/>
  <c r="G17" i="30"/>
  <c r="F17" i="30"/>
  <c r="E17" i="30"/>
  <c r="D17" i="30"/>
  <c r="C17" i="30"/>
  <c r="M16" i="30"/>
  <c r="L16" i="30"/>
  <c r="K16" i="30"/>
  <c r="J16" i="30"/>
  <c r="I16" i="30"/>
  <c r="G16" i="30"/>
  <c r="F16" i="30"/>
  <c r="E16" i="30"/>
  <c r="D16" i="30"/>
  <c r="C16" i="30"/>
  <c r="M15" i="30"/>
  <c r="L15" i="30"/>
  <c r="K15" i="30"/>
  <c r="J15" i="30"/>
  <c r="I15" i="30"/>
  <c r="G15" i="30"/>
  <c r="F15" i="30"/>
  <c r="E15" i="30"/>
  <c r="D15" i="30"/>
  <c r="C15" i="30"/>
  <c r="M14" i="30"/>
  <c r="L14" i="30"/>
  <c r="K14" i="30"/>
  <c r="J14" i="30"/>
  <c r="I14" i="30"/>
  <c r="G14" i="30"/>
  <c r="F14" i="30"/>
  <c r="E14" i="30"/>
  <c r="D14" i="30"/>
  <c r="C14" i="30"/>
  <c r="M13" i="30"/>
  <c r="L13" i="30"/>
  <c r="K13" i="30"/>
  <c r="J13" i="30"/>
  <c r="I13" i="30"/>
  <c r="G13" i="30"/>
  <c r="F13" i="30"/>
  <c r="E13" i="30"/>
  <c r="D13" i="30"/>
  <c r="C13" i="30"/>
  <c r="M12" i="30"/>
  <c r="L12" i="30"/>
  <c r="K12" i="30"/>
  <c r="J12" i="30"/>
  <c r="I12" i="30"/>
  <c r="G12" i="30"/>
  <c r="F12" i="30"/>
  <c r="E12" i="30"/>
  <c r="D12" i="30"/>
  <c r="C12" i="30"/>
  <c r="M11" i="30"/>
  <c r="L11" i="30"/>
  <c r="K11" i="30"/>
  <c r="J11" i="30"/>
  <c r="I11" i="30"/>
  <c r="G11" i="30"/>
  <c r="F11" i="30"/>
  <c r="E11" i="30"/>
  <c r="D11" i="30"/>
  <c r="C11" i="30"/>
  <c r="M10" i="30"/>
  <c r="L10" i="30"/>
  <c r="K10" i="30"/>
  <c r="J10" i="30"/>
  <c r="I10" i="30"/>
  <c r="G10" i="30"/>
  <c r="F10" i="30"/>
  <c r="E10" i="30"/>
  <c r="D10" i="30"/>
  <c r="C10" i="30"/>
  <c r="M9" i="30"/>
  <c r="L9" i="30"/>
  <c r="K9" i="30"/>
  <c r="J9" i="30"/>
  <c r="I9" i="30"/>
  <c r="G9" i="30"/>
  <c r="F9" i="30"/>
  <c r="E9" i="30"/>
  <c r="D9" i="30"/>
  <c r="C9" i="30"/>
  <c r="M8" i="30"/>
  <c r="L8" i="30"/>
  <c r="K8" i="30"/>
  <c r="J8" i="30"/>
  <c r="I8" i="30"/>
  <c r="G8" i="30"/>
  <c r="F8" i="30"/>
  <c r="E8" i="30"/>
  <c r="D8" i="30"/>
  <c r="C8" i="30"/>
  <c r="M7" i="30"/>
  <c r="L7" i="30"/>
  <c r="K7" i="30"/>
  <c r="J7" i="30"/>
  <c r="I7" i="30"/>
  <c r="G7" i="30"/>
  <c r="F7" i="30"/>
  <c r="E7" i="30"/>
  <c r="D7" i="30"/>
  <c r="C7" i="30"/>
  <c r="M6" i="30"/>
  <c r="L6" i="30"/>
  <c r="K6" i="30"/>
  <c r="J6" i="30"/>
  <c r="I6" i="30"/>
  <c r="G6" i="30"/>
  <c r="F6" i="30"/>
  <c r="E6" i="30"/>
  <c r="D6" i="30"/>
  <c r="C6" i="30"/>
  <c r="M5" i="30"/>
  <c r="L5" i="30"/>
  <c r="L19" i="30" s="1"/>
  <c r="K5" i="30"/>
  <c r="J5" i="30"/>
  <c r="I5" i="30"/>
  <c r="G5" i="30"/>
  <c r="F5" i="30"/>
  <c r="E5" i="30"/>
  <c r="D5" i="30"/>
  <c r="C5" i="30"/>
  <c r="M4" i="30"/>
  <c r="L4" i="30"/>
  <c r="K4" i="30"/>
  <c r="J4" i="30"/>
  <c r="I4" i="30"/>
  <c r="G4" i="30"/>
  <c r="F4" i="30"/>
  <c r="E4" i="30"/>
  <c r="D4" i="30"/>
  <c r="C4" i="30"/>
  <c r="AG53" i="29"/>
  <c r="BZ51" i="29"/>
  <c r="BN51" i="29"/>
  <c r="V51" i="29"/>
  <c r="J51" i="29"/>
  <c r="AH46" i="29"/>
  <c r="AH45" i="29"/>
  <c r="AH44" i="29"/>
  <c r="AH39" i="29"/>
  <c r="AH38" i="29"/>
  <c r="AH32" i="29"/>
  <c r="AE32" i="29"/>
  <c r="AH31" i="29"/>
  <c r="AG31" i="29"/>
  <c r="AE31" i="29"/>
  <c r="AD31" i="29"/>
  <c r="AC31" i="29"/>
  <c r="AB31" i="29"/>
  <c r="Y31" i="29"/>
  <c r="X31" i="29"/>
  <c r="W31" i="29"/>
  <c r="V31" i="29"/>
  <c r="U31" i="29"/>
  <c r="S31" i="29"/>
  <c r="R31" i="29"/>
  <c r="Q31" i="29"/>
  <c r="P31" i="29"/>
  <c r="O31" i="29"/>
  <c r="M31" i="29"/>
  <c r="L31" i="29"/>
  <c r="K31" i="29"/>
  <c r="J31" i="29"/>
  <c r="I31" i="29"/>
  <c r="G31" i="29"/>
  <c r="F31" i="29"/>
  <c r="E31" i="29"/>
  <c r="D31" i="29"/>
  <c r="C31" i="29"/>
  <c r="AH30" i="29"/>
  <c r="AG30" i="29"/>
  <c r="AE30" i="29"/>
  <c r="AD30" i="29"/>
  <c r="AC30" i="29"/>
  <c r="AB30" i="29"/>
  <c r="Y30" i="29"/>
  <c r="X30" i="29"/>
  <c r="W30" i="29"/>
  <c r="V30" i="29"/>
  <c r="U30" i="29"/>
  <c r="S30" i="29"/>
  <c r="R30" i="29"/>
  <c r="Q30" i="29"/>
  <c r="P30" i="29"/>
  <c r="O30" i="29"/>
  <c r="M30" i="29"/>
  <c r="L30" i="29"/>
  <c r="K30" i="29"/>
  <c r="J30" i="29"/>
  <c r="I30" i="29"/>
  <c r="G30" i="29"/>
  <c r="F30" i="29"/>
  <c r="E30" i="29"/>
  <c r="D30" i="29"/>
  <c r="C30" i="29"/>
  <c r="AH29" i="29"/>
  <c r="AG29" i="29"/>
  <c r="AE29" i="29"/>
  <c r="AD29" i="29"/>
  <c r="AC29" i="29"/>
  <c r="AB29" i="29"/>
  <c r="Y29" i="29"/>
  <c r="X29" i="29"/>
  <c r="W29" i="29"/>
  <c r="V29" i="29"/>
  <c r="U29" i="29"/>
  <c r="S29" i="29"/>
  <c r="R29" i="29"/>
  <c r="Q29" i="29"/>
  <c r="P29" i="29"/>
  <c r="O29" i="29"/>
  <c r="M29" i="29"/>
  <c r="L29" i="29"/>
  <c r="K29" i="29"/>
  <c r="J29" i="29"/>
  <c r="I29" i="29"/>
  <c r="G29" i="29"/>
  <c r="F29" i="29"/>
  <c r="E29" i="29"/>
  <c r="D29" i="29"/>
  <c r="C29" i="29"/>
  <c r="AH28" i="29"/>
  <c r="AG28" i="29"/>
  <c r="AE28" i="29"/>
  <c r="AD28" i="29"/>
  <c r="AC28" i="29"/>
  <c r="AB28" i="29"/>
  <c r="Y28" i="29"/>
  <c r="X28" i="29"/>
  <c r="W28" i="29"/>
  <c r="V28" i="29"/>
  <c r="U28" i="29"/>
  <c r="S28" i="29"/>
  <c r="R28" i="29"/>
  <c r="Q28" i="29"/>
  <c r="P28" i="29"/>
  <c r="O28" i="29"/>
  <c r="M28" i="29"/>
  <c r="L28" i="29"/>
  <c r="K28" i="29"/>
  <c r="J28" i="29"/>
  <c r="I28" i="29"/>
  <c r="G28" i="29"/>
  <c r="F28" i="29"/>
  <c r="E28" i="29"/>
  <c r="D28" i="29"/>
  <c r="C28" i="29"/>
  <c r="AH27" i="29"/>
  <c r="AG27" i="29"/>
  <c r="AE27" i="29"/>
  <c r="AD27" i="29"/>
  <c r="AC27" i="29"/>
  <c r="AB27" i="29"/>
  <c r="Y27" i="29"/>
  <c r="X27" i="29"/>
  <c r="W27" i="29"/>
  <c r="V27" i="29"/>
  <c r="U27" i="29"/>
  <c r="S27" i="29"/>
  <c r="R27" i="29"/>
  <c r="Q27" i="29"/>
  <c r="P27" i="29"/>
  <c r="O27" i="29"/>
  <c r="M27" i="29"/>
  <c r="L27" i="29"/>
  <c r="K27" i="29"/>
  <c r="J27" i="29"/>
  <c r="I27" i="29"/>
  <c r="G27" i="29"/>
  <c r="F27" i="29"/>
  <c r="E27" i="29"/>
  <c r="D27" i="29"/>
  <c r="C27" i="29"/>
  <c r="AH26" i="29"/>
  <c r="AG26" i="29"/>
  <c r="AE26" i="29"/>
  <c r="AD26" i="29"/>
  <c r="AC26" i="29"/>
  <c r="AB26" i="29"/>
  <c r="Y26" i="29"/>
  <c r="X26" i="29"/>
  <c r="W26" i="29"/>
  <c r="V26" i="29"/>
  <c r="U26" i="29"/>
  <c r="S26" i="29"/>
  <c r="R26" i="29"/>
  <c r="Q26" i="29"/>
  <c r="P26" i="29"/>
  <c r="O26" i="29"/>
  <c r="M26" i="29"/>
  <c r="L26" i="29"/>
  <c r="K26" i="29"/>
  <c r="J26" i="29"/>
  <c r="I26" i="29"/>
  <c r="G26" i="29"/>
  <c r="F26" i="29"/>
  <c r="E26" i="29"/>
  <c r="D26" i="29"/>
  <c r="C26" i="29"/>
  <c r="AH25" i="29"/>
  <c r="AG25" i="29"/>
  <c r="AE25" i="29"/>
  <c r="AD25" i="29"/>
  <c r="AC25" i="29"/>
  <c r="AB25" i="29"/>
  <c r="Y25" i="29"/>
  <c r="X25" i="29"/>
  <c r="W25" i="29"/>
  <c r="V25" i="29"/>
  <c r="U25" i="29"/>
  <c r="S25" i="29"/>
  <c r="R25" i="29"/>
  <c r="Q25" i="29"/>
  <c r="P25" i="29"/>
  <c r="O25" i="29"/>
  <c r="M25" i="29"/>
  <c r="L25" i="29"/>
  <c r="K25" i="29"/>
  <c r="J25" i="29"/>
  <c r="I25" i="29"/>
  <c r="G25" i="29"/>
  <c r="F25" i="29"/>
  <c r="E25" i="29"/>
  <c r="D25" i="29"/>
  <c r="C25" i="29"/>
  <c r="AH24" i="29"/>
  <c r="AG24" i="29"/>
  <c r="AE24" i="29"/>
  <c r="AD24" i="29"/>
  <c r="AC24" i="29"/>
  <c r="AB24" i="29"/>
  <c r="Y24" i="29"/>
  <c r="X24" i="29"/>
  <c r="W24" i="29"/>
  <c r="V24" i="29"/>
  <c r="U24" i="29"/>
  <c r="S24" i="29"/>
  <c r="R24" i="29"/>
  <c r="Q24" i="29"/>
  <c r="P24" i="29"/>
  <c r="O24" i="29"/>
  <c r="M24" i="29"/>
  <c r="L24" i="29"/>
  <c r="K24" i="29"/>
  <c r="J24" i="29"/>
  <c r="I24" i="29"/>
  <c r="G24" i="29"/>
  <c r="F24" i="29"/>
  <c r="E24" i="29"/>
  <c r="D24" i="29"/>
  <c r="C24" i="29"/>
  <c r="AH23" i="29"/>
  <c r="AG23" i="29"/>
  <c r="AE23" i="29"/>
  <c r="AD23" i="29"/>
  <c r="AC23" i="29"/>
  <c r="AB23" i="29"/>
  <c r="Y23" i="29"/>
  <c r="X23" i="29"/>
  <c r="W23" i="29"/>
  <c r="V23" i="29"/>
  <c r="U23" i="29"/>
  <c r="S23" i="29"/>
  <c r="R23" i="29"/>
  <c r="Q23" i="29"/>
  <c r="P23" i="29"/>
  <c r="O23" i="29"/>
  <c r="M23" i="29"/>
  <c r="L23" i="29"/>
  <c r="K23" i="29"/>
  <c r="J23" i="29"/>
  <c r="I23" i="29"/>
  <c r="G23" i="29"/>
  <c r="F23" i="29"/>
  <c r="E23" i="29"/>
  <c r="D23" i="29"/>
  <c r="C23" i="29"/>
  <c r="AH22" i="29"/>
  <c r="AH48" i="29" s="1"/>
  <c r="AG22" i="29"/>
  <c r="AE22" i="29"/>
  <c r="AD22" i="29"/>
  <c r="AD32" i="29" s="1"/>
  <c r="AC22" i="29"/>
  <c r="AC32" i="29" s="1"/>
  <c r="AC44" i="29" s="1"/>
  <c r="AB22" i="29"/>
  <c r="Y22" i="29"/>
  <c r="X22" i="29"/>
  <c r="W22" i="29"/>
  <c r="V22" i="29"/>
  <c r="U22" i="29"/>
  <c r="S22" i="29"/>
  <c r="R22" i="29"/>
  <c r="Q22" i="29"/>
  <c r="P22" i="29"/>
  <c r="O22" i="29"/>
  <c r="M22" i="29"/>
  <c r="L22" i="29"/>
  <c r="K22" i="29"/>
  <c r="J22" i="29"/>
  <c r="I22" i="29"/>
  <c r="G22" i="29"/>
  <c r="F22" i="29"/>
  <c r="E22" i="29"/>
  <c r="D22" i="29"/>
  <c r="C22" i="29"/>
  <c r="AH17" i="29"/>
  <c r="AG17" i="29"/>
  <c r="AE17" i="29"/>
  <c r="AD17" i="29"/>
  <c r="AC17" i="29"/>
  <c r="AB17" i="29"/>
  <c r="Y17" i="29"/>
  <c r="X17" i="29"/>
  <c r="W17" i="29"/>
  <c r="V17" i="29"/>
  <c r="U17" i="29"/>
  <c r="S17" i="29"/>
  <c r="R17" i="29"/>
  <c r="Q17" i="29"/>
  <c r="P17" i="29"/>
  <c r="O17" i="29"/>
  <c r="M17" i="29"/>
  <c r="L17" i="29"/>
  <c r="K17" i="29"/>
  <c r="J17" i="29"/>
  <c r="I17" i="29"/>
  <c r="G17" i="29"/>
  <c r="F17" i="29"/>
  <c r="E17" i="29"/>
  <c r="D17" i="29"/>
  <c r="C17" i="29"/>
  <c r="AH16" i="29"/>
  <c r="AG16" i="29"/>
  <c r="AE16" i="29"/>
  <c r="AD16" i="29"/>
  <c r="AC16" i="29"/>
  <c r="AB16" i="29"/>
  <c r="Y16" i="29"/>
  <c r="X16" i="29"/>
  <c r="W16" i="29"/>
  <c r="V16" i="29"/>
  <c r="U16" i="29"/>
  <c r="S16" i="29"/>
  <c r="R16" i="29"/>
  <c r="Q16" i="29"/>
  <c r="P16" i="29"/>
  <c r="O16" i="29"/>
  <c r="M16" i="29"/>
  <c r="L16" i="29"/>
  <c r="K16" i="29"/>
  <c r="J16" i="29"/>
  <c r="I16" i="29"/>
  <c r="G16" i="29"/>
  <c r="F16" i="29"/>
  <c r="E16" i="29"/>
  <c r="D16" i="29"/>
  <c r="C16" i="29"/>
  <c r="AH15" i="29"/>
  <c r="AG15" i="29"/>
  <c r="AE15" i="29"/>
  <c r="AD15" i="29"/>
  <c r="AC15" i="29"/>
  <c r="AB15" i="29"/>
  <c r="Y15" i="29"/>
  <c r="X15" i="29"/>
  <c r="W15" i="29"/>
  <c r="V15" i="29"/>
  <c r="U15" i="29"/>
  <c r="S15" i="29"/>
  <c r="R15" i="29"/>
  <c r="Q15" i="29"/>
  <c r="P15" i="29"/>
  <c r="O15" i="29"/>
  <c r="M15" i="29"/>
  <c r="L15" i="29"/>
  <c r="K15" i="29"/>
  <c r="J15" i="29"/>
  <c r="I15" i="29"/>
  <c r="G15" i="29"/>
  <c r="F15" i="29"/>
  <c r="E15" i="29"/>
  <c r="D15" i="29"/>
  <c r="C15" i="29"/>
  <c r="AH14" i="29"/>
  <c r="AG14" i="29"/>
  <c r="AE14" i="29"/>
  <c r="AD14" i="29"/>
  <c r="AC14" i="29"/>
  <c r="AB14" i="29"/>
  <c r="Y14" i="29"/>
  <c r="X14" i="29"/>
  <c r="W14" i="29"/>
  <c r="V14" i="29"/>
  <c r="U14" i="29"/>
  <c r="S14" i="29"/>
  <c r="R14" i="29"/>
  <c r="Q14" i="29"/>
  <c r="P14" i="29"/>
  <c r="O14" i="29"/>
  <c r="M14" i="29"/>
  <c r="L14" i="29"/>
  <c r="K14" i="29"/>
  <c r="J14" i="29"/>
  <c r="I14" i="29"/>
  <c r="G14" i="29"/>
  <c r="F14" i="29"/>
  <c r="E14" i="29"/>
  <c r="D14" i="29"/>
  <c r="C14" i="29"/>
  <c r="AH13" i="29"/>
  <c r="AG13" i="29"/>
  <c r="AE13" i="29"/>
  <c r="AD13" i="29"/>
  <c r="AC13" i="29"/>
  <c r="AB13" i="29"/>
  <c r="Y13" i="29"/>
  <c r="X13" i="29"/>
  <c r="W13" i="29"/>
  <c r="V13" i="29"/>
  <c r="U13" i="29"/>
  <c r="S13" i="29"/>
  <c r="R13" i="29"/>
  <c r="Q13" i="29"/>
  <c r="P13" i="29"/>
  <c r="O13" i="29"/>
  <c r="M13" i="29"/>
  <c r="L13" i="29"/>
  <c r="K13" i="29"/>
  <c r="J13" i="29"/>
  <c r="I13" i="29"/>
  <c r="G13" i="29"/>
  <c r="F13" i="29"/>
  <c r="E13" i="29"/>
  <c r="D13" i="29"/>
  <c r="C13" i="29"/>
  <c r="AH12" i="29"/>
  <c r="AG12" i="29"/>
  <c r="AE12" i="29"/>
  <c r="AD12" i="29"/>
  <c r="AC12" i="29"/>
  <c r="AB12" i="29"/>
  <c r="Y12" i="29"/>
  <c r="X12" i="29"/>
  <c r="W12" i="29"/>
  <c r="V12" i="29"/>
  <c r="U12" i="29"/>
  <c r="S12" i="29"/>
  <c r="R12" i="29"/>
  <c r="Q12" i="29"/>
  <c r="P12" i="29"/>
  <c r="O12" i="29"/>
  <c r="M12" i="29"/>
  <c r="L12" i="29"/>
  <c r="K12" i="29"/>
  <c r="J12" i="29"/>
  <c r="I12" i="29"/>
  <c r="G12" i="29"/>
  <c r="F12" i="29"/>
  <c r="E12" i="29"/>
  <c r="D12" i="29"/>
  <c r="C12" i="29"/>
  <c r="AH11" i="29"/>
  <c r="AG11" i="29"/>
  <c r="AE11" i="29"/>
  <c r="AD11" i="29"/>
  <c r="AC11" i="29"/>
  <c r="AB11" i="29"/>
  <c r="Y11" i="29"/>
  <c r="X11" i="29"/>
  <c r="W11" i="29"/>
  <c r="V11" i="29"/>
  <c r="U11" i="29"/>
  <c r="S11" i="29"/>
  <c r="R11" i="29"/>
  <c r="Q11" i="29"/>
  <c r="P11" i="29"/>
  <c r="O11" i="29"/>
  <c r="M11" i="29"/>
  <c r="L11" i="29"/>
  <c r="K11" i="29"/>
  <c r="J11" i="29"/>
  <c r="I11" i="29"/>
  <c r="G11" i="29"/>
  <c r="F11" i="29"/>
  <c r="E11" i="29"/>
  <c r="D11" i="29"/>
  <c r="C11" i="29"/>
  <c r="AH10" i="29"/>
  <c r="AG10" i="29"/>
  <c r="AE10" i="29"/>
  <c r="AD10" i="29"/>
  <c r="AC10" i="29"/>
  <c r="AB10" i="29"/>
  <c r="Y10" i="29"/>
  <c r="X10" i="29"/>
  <c r="W10" i="29"/>
  <c r="V10" i="29"/>
  <c r="U10" i="29"/>
  <c r="S10" i="29"/>
  <c r="R10" i="29"/>
  <c r="Q10" i="29"/>
  <c r="P10" i="29"/>
  <c r="O10" i="29"/>
  <c r="M10" i="29"/>
  <c r="L10" i="29"/>
  <c r="K10" i="29"/>
  <c r="J10" i="29"/>
  <c r="I10" i="29"/>
  <c r="G10" i="29"/>
  <c r="F10" i="29"/>
  <c r="E10" i="29"/>
  <c r="D10" i="29"/>
  <c r="C10" i="29"/>
  <c r="AH9" i="29"/>
  <c r="AG9" i="29"/>
  <c r="AE9" i="29"/>
  <c r="AD9" i="29"/>
  <c r="AC9" i="29"/>
  <c r="AB9" i="29"/>
  <c r="Y9" i="29"/>
  <c r="X9" i="29"/>
  <c r="W9" i="29"/>
  <c r="V9" i="29"/>
  <c r="U9" i="29"/>
  <c r="S9" i="29"/>
  <c r="R9" i="29"/>
  <c r="Q9" i="29"/>
  <c r="P9" i="29"/>
  <c r="O9" i="29"/>
  <c r="M9" i="29"/>
  <c r="L9" i="29"/>
  <c r="K9" i="29"/>
  <c r="J9" i="29"/>
  <c r="I9" i="29"/>
  <c r="G9" i="29"/>
  <c r="F9" i="29"/>
  <c r="E9" i="29"/>
  <c r="D9" i="29"/>
  <c r="C9" i="29"/>
  <c r="AH8" i="29"/>
  <c r="AH18" i="29" s="1"/>
  <c r="AH37" i="29" s="1"/>
  <c r="AG8" i="29"/>
  <c r="AG18" i="29" s="1"/>
  <c r="AH36" i="29" s="1"/>
  <c r="AH40" i="29" s="1"/>
  <c r="AE8" i="29"/>
  <c r="AD8" i="29"/>
  <c r="AC8" i="29"/>
  <c r="AB8" i="29"/>
  <c r="Y8" i="29"/>
  <c r="X8" i="29"/>
  <c r="W8" i="29"/>
  <c r="V8" i="29"/>
  <c r="U8" i="29"/>
  <c r="S8" i="29"/>
  <c r="R8" i="29"/>
  <c r="Q8" i="29"/>
  <c r="P8" i="29"/>
  <c r="O8" i="29"/>
  <c r="M8" i="29"/>
  <c r="L8" i="29"/>
  <c r="K8" i="29"/>
  <c r="J8" i="29"/>
  <c r="I8" i="29"/>
  <c r="G8" i="29"/>
  <c r="F8" i="29"/>
  <c r="E8" i="29"/>
  <c r="D8" i="29"/>
  <c r="C8" i="29"/>
  <c r="AH7" i="29"/>
  <c r="AG7" i="29"/>
  <c r="AE7" i="29"/>
  <c r="AD7" i="29"/>
  <c r="AC7" i="29"/>
  <c r="AB7" i="29"/>
  <c r="Y7" i="29"/>
  <c r="X7" i="29"/>
  <c r="W7" i="29"/>
  <c r="V7" i="29"/>
  <c r="U7" i="29"/>
  <c r="S7" i="29"/>
  <c r="R7" i="29"/>
  <c r="Q7" i="29"/>
  <c r="P7" i="29"/>
  <c r="P18" i="29" s="1"/>
  <c r="O7" i="29"/>
  <c r="M7" i="29"/>
  <c r="L7" i="29"/>
  <c r="K7" i="29"/>
  <c r="J7" i="29"/>
  <c r="I7" i="29"/>
  <c r="G7" i="29"/>
  <c r="F7" i="29"/>
  <c r="E7" i="29"/>
  <c r="D7" i="29"/>
  <c r="C7" i="29"/>
  <c r="AH6" i="29"/>
  <c r="AG6" i="29"/>
  <c r="AE6" i="29"/>
  <c r="AD6" i="29"/>
  <c r="AC6" i="29"/>
  <c r="AC18" i="29" s="1"/>
  <c r="AC37" i="29" s="1"/>
  <c r="AB6" i="29"/>
  <c r="Y6" i="29"/>
  <c r="X6" i="29"/>
  <c r="W6" i="29"/>
  <c r="V6" i="29"/>
  <c r="U6" i="29"/>
  <c r="S6" i="29"/>
  <c r="R6" i="29"/>
  <c r="Q6" i="29"/>
  <c r="P6" i="29"/>
  <c r="O6" i="29"/>
  <c r="M6" i="29"/>
  <c r="L6" i="29"/>
  <c r="K6" i="29"/>
  <c r="J6" i="29"/>
  <c r="I6" i="29"/>
  <c r="G6" i="29"/>
  <c r="F6" i="29"/>
  <c r="E6" i="29"/>
  <c r="D6" i="29"/>
  <c r="C6" i="29"/>
  <c r="J47" i="22"/>
  <c r="I47" i="22"/>
  <c r="H47" i="22"/>
  <c r="G47" i="22"/>
  <c r="C47" i="22"/>
  <c r="J46" i="22"/>
  <c r="I46" i="22"/>
  <c r="H46" i="22"/>
  <c r="G46" i="22"/>
  <c r="C46" i="22"/>
  <c r="J45" i="22"/>
  <c r="I45" i="22"/>
  <c r="H45" i="22"/>
  <c r="G45" i="22"/>
  <c r="C45" i="22"/>
  <c r="J44" i="22"/>
  <c r="I44" i="22"/>
  <c r="H44" i="22"/>
  <c r="G44" i="22"/>
  <c r="C44" i="22"/>
  <c r="J43" i="22"/>
  <c r="I43" i="22"/>
  <c r="H43" i="22"/>
  <c r="G43" i="22"/>
  <c r="C43" i="22"/>
  <c r="J42" i="22"/>
  <c r="I42" i="22"/>
  <c r="H42" i="22"/>
  <c r="G42" i="22"/>
  <c r="C42" i="22"/>
  <c r="J41" i="22"/>
  <c r="I41" i="22"/>
  <c r="H41" i="22"/>
  <c r="G41" i="22"/>
  <c r="C41" i="22"/>
  <c r="J40" i="22"/>
  <c r="I40" i="22"/>
  <c r="H40" i="22"/>
  <c r="G40" i="22"/>
  <c r="C40" i="22"/>
  <c r="J39" i="22"/>
  <c r="I39" i="22"/>
  <c r="H39" i="22"/>
  <c r="G39" i="22"/>
  <c r="C39" i="22"/>
  <c r="J38" i="22"/>
  <c r="I38" i="22"/>
  <c r="H38" i="22"/>
  <c r="G38" i="22"/>
  <c r="C38" i="22"/>
  <c r="J37" i="22"/>
  <c r="I37" i="22"/>
  <c r="H37" i="22"/>
  <c r="G37" i="22"/>
  <c r="C37" i="22"/>
  <c r="J36" i="22"/>
  <c r="I36" i="22"/>
  <c r="H36" i="22"/>
  <c r="G36" i="22"/>
  <c r="C36" i="22"/>
  <c r="J35" i="22"/>
  <c r="I35" i="22"/>
  <c r="H35" i="22"/>
  <c r="G35" i="22"/>
  <c r="C35" i="22"/>
  <c r="J34" i="22"/>
  <c r="I34" i="22"/>
  <c r="H34" i="22"/>
  <c r="G34" i="22"/>
  <c r="C34" i="22"/>
  <c r="J33" i="22"/>
  <c r="I33" i="22"/>
  <c r="H33" i="22"/>
  <c r="G33" i="22"/>
  <c r="C33" i="22"/>
  <c r="B32" i="24"/>
  <c r="C32" i="24" s="1"/>
  <c r="J32" i="22"/>
  <c r="I32" i="22"/>
  <c r="H32" i="22"/>
  <c r="G32" i="22"/>
  <c r="C32" i="22"/>
  <c r="B31" i="24"/>
  <c r="C31" i="24"/>
  <c r="J31" i="22"/>
  <c r="I31" i="22"/>
  <c r="H31" i="22"/>
  <c r="G31" i="22"/>
  <c r="C31" i="22"/>
  <c r="J30" i="22"/>
  <c r="I30" i="22"/>
  <c r="H30" i="22"/>
  <c r="G30" i="22"/>
  <c r="C30" i="22"/>
  <c r="AE24" i="22"/>
  <c r="E40" i="24"/>
  <c r="J29" i="22"/>
  <c r="I29" i="22"/>
  <c r="H29" i="22"/>
  <c r="G29" i="22"/>
  <c r="C29" i="22"/>
  <c r="J28" i="22"/>
  <c r="I28" i="22"/>
  <c r="H28" i="22"/>
  <c r="G28" i="22"/>
  <c r="C28" i="22"/>
  <c r="J27" i="22"/>
  <c r="I27" i="22"/>
  <c r="H27" i="22"/>
  <c r="G27" i="22"/>
  <c r="C27" i="22"/>
  <c r="J26" i="22"/>
  <c r="I26" i="22"/>
  <c r="H26" i="22"/>
  <c r="G26" i="22"/>
  <c r="C26" i="22"/>
  <c r="E26" i="22" s="1"/>
  <c r="F26" i="22" s="1"/>
  <c r="J25" i="22"/>
  <c r="I25" i="22"/>
  <c r="H25" i="22"/>
  <c r="G25" i="22"/>
  <c r="C25" i="22"/>
  <c r="J24" i="22"/>
  <c r="I24" i="22"/>
  <c r="H24" i="22"/>
  <c r="AE26" i="22" s="1"/>
  <c r="G24" i="22"/>
  <c r="C24" i="22"/>
  <c r="J23" i="22"/>
  <c r="I23" i="22"/>
  <c r="H23" i="22"/>
  <c r="G23" i="22"/>
  <c r="C23" i="22"/>
  <c r="J22" i="22"/>
  <c r="I22" i="22"/>
  <c r="H22" i="22"/>
  <c r="G22" i="22"/>
  <c r="C22" i="22"/>
  <c r="J21" i="22"/>
  <c r="I21" i="22"/>
  <c r="H21" i="22"/>
  <c r="G21" i="22"/>
  <c r="C21" i="22"/>
  <c r="J20" i="22"/>
  <c r="I20" i="22"/>
  <c r="H20" i="22"/>
  <c r="G20" i="22"/>
  <c r="C20" i="22"/>
  <c r="J19" i="22"/>
  <c r="I19" i="22"/>
  <c r="H19" i="22"/>
  <c r="G19" i="22"/>
  <c r="C19" i="22"/>
  <c r="J18" i="22"/>
  <c r="I18" i="22"/>
  <c r="H18" i="22"/>
  <c r="G18" i="22"/>
  <c r="C18" i="22"/>
  <c r="E18" i="22" s="1"/>
  <c r="F18" i="22" s="1"/>
  <c r="B17" i="24"/>
  <c r="C17" i="24" s="1"/>
  <c r="J17" i="22"/>
  <c r="I17" i="22"/>
  <c r="H17" i="22"/>
  <c r="G17" i="22"/>
  <c r="C17" i="22"/>
  <c r="J16" i="22"/>
  <c r="I16" i="22"/>
  <c r="H16" i="22"/>
  <c r="G16" i="22"/>
  <c r="C16" i="22"/>
  <c r="J15" i="22"/>
  <c r="I15" i="22"/>
  <c r="H15" i="22"/>
  <c r="G15" i="22"/>
  <c r="C15" i="22"/>
  <c r="J14" i="22"/>
  <c r="I14" i="22"/>
  <c r="H14" i="22"/>
  <c r="G14" i="22"/>
  <c r="C14" i="22"/>
  <c r="J13" i="22"/>
  <c r="I13" i="22"/>
  <c r="H13" i="22"/>
  <c r="G13" i="22"/>
  <c r="C13" i="22"/>
  <c r="B12" i="24"/>
  <c r="C12" i="24"/>
  <c r="J12" i="22"/>
  <c r="I12" i="22"/>
  <c r="H12" i="22"/>
  <c r="G12" i="22"/>
  <c r="C12" i="22"/>
  <c r="J11" i="22"/>
  <c r="I11" i="22"/>
  <c r="H11" i="22"/>
  <c r="G11" i="22"/>
  <c r="C11" i="22"/>
  <c r="D11" i="22" s="1"/>
  <c r="J10" i="22"/>
  <c r="I10" i="22"/>
  <c r="H10" i="22"/>
  <c r="G10" i="22"/>
  <c r="C10" i="22"/>
  <c r="J9" i="22"/>
  <c r="I9" i="22"/>
  <c r="H9" i="22"/>
  <c r="G9" i="22"/>
  <c r="C9" i="22"/>
  <c r="J8" i="22"/>
  <c r="I8" i="22"/>
  <c r="H8" i="22"/>
  <c r="G8" i="22"/>
  <c r="C8" i="22"/>
  <c r="J7" i="22"/>
  <c r="I7" i="22"/>
  <c r="H7" i="22"/>
  <c r="G7" i="22"/>
  <c r="C7" i="22"/>
  <c r="J6" i="22"/>
  <c r="I6" i="22"/>
  <c r="H6" i="22"/>
  <c r="G6" i="22"/>
  <c r="C6" i="22"/>
  <c r="D6" i="22" s="1"/>
  <c r="J5" i="22"/>
  <c r="I5" i="22"/>
  <c r="H5" i="22"/>
  <c r="G5" i="22"/>
  <c r="C5" i="22"/>
  <c r="J4" i="22"/>
  <c r="I4" i="22"/>
  <c r="H4" i="22"/>
  <c r="G4" i="22"/>
  <c r="C4" i="22"/>
  <c r="J3" i="22"/>
  <c r="I3" i="22"/>
  <c r="H3" i="22"/>
  <c r="G3" i="22"/>
  <c r="C3" i="22"/>
  <c r="D3" i="22" s="1"/>
  <c r="I18" i="19"/>
  <c r="H18" i="19"/>
  <c r="D18" i="19"/>
  <c r="C18" i="19"/>
  <c r="I17" i="19"/>
  <c r="H17" i="19"/>
  <c r="G17" i="19"/>
  <c r="D17" i="19"/>
  <c r="C17" i="19"/>
  <c r="B17" i="19"/>
  <c r="I16" i="19"/>
  <c r="H16" i="19"/>
  <c r="D16" i="19"/>
  <c r="C16" i="19"/>
  <c r="I12" i="19"/>
  <c r="H12" i="19"/>
  <c r="D12" i="19"/>
  <c r="C12" i="19"/>
  <c r="I11" i="19"/>
  <c r="H11" i="19"/>
  <c r="G11" i="19"/>
  <c r="C11" i="19"/>
  <c r="B11" i="19"/>
  <c r="I10" i="19"/>
  <c r="H10" i="19"/>
  <c r="C10" i="19"/>
  <c r="I6" i="19"/>
  <c r="H6" i="19"/>
  <c r="D6" i="19"/>
  <c r="C6" i="19"/>
  <c r="I5" i="19"/>
  <c r="H5" i="19"/>
  <c r="G5" i="19"/>
  <c r="D5" i="19"/>
  <c r="C5" i="19"/>
  <c r="B5" i="19"/>
  <c r="I4" i="19"/>
  <c r="H4" i="19"/>
  <c r="D4" i="19"/>
  <c r="C4" i="19"/>
  <c r="F45" i="21"/>
  <c r="B45" i="21"/>
  <c r="C45" i="21" s="1"/>
  <c r="C36" i="21"/>
  <c r="C17" i="21"/>
  <c r="C58" i="2"/>
  <c r="C57" i="2"/>
  <c r="C56" i="2"/>
  <c r="C55" i="2"/>
  <c r="C50" i="2"/>
  <c r="C49" i="2"/>
  <c r="D38" i="2"/>
  <c r="D37" i="2"/>
  <c r="D36" i="2"/>
  <c r="D35" i="2"/>
  <c r="D34" i="2"/>
  <c r="D33" i="2"/>
  <c r="B24" i="2" s="1"/>
  <c r="E30" i="2"/>
  <c r="C29" i="2"/>
  <c r="D28" i="2"/>
  <c r="C48" i="2" s="1"/>
  <c r="B27" i="2"/>
  <c r="E28" i="2" s="1"/>
  <c r="F28" i="2" s="1"/>
  <c r="B25" i="2"/>
  <c r="G23" i="2"/>
  <c r="G20" i="2"/>
  <c r="G16" i="2"/>
  <c r="E16" i="2"/>
  <c r="G15" i="2"/>
  <c r="E15" i="2"/>
  <c r="G14" i="2"/>
  <c r="E14" i="2"/>
  <c r="G13" i="2"/>
  <c r="E13" i="2"/>
  <c r="G12" i="2"/>
  <c r="E12" i="2"/>
  <c r="D11" i="2"/>
  <c r="C11" i="2"/>
  <c r="D10" i="2"/>
  <c r="C10" i="2"/>
  <c r="H9" i="2"/>
  <c r="D9" i="2"/>
  <c r="C9" i="2"/>
  <c r="H8" i="2"/>
  <c r="D8" i="2"/>
  <c r="C8" i="2"/>
  <c r="G7" i="2"/>
  <c r="E7" i="2"/>
  <c r="G6" i="2"/>
  <c r="E6" i="2"/>
  <c r="G5" i="2"/>
  <c r="E5" i="2"/>
  <c r="P4" i="2"/>
  <c r="O4" i="2"/>
  <c r="N4" i="2"/>
  <c r="M4" i="2"/>
  <c r="L4" i="2"/>
  <c r="G4" i="2"/>
  <c r="K8" i="14"/>
  <c r="J8" i="14"/>
  <c r="L8" i="14" s="1"/>
  <c r="L7" i="14"/>
  <c r="K7" i="14"/>
  <c r="J7" i="14"/>
  <c r="K6" i="14"/>
  <c r="J6" i="14"/>
  <c r="L6" i="14" s="1"/>
  <c r="K5" i="14"/>
  <c r="J5" i="14"/>
  <c r="L5" i="14" s="1"/>
  <c r="K4" i="14"/>
  <c r="J4" i="14"/>
  <c r="B2" i="14"/>
  <c r="D10" i="19" s="1"/>
  <c r="L8" i="6"/>
  <c r="K8" i="6"/>
  <c r="L7" i="6"/>
  <c r="K7" i="6"/>
  <c r="M7" i="6" s="1"/>
  <c r="C9" i="6" s="1"/>
  <c r="L6" i="6"/>
  <c r="K6" i="6"/>
  <c r="M6" i="6" s="1"/>
  <c r="C8" i="6" s="1"/>
  <c r="L5" i="6"/>
  <c r="K5" i="6"/>
  <c r="M5" i="6" s="1"/>
  <c r="C6" i="6" s="1"/>
  <c r="L4" i="6"/>
  <c r="K4" i="6"/>
  <c r="L3" i="6"/>
  <c r="K3" i="6"/>
  <c r="M3" i="6" s="1"/>
  <c r="C3" i="6" s="1"/>
  <c r="M9" i="4"/>
  <c r="O9" i="4" s="1"/>
  <c r="L9" i="4"/>
  <c r="M8" i="4"/>
  <c r="L8" i="4"/>
  <c r="O8" i="4" s="1"/>
  <c r="M7" i="4"/>
  <c r="L7" i="4"/>
  <c r="O7" i="4" s="1"/>
  <c r="M6" i="4"/>
  <c r="O6" i="4" s="1"/>
  <c r="L6" i="4"/>
  <c r="O5" i="4"/>
  <c r="M5" i="4"/>
  <c r="L5" i="4"/>
  <c r="M4" i="4"/>
  <c r="L4" i="4"/>
  <c r="O4" i="4" s="1"/>
  <c r="M3" i="4"/>
  <c r="L3" i="4"/>
  <c r="O3" i="4" s="1"/>
  <c r="B18" i="11"/>
  <c r="E3" i="24"/>
  <c r="R61" i="11"/>
  <c r="D20" i="22"/>
  <c r="E20" i="22"/>
  <c r="F20" i="22"/>
  <c r="D37" i="22"/>
  <c r="E37" i="22"/>
  <c r="F37" i="22"/>
  <c r="R38" i="28" s="1"/>
  <c r="D27" i="28" s="1"/>
  <c r="D27" i="22"/>
  <c r="E27" i="22"/>
  <c r="F27" i="22"/>
  <c r="D44" i="22"/>
  <c r="D45" i="22"/>
  <c r="D8" i="22"/>
  <c r="E47" i="22"/>
  <c r="F47" i="22" s="1"/>
  <c r="D10" i="22"/>
  <c r="E10" i="22"/>
  <c r="F10" i="22" s="1"/>
  <c r="R11" i="28" s="1"/>
  <c r="G9" i="28" s="1"/>
  <c r="D13" i="22"/>
  <c r="D24" i="22"/>
  <c r="E24" i="22"/>
  <c r="F24" i="22"/>
  <c r="R25" i="28"/>
  <c r="G16" i="28" s="1"/>
  <c r="D42" i="22"/>
  <c r="E42" i="22"/>
  <c r="F42" i="22" s="1"/>
  <c r="Q43" i="28" s="1"/>
  <c r="F29" i="28" s="1"/>
  <c r="D21" i="22"/>
  <c r="D29" i="22"/>
  <c r="D28" i="22"/>
  <c r="D43" i="22"/>
  <c r="E43" i="22"/>
  <c r="F43" i="22"/>
  <c r="C54" i="2"/>
  <c r="O32" i="29"/>
  <c r="P43" i="29" s="1"/>
  <c r="C47" i="2"/>
  <c r="J69" i="30"/>
  <c r="E18" i="29"/>
  <c r="D38" i="29"/>
  <c r="L35" i="30"/>
  <c r="J64" i="30" s="1"/>
  <c r="Q32" i="29"/>
  <c r="P45" i="29" s="1"/>
  <c r="D53" i="30"/>
  <c r="D68" i="30"/>
  <c r="J53" i="30"/>
  <c r="J68" i="30" s="1"/>
  <c r="J71" i="30" s="1"/>
  <c r="P11" i="30" s="1"/>
  <c r="M96" i="22" s="1"/>
  <c r="L53" i="30"/>
  <c r="J70" i="30"/>
  <c r="I53" i="30"/>
  <c r="J67" i="30"/>
  <c r="M53" i="30"/>
  <c r="M67" i="30" s="1"/>
  <c r="M35" i="30"/>
  <c r="M61" i="30" s="1"/>
  <c r="K35" i="30"/>
  <c r="J63" i="30"/>
  <c r="I35" i="30"/>
  <c r="J61" i="30"/>
  <c r="J65" i="30" s="1"/>
  <c r="P10" i="30" s="1"/>
  <c r="M95" i="22" s="1"/>
  <c r="I19" i="30"/>
  <c r="J55" i="30"/>
  <c r="M19" i="30"/>
  <c r="M55" i="30" s="1"/>
  <c r="J58" i="30"/>
  <c r="K19" i="30"/>
  <c r="J57" i="30"/>
  <c r="J19" i="30"/>
  <c r="J56" i="30"/>
  <c r="J59" i="30" s="1"/>
  <c r="P9" i="30" s="1"/>
  <c r="M94" i="22" s="1"/>
  <c r="F53" i="30"/>
  <c r="D70" i="30" s="1"/>
  <c r="E53" i="30"/>
  <c r="D69" i="30" s="1"/>
  <c r="C53" i="30"/>
  <c r="D67" i="30"/>
  <c r="D71" i="30" s="1"/>
  <c r="P6" i="30" s="1"/>
  <c r="F35" i="30"/>
  <c r="D64" i="30" s="1"/>
  <c r="C35" i="30"/>
  <c r="D61" i="30" s="1"/>
  <c r="G61" i="30"/>
  <c r="E35" i="30"/>
  <c r="D63" i="30"/>
  <c r="D35" i="30"/>
  <c r="D62" i="30" s="1"/>
  <c r="C19" i="30"/>
  <c r="D55" i="30"/>
  <c r="F19" i="30"/>
  <c r="D58" i="30"/>
  <c r="E19" i="30"/>
  <c r="D57" i="30" s="1"/>
  <c r="D19" i="30"/>
  <c r="D56" i="30" s="1"/>
  <c r="G19" i="30"/>
  <c r="G55" i="30"/>
  <c r="X32" i="29"/>
  <c r="V46" i="29" s="1"/>
  <c r="W32" i="29"/>
  <c r="V45" i="29"/>
  <c r="M32" i="29"/>
  <c r="M43" i="29" s="1"/>
  <c r="J32" i="29"/>
  <c r="J44" i="29" s="1"/>
  <c r="I32" i="29"/>
  <c r="J43" i="29" s="1"/>
  <c r="Y32" i="29"/>
  <c r="Y43" i="29"/>
  <c r="V32" i="29"/>
  <c r="V44" i="29"/>
  <c r="U32" i="29"/>
  <c r="V43" i="29"/>
  <c r="V47" i="29" s="1"/>
  <c r="M62" i="22" s="1"/>
  <c r="L32" i="29"/>
  <c r="J46" i="29" s="1"/>
  <c r="K32" i="29"/>
  <c r="J45" i="29"/>
  <c r="X18" i="29"/>
  <c r="V39" i="29" s="1"/>
  <c r="Y18" i="29"/>
  <c r="Y36" i="29" s="1"/>
  <c r="M18" i="29"/>
  <c r="M36" i="29" s="1"/>
  <c r="J18" i="29"/>
  <c r="J37" i="29"/>
  <c r="W18" i="29"/>
  <c r="V38" i="29" s="1"/>
  <c r="V18" i="29"/>
  <c r="V37" i="29"/>
  <c r="U18" i="29"/>
  <c r="V36" i="29" s="1"/>
  <c r="L18" i="29"/>
  <c r="J39" i="29"/>
  <c r="K18" i="29"/>
  <c r="J38" i="29"/>
  <c r="I18" i="29"/>
  <c r="J36" i="29" s="1"/>
  <c r="R32" i="29"/>
  <c r="P46" i="29" s="1"/>
  <c r="F32" i="29"/>
  <c r="D46" i="29"/>
  <c r="S32" i="29"/>
  <c r="S43" i="29"/>
  <c r="E32" i="29"/>
  <c r="D45" i="29"/>
  <c r="D32" i="29"/>
  <c r="D44" i="29" s="1"/>
  <c r="C32" i="29"/>
  <c r="D43" i="29"/>
  <c r="P32" i="29"/>
  <c r="P44" i="29" s="1"/>
  <c r="G32" i="29"/>
  <c r="G43" i="29"/>
  <c r="R18" i="29"/>
  <c r="P39" i="29" s="1"/>
  <c r="O18" i="29"/>
  <c r="P36" i="29"/>
  <c r="Q18" i="29"/>
  <c r="P38" i="29"/>
  <c r="G18" i="29"/>
  <c r="G36" i="29"/>
  <c r="S18" i="29"/>
  <c r="S36" i="29" s="1"/>
  <c r="P37" i="29"/>
  <c r="F18" i="29"/>
  <c r="D39" i="29"/>
  <c r="D18" i="29"/>
  <c r="D37" i="29"/>
  <c r="D40" i="29" s="1"/>
  <c r="C18" i="29"/>
  <c r="D36" i="29" s="1"/>
  <c r="D14" i="22"/>
  <c r="E14" i="22"/>
  <c r="F14" i="22"/>
  <c r="B41" i="24"/>
  <c r="C41" i="24"/>
  <c r="D31" i="22"/>
  <c r="E31" i="22"/>
  <c r="F31" i="22" s="1"/>
  <c r="R32" i="28" s="1"/>
  <c r="D24" i="28" s="1"/>
  <c r="B11" i="24"/>
  <c r="C11" i="24"/>
  <c r="B29" i="24"/>
  <c r="C29" i="24"/>
  <c r="B45" i="24"/>
  <c r="C45" i="24"/>
  <c r="D12" i="22"/>
  <c r="E12" i="22"/>
  <c r="F12" i="22"/>
  <c r="B15" i="24"/>
  <c r="C15" i="24"/>
  <c r="D5" i="22"/>
  <c r="E5" i="22"/>
  <c r="F5" i="22"/>
  <c r="R6" i="28" s="1"/>
  <c r="D7" i="28" s="1"/>
  <c r="B19" i="24"/>
  <c r="C19" i="24" s="1"/>
  <c r="B20" i="24"/>
  <c r="C20" i="24"/>
  <c r="B43" i="24"/>
  <c r="C43" i="24"/>
  <c r="E29" i="22"/>
  <c r="F29" i="22" s="1"/>
  <c r="B21" i="24"/>
  <c r="C21" i="24"/>
  <c r="B4" i="24"/>
  <c r="C4" i="24"/>
  <c r="B44" i="24"/>
  <c r="C44" i="24"/>
  <c r="D15" i="22"/>
  <c r="E15" i="22"/>
  <c r="F15" i="22"/>
  <c r="R16" i="28"/>
  <c r="D12" i="28" s="1"/>
  <c r="D33" i="22"/>
  <c r="E33" i="22"/>
  <c r="F33" i="22" s="1"/>
  <c r="D4" i="22"/>
  <c r="B34" i="24"/>
  <c r="C34" i="24"/>
  <c r="D40" i="22"/>
  <c r="E40" i="22"/>
  <c r="F40" i="22"/>
  <c r="B7" i="24"/>
  <c r="C7" i="24" s="1"/>
  <c r="B35" i="24"/>
  <c r="C35" i="24"/>
  <c r="D7" i="22"/>
  <c r="E7" i="22"/>
  <c r="F7" i="22" s="1"/>
  <c r="B25" i="24"/>
  <c r="C25" i="24"/>
  <c r="B37" i="24"/>
  <c r="C37" i="24" s="1"/>
  <c r="B13" i="24"/>
  <c r="C13" i="24" s="1"/>
  <c r="B38" i="24"/>
  <c r="C38" i="24"/>
  <c r="D16" i="22"/>
  <c r="E16" i="22"/>
  <c r="F16" i="22" s="1"/>
  <c r="R17" i="28" s="1"/>
  <c r="G12" i="28" s="1"/>
  <c r="D23" i="22"/>
  <c r="E23" i="22"/>
  <c r="F23" i="22" s="1"/>
  <c r="D22" i="22"/>
  <c r="E22" i="22"/>
  <c r="F22" i="22"/>
  <c r="E28" i="22"/>
  <c r="F28" i="22"/>
  <c r="R29" i="28" s="1"/>
  <c r="D36" i="22"/>
  <c r="E36" i="22"/>
  <c r="F36" i="22" s="1"/>
  <c r="R37" i="28" s="1"/>
  <c r="D38" i="22"/>
  <c r="E38" i="22"/>
  <c r="F38" i="22"/>
  <c r="B14" i="24"/>
  <c r="C14" i="24" s="1"/>
  <c r="B23" i="24"/>
  <c r="C23" i="24" s="1"/>
  <c r="B39" i="24"/>
  <c r="C39" i="24"/>
  <c r="B28" i="24"/>
  <c r="C28" i="24"/>
  <c r="D46" i="22"/>
  <c r="E46" i="22"/>
  <c r="F46" i="22"/>
  <c r="Q47" i="28" s="1"/>
  <c r="F31" i="28" s="1"/>
  <c r="D47" i="22"/>
  <c r="E11" i="22"/>
  <c r="F11" i="22"/>
  <c r="D39" i="22"/>
  <c r="E39" i="22"/>
  <c r="F39" i="22" s="1"/>
  <c r="B22" i="24"/>
  <c r="C22" i="24" s="1"/>
  <c r="B46" i="24"/>
  <c r="C46" i="24"/>
  <c r="D9" i="22"/>
  <c r="E9" i="22"/>
  <c r="F9" i="22"/>
  <c r="R10" i="28" s="1"/>
  <c r="D9" i="28" s="1"/>
  <c r="D18" i="22"/>
  <c r="D19" i="22"/>
  <c r="E19" i="22"/>
  <c r="F19" i="22"/>
  <c r="B27" i="24"/>
  <c r="C27" i="24"/>
  <c r="D26" i="22"/>
  <c r="AM26" i="22"/>
  <c r="B36" i="24"/>
  <c r="C36" i="24"/>
  <c r="B3" i="24"/>
  <c r="C3" i="24"/>
  <c r="AE29" i="22"/>
  <c r="D35" i="22"/>
  <c r="E35" i="22"/>
  <c r="F35" i="22" s="1"/>
  <c r="B9" i="24"/>
  <c r="C9" i="24" s="1"/>
  <c r="B26" i="24"/>
  <c r="C26" i="24"/>
  <c r="B6" i="24"/>
  <c r="C6" i="24"/>
  <c r="B8" i="24"/>
  <c r="C8" i="24" s="1"/>
  <c r="E30" i="22"/>
  <c r="F30" i="22" s="1"/>
  <c r="D30" i="22"/>
  <c r="AE27" i="22"/>
  <c r="D34" i="22"/>
  <c r="E34" i="22"/>
  <c r="F34" i="22"/>
  <c r="B5" i="24"/>
  <c r="C5" i="24"/>
  <c r="AE25" i="22"/>
  <c r="D17" i="22"/>
  <c r="E17" i="22"/>
  <c r="F17" i="22" s="1"/>
  <c r="B30" i="24"/>
  <c r="C30" i="24" s="1"/>
  <c r="D32" i="22"/>
  <c r="E32" i="22"/>
  <c r="F32" i="22" s="1"/>
  <c r="D41" i="22"/>
  <c r="E41" i="22"/>
  <c r="F41" i="22" s="1"/>
  <c r="B16" i="24"/>
  <c r="C16" i="24"/>
  <c r="D25" i="22"/>
  <c r="E25" i="22"/>
  <c r="F25" i="22" s="1"/>
  <c r="B42" i="24"/>
  <c r="C42" i="24"/>
  <c r="B18" i="24"/>
  <c r="C18" i="24" s="1"/>
  <c r="B33" i="24"/>
  <c r="C33" i="24"/>
  <c r="E4" i="22"/>
  <c r="F4" i="22" s="1"/>
  <c r="R5" i="28" s="1"/>
  <c r="G6" i="28" s="1"/>
  <c r="U40" i="28"/>
  <c r="J28" i="28"/>
  <c r="V25" i="28"/>
  <c r="N16" i="28" s="1"/>
  <c r="AN43" i="22"/>
  <c r="AN36" i="22"/>
  <c r="AN12" i="22"/>
  <c r="AN5" i="22"/>
  <c r="E44" i="22"/>
  <c r="F44" i="22" s="1"/>
  <c r="AN32" i="22"/>
  <c r="E45" i="22"/>
  <c r="F45" i="22" s="1"/>
  <c r="E21" i="22"/>
  <c r="F21" i="22" s="1"/>
  <c r="E8" i="22"/>
  <c r="F8" i="22"/>
  <c r="AM20" i="22"/>
  <c r="U16" i="28"/>
  <c r="J12" i="28" s="1"/>
  <c r="E13" i="22"/>
  <c r="F13" i="22" s="1"/>
  <c r="R47" i="28"/>
  <c r="G31" i="28" s="1"/>
  <c r="AM46" i="22"/>
  <c r="AM31" i="22"/>
  <c r="AM14" i="22"/>
  <c r="C28" i="2"/>
  <c r="R44" i="28"/>
  <c r="D30" i="28" s="1"/>
  <c r="P40" i="29"/>
  <c r="M59" i="22" s="1"/>
  <c r="D59" i="30"/>
  <c r="P4" i="30" s="1"/>
  <c r="P47" i="29"/>
  <c r="M60" i="22"/>
  <c r="AM38" i="22"/>
  <c r="AM37" i="22"/>
  <c r="G26" i="28"/>
  <c r="AM34" i="22"/>
  <c r="Q25" i="28"/>
  <c r="F16" i="28" s="1"/>
  <c r="AM24" i="22"/>
  <c r="Q24" i="28"/>
  <c r="C16" i="28"/>
  <c r="AM23" i="22"/>
  <c r="R24" i="28"/>
  <c r="D16" i="28" s="1"/>
  <c r="R13" i="28"/>
  <c r="G10" i="28" s="1"/>
  <c r="Q13" i="28"/>
  <c r="F10" i="28" s="1"/>
  <c r="AM12" i="22"/>
  <c r="AM11" i="22"/>
  <c r="R12" i="28"/>
  <c r="D10" i="28" s="1"/>
  <c r="Q12" i="28"/>
  <c r="C10" i="28" s="1"/>
  <c r="AM5" i="22"/>
  <c r="V14" i="28"/>
  <c r="K11" i="28"/>
  <c r="AM15" i="22"/>
  <c r="Q8" i="28"/>
  <c r="C8" i="28" s="1"/>
  <c r="AE31" i="22"/>
  <c r="G22" i="28"/>
  <c r="Q16" i="28"/>
  <c r="C12" i="28" s="1"/>
  <c r="Q38" i="28"/>
  <c r="C27" i="28" s="1"/>
  <c r="Q26" i="28"/>
  <c r="C17" i="28" s="1"/>
  <c r="Q36" i="28"/>
  <c r="C26" i="28" s="1"/>
  <c r="E42" i="24"/>
  <c r="AE30" i="22"/>
  <c r="E43" i="24"/>
  <c r="E45" i="24" s="1"/>
  <c r="R20" i="28"/>
  <c r="D14" i="28" s="1"/>
  <c r="Q20" i="28"/>
  <c r="C14" i="28" s="1"/>
  <c r="AM19" i="22"/>
  <c r="R27" i="28"/>
  <c r="G17" i="28" s="1"/>
  <c r="Q27" i="28"/>
  <c r="F17" i="28" s="1"/>
  <c r="R31" i="28"/>
  <c r="G23" i="28" s="1"/>
  <c r="E44" i="24"/>
  <c r="AN24" i="22"/>
  <c r="U46" i="28"/>
  <c r="J31" i="28" s="1"/>
  <c r="U25" i="28"/>
  <c r="M16" i="28"/>
  <c r="R46" i="28"/>
  <c r="D31" i="28"/>
  <c r="Q46" i="28"/>
  <c r="C31" i="28" s="1"/>
  <c r="Q9" i="28"/>
  <c r="F8" i="28" s="1"/>
  <c r="R14" i="28"/>
  <c r="D11" i="28" s="1"/>
  <c r="V6" i="28"/>
  <c r="K7" i="28" s="1"/>
  <c r="U6" i="28"/>
  <c r="J7" i="28"/>
  <c r="AN39" i="22"/>
  <c r="V40" i="28"/>
  <c r="K28" i="28"/>
  <c r="AN15" i="22"/>
  <c r="U44" i="28"/>
  <c r="J30" i="28" s="1"/>
  <c r="P19" i="30"/>
  <c r="P50" i="29"/>
  <c r="M92" i="22"/>
  <c r="M88" i="22"/>
  <c r="V45" i="28"/>
  <c r="N30" i="28"/>
  <c r="U45" i="28"/>
  <c r="M30" i="28"/>
  <c r="AN44" i="22"/>
  <c r="V44" i="28"/>
  <c r="K30" i="28"/>
  <c r="V16" i="28"/>
  <c r="K12" i="28" s="1"/>
  <c r="AN14" i="22"/>
  <c r="V15" i="28"/>
  <c r="N11" i="28" s="1"/>
  <c r="U15" i="28"/>
  <c r="M11" i="28" s="1"/>
  <c r="U14" i="28"/>
  <c r="J11" i="28"/>
  <c r="AN13" i="22"/>
  <c r="AN38" i="22"/>
  <c r="U39" i="28"/>
  <c r="M27" i="28" s="1"/>
  <c r="V39" i="28"/>
  <c r="N27" i="28" s="1"/>
  <c r="AN34" i="22"/>
  <c r="V35" i="28"/>
  <c r="N25" i="28" s="1"/>
  <c r="U35" i="28"/>
  <c r="M25" i="28" s="1"/>
  <c r="V34" i="28"/>
  <c r="K25" i="28"/>
  <c r="U34" i="28"/>
  <c r="J25" i="28"/>
  <c r="AN33" i="22"/>
  <c r="AN19" i="22"/>
  <c r="V20" i="28"/>
  <c r="K14" i="28" s="1"/>
  <c r="U20" i="28"/>
  <c r="J14" i="28"/>
  <c r="AN3" i="22"/>
  <c r="U4" i="28"/>
  <c r="J6" i="28"/>
  <c r="V4" i="28"/>
  <c r="K6" i="28"/>
  <c r="V21" i="28"/>
  <c r="N14" i="28" s="1"/>
  <c r="U21" i="28"/>
  <c r="M14" i="28" s="1"/>
  <c r="AN20" i="22"/>
  <c r="U13" i="28"/>
  <c r="M10" i="28"/>
  <c r="V13" i="28"/>
  <c r="N10" i="28"/>
  <c r="V26" i="28"/>
  <c r="K17" i="28"/>
  <c r="U26" i="28"/>
  <c r="J17" i="28" s="1"/>
  <c r="AN25" i="22"/>
  <c r="V30" i="28"/>
  <c r="K23" i="28" s="1"/>
  <c r="AN29" i="22"/>
  <c r="U30" i="28"/>
  <c r="J23" i="28"/>
  <c r="V11" i="28"/>
  <c r="N9" i="28" s="1"/>
  <c r="U11" i="28"/>
  <c r="M9" i="28" s="1"/>
  <c r="AN10" i="22"/>
  <c r="V18" i="28"/>
  <c r="K13" i="28"/>
  <c r="U18" i="28"/>
  <c r="J13" i="28" s="1"/>
  <c r="V37" i="28"/>
  <c r="N26" i="28"/>
  <c r="U37" i="28"/>
  <c r="M26" i="28"/>
  <c r="V33" i="28"/>
  <c r="N24" i="28"/>
  <c r="U33" i="28"/>
  <c r="M24" i="28" s="1"/>
  <c r="V36" i="28"/>
  <c r="K26" i="28"/>
  <c r="U36" i="28"/>
  <c r="J26" i="28"/>
  <c r="AN35" i="22"/>
  <c r="AN17" i="22"/>
  <c r="AN30" i="22"/>
  <c r="U31" i="28"/>
  <c r="M23" i="28" s="1"/>
  <c r="U38" i="28"/>
  <c r="J27" i="28" s="1"/>
  <c r="V38" i="28"/>
  <c r="K27" i="28" s="1"/>
  <c r="AN37" i="22"/>
  <c r="U7" i="28"/>
  <c r="M7" i="28"/>
  <c r="V7" i="28"/>
  <c r="N7" i="28"/>
  <c r="AN6" i="22"/>
  <c r="V19" i="28"/>
  <c r="N13" i="28"/>
  <c r="U19" i="28"/>
  <c r="M13" i="28"/>
  <c r="V47" i="28"/>
  <c r="N31" i="28" s="1"/>
  <c r="U47" i="28"/>
  <c r="M31" i="28" s="1"/>
  <c r="D30" i="2" l="1"/>
  <c r="D29" i="2"/>
  <c r="F29" i="2" s="1"/>
  <c r="E8" i="2"/>
  <c r="E11" i="2"/>
  <c r="E12" i="19"/>
  <c r="J18" i="19"/>
  <c r="E10" i="2"/>
  <c r="J16" i="19"/>
  <c r="E10" i="19"/>
  <c r="B29" i="2"/>
  <c r="E4" i="19"/>
  <c r="M4" i="6"/>
  <c r="M8" i="6"/>
  <c r="J17" i="19"/>
  <c r="J11" i="19"/>
  <c r="E18" i="19"/>
  <c r="E16" i="19"/>
  <c r="J5" i="19"/>
  <c r="J4" i="19"/>
  <c r="J6" i="19"/>
  <c r="J10" i="19"/>
  <c r="J12" i="19"/>
  <c r="E17" i="19"/>
  <c r="E6" i="19"/>
  <c r="E9" i="2"/>
  <c r="P17" i="30"/>
  <c r="M90" i="22"/>
  <c r="AM17" i="22"/>
  <c r="Q18" i="28"/>
  <c r="C13" i="28" s="1"/>
  <c r="R18" i="28"/>
  <c r="D13" i="28" s="1"/>
  <c r="Q45" i="28"/>
  <c r="F30" i="28" s="1"/>
  <c r="AM44" i="22"/>
  <c r="R45" i="28"/>
  <c r="G30" i="28" s="1"/>
  <c r="Q34" i="28"/>
  <c r="C25" i="28" s="1"/>
  <c r="R34" i="28"/>
  <c r="D25" i="28" s="1"/>
  <c r="AM33" i="22"/>
  <c r="Q40" i="28"/>
  <c r="C28" i="28" s="1"/>
  <c r="AM39" i="22"/>
  <c r="R40" i="28"/>
  <c r="D28" i="28" s="1"/>
  <c r="R41" i="28"/>
  <c r="G28" i="28" s="1"/>
  <c r="Q41" i="28"/>
  <c r="F28" i="28" s="1"/>
  <c r="AM42" i="22"/>
  <c r="AM35" i="22"/>
  <c r="R36" i="28"/>
  <c r="D26" i="28" s="1"/>
  <c r="J40" i="29"/>
  <c r="AN45" i="22"/>
  <c r="V46" i="28"/>
  <c r="K31" i="28" s="1"/>
  <c r="AM30" i="22"/>
  <c r="Q31" i="28"/>
  <c r="F23" i="28" s="1"/>
  <c r="AE32" i="22"/>
  <c r="E46" i="24"/>
  <c r="U12" i="28"/>
  <c r="J10" i="28" s="1"/>
  <c r="V12" i="28"/>
  <c r="K10" i="28" s="1"/>
  <c r="AN11" i="22"/>
  <c r="R43" i="28"/>
  <c r="G29" i="28" s="1"/>
  <c r="Q17" i="28"/>
  <c r="F12" i="28" s="1"/>
  <c r="AM7" i="22"/>
  <c r="R8" i="28"/>
  <c r="D8" i="28" s="1"/>
  <c r="R30" i="28"/>
  <c r="D23" i="28" s="1"/>
  <c r="AM29" i="22"/>
  <c r="Q30" i="28"/>
  <c r="C23" i="28" s="1"/>
  <c r="Q15" i="28"/>
  <c r="F11" i="28" s="1"/>
  <c r="R15" i="28"/>
  <c r="G11" i="28" s="1"/>
  <c r="J47" i="29"/>
  <c r="M66" i="22" s="1"/>
  <c r="E24" i="24" s="1"/>
  <c r="AM41" i="22"/>
  <c r="R42" i="28"/>
  <c r="D29" i="28" s="1"/>
  <c r="Q42" i="28"/>
  <c r="C29" i="28" s="1"/>
  <c r="AM40" i="22"/>
  <c r="R22" i="28"/>
  <c r="D15" i="28" s="1"/>
  <c r="Q22" i="28"/>
  <c r="C15" i="28" s="1"/>
  <c r="AM21" i="22"/>
  <c r="R33" i="28"/>
  <c r="G24" i="28" s="1"/>
  <c r="G32" i="28" s="1"/>
  <c r="Q33" i="28"/>
  <c r="F24" i="28" s="1"/>
  <c r="AM32" i="22"/>
  <c r="AM22" i="22"/>
  <c r="Q23" i="28"/>
  <c r="F15" i="28" s="1"/>
  <c r="D47" i="29"/>
  <c r="M64" i="22" s="1"/>
  <c r="E22" i="24" s="1"/>
  <c r="E23" i="24" s="1"/>
  <c r="AM43" i="22"/>
  <c r="Q44" i="28"/>
  <c r="C30" i="28" s="1"/>
  <c r="Q5" i="28"/>
  <c r="F6" i="28" s="1"/>
  <c r="AM4" i="22"/>
  <c r="Q10" i="28"/>
  <c r="C9" i="28" s="1"/>
  <c r="AM9" i="22"/>
  <c r="Q35" i="28"/>
  <c r="F25" i="28" s="1"/>
  <c r="R35" i="28"/>
  <c r="G25" i="28" s="1"/>
  <c r="Q39" i="28"/>
  <c r="F27" i="28" s="1"/>
  <c r="R39" i="28"/>
  <c r="G27" i="28" s="1"/>
  <c r="R23" i="28"/>
  <c r="G15" i="28" s="1"/>
  <c r="AM25" i="22"/>
  <c r="R26" i="28"/>
  <c r="D17" i="28" s="1"/>
  <c r="AM18" i="22"/>
  <c r="R19" i="28"/>
  <c r="G13" i="28" s="1"/>
  <c r="Q19" i="28"/>
  <c r="F13" i="28" s="1"/>
  <c r="R28" i="28"/>
  <c r="D22" i="28" s="1"/>
  <c r="AM27" i="22"/>
  <c r="Q28" i="28"/>
  <c r="C22" i="28" s="1"/>
  <c r="R9" i="28"/>
  <c r="G8" i="28" s="1"/>
  <c r="AM8" i="22"/>
  <c r="AM10" i="22"/>
  <c r="Q11" i="28"/>
  <c r="F9" i="28" s="1"/>
  <c r="Q14" i="28"/>
  <c r="C11" i="28" s="1"/>
  <c r="AM13" i="22"/>
  <c r="M63" i="22"/>
  <c r="E20" i="24" s="1"/>
  <c r="D50" i="29"/>
  <c r="Q6" i="28"/>
  <c r="C7" i="28" s="1"/>
  <c r="Q29" i="28"/>
  <c r="F22" i="28" s="1"/>
  <c r="AM36" i="22"/>
  <c r="Q32" i="28"/>
  <c r="C24" i="28" s="1"/>
  <c r="F27" i="2"/>
  <c r="J47" i="23"/>
  <c r="M54" i="22" s="1"/>
  <c r="E18" i="24" s="1"/>
  <c r="AM45" i="22"/>
  <c r="AM28" i="22"/>
  <c r="Q37" i="28"/>
  <c r="F26" i="28" s="1"/>
  <c r="V40" i="29"/>
  <c r="AM16" i="22"/>
  <c r="E29" i="2"/>
  <c r="Q4" i="2" s="1"/>
  <c r="H4" i="2"/>
  <c r="D65" i="30"/>
  <c r="P5" i="30" s="1"/>
  <c r="R21" i="28"/>
  <c r="G14" i="28" s="1"/>
  <c r="Q21" i="28"/>
  <c r="F14" i="28" s="1"/>
  <c r="L4" i="14"/>
  <c r="C30" i="2"/>
  <c r="B30" i="2"/>
  <c r="AD18" i="29"/>
  <c r="AC48" i="29"/>
  <c r="L18" i="23"/>
  <c r="J39" i="23" s="1"/>
  <c r="E30" i="33"/>
  <c r="D60" i="33" s="1"/>
  <c r="D62" i="33" s="1"/>
  <c r="AE18" i="29"/>
  <c r="R22" i="22"/>
  <c r="S22" i="22"/>
  <c r="T22" i="22" s="1"/>
  <c r="R29" i="22"/>
  <c r="R27" i="22"/>
  <c r="S27" i="22"/>
  <c r="T27" i="22" s="1"/>
  <c r="R26" i="22"/>
  <c r="S26" i="22"/>
  <c r="T26" i="22" s="1"/>
  <c r="D62" i="32"/>
  <c r="AH41" i="29"/>
  <c r="AH51" i="29" s="1"/>
  <c r="R4" i="22"/>
  <c r="S4" i="22"/>
  <c r="D18" i="23"/>
  <c r="D37" i="23" s="1"/>
  <c r="AS54" i="32"/>
  <c r="AQ68" i="32" s="1"/>
  <c r="M54" i="33"/>
  <c r="M65" i="33" s="1"/>
  <c r="D11" i="19"/>
  <c r="E11" i="19" s="1"/>
  <c r="R41" i="22"/>
  <c r="S41" i="22"/>
  <c r="T41" i="22" s="1"/>
  <c r="R28" i="22"/>
  <c r="S28" i="22"/>
  <c r="T28" i="22" s="1"/>
  <c r="R23" i="22"/>
  <c r="S23" i="22"/>
  <c r="T23" i="22" s="1"/>
  <c r="R8" i="22"/>
  <c r="S8" i="22"/>
  <c r="T8" i="22" s="1"/>
  <c r="C18" i="23"/>
  <c r="D36" i="23" s="1"/>
  <c r="D40" i="23" s="1"/>
  <c r="F32" i="23"/>
  <c r="D46" i="23" s="1"/>
  <c r="J30" i="32"/>
  <c r="J59" i="32" s="1"/>
  <c r="E6" i="22"/>
  <c r="F6" i="22" s="1"/>
  <c r="E3" i="22"/>
  <c r="AG32" i="29"/>
  <c r="AH43" i="29" s="1"/>
  <c r="AH47" i="29" s="1"/>
  <c r="AH50" i="29" s="1"/>
  <c r="R21" i="22"/>
  <c r="S21" i="22"/>
  <c r="T21" i="22" s="1"/>
  <c r="R40" i="22"/>
  <c r="S40" i="22"/>
  <c r="T40" i="22" s="1"/>
  <c r="R16" i="22"/>
  <c r="S16" i="22"/>
  <c r="T16" i="22" s="1"/>
  <c r="E32" i="23"/>
  <c r="D45" i="23" s="1"/>
  <c r="D47" i="23" s="1"/>
  <c r="M52" i="22" s="1"/>
  <c r="E15" i="24" s="1"/>
  <c r="E30" i="32"/>
  <c r="D60" i="32" s="1"/>
  <c r="J54" i="32"/>
  <c r="J66" i="32" s="1"/>
  <c r="E5" i="19"/>
  <c r="S9" i="22"/>
  <c r="T9" i="22" s="1"/>
  <c r="M18" i="23"/>
  <c r="M36" i="23" s="1"/>
  <c r="E54" i="32"/>
  <c r="D67" i="32" s="1"/>
  <c r="AZ54" i="32"/>
  <c r="AZ65" i="32" s="1"/>
  <c r="AC41" i="29"/>
  <c r="AB18" i="29"/>
  <c r="AC36" i="29" s="1"/>
  <c r="I18" i="23"/>
  <c r="J36" i="23" s="1"/>
  <c r="J40" i="23" s="1"/>
  <c r="D30" i="32"/>
  <c r="D59" i="32" s="1"/>
  <c r="AR30" i="33"/>
  <c r="AQ60" i="33" s="1"/>
  <c r="CC32" i="29"/>
  <c r="CC43" i="29" s="1"/>
  <c r="BY32" i="29"/>
  <c r="BZ43" i="29" s="1"/>
  <c r="BN32" i="29"/>
  <c r="BN44" i="29" s="1"/>
  <c r="Y18" i="23"/>
  <c r="W39" i="23" s="1"/>
  <c r="D65" i="27"/>
  <c r="S7" i="22"/>
  <c r="T7" i="22" s="1"/>
  <c r="L54" i="32"/>
  <c r="J68" i="32" s="1"/>
  <c r="AP54" i="32"/>
  <c r="AQ65" i="32" s="1"/>
  <c r="C54" i="33"/>
  <c r="D65" i="33" s="1"/>
  <c r="AZ54" i="33"/>
  <c r="AZ65" i="33" s="1"/>
  <c r="AV19" i="30"/>
  <c r="AW55" i="30" s="1"/>
  <c r="CB18" i="29"/>
  <c r="BZ39" i="29" s="1"/>
  <c r="L53" i="27"/>
  <c r="J70" i="27" s="1"/>
  <c r="G19" i="27"/>
  <c r="G55" i="27" s="1"/>
  <c r="AW65" i="27"/>
  <c r="L30" i="32"/>
  <c r="J61" i="32" s="1"/>
  <c r="AZ30" i="32"/>
  <c r="AZ58" i="32" s="1"/>
  <c r="AY30" i="32"/>
  <c r="AW61" i="32" s="1"/>
  <c r="AX30" i="32"/>
  <c r="AW60" i="32" s="1"/>
  <c r="AX54" i="32"/>
  <c r="AW67" i="32" s="1"/>
  <c r="AV54" i="32"/>
  <c r="AW65" i="32" s="1"/>
  <c r="M30" i="33"/>
  <c r="M58" i="33" s="1"/>
  <c r="L30" i="33"/>
  <c r="J61" i="33" s="1"/>
  <c r="K30" i="33"/>
  <c r="J60" i="33" s="1"/>
  <c r="I54" i="33"/>
  <c r="J65" i="33" s="1"/>
  <c r="AZ30" i="33"/>
  <c r="AZ58" i="33" s="1"/>
  <c r="AY30" i="33"/>
  <c r="AW61" i="33" s="1"/>
  <c r="AX30" i="33"/>
  <c r="AW60" i="33" s="1"/>
  <c r="AW53" i="30"/>
  <c r="AW68" i="30" s="1"/>
  <c r="AV53" i="30"/>
  <c r="AW67" i="30" s="1"/>
  <c r="AW71" i="30" s="1"/>
  <c r="AS6" i="30" s="1"/>
  <c r="BD19" i="30"/>
  <c r="BC57" i="30" s="1"/>
  <c r="R18" i="23"/>
  <c r="Q38" i="23" s="1"/>
  <c r="W32" i="23"/>
  <c r="W44" i="23" s="1"/>
  <c r="J19" i="27"/>
  <c r="J56" i="27" s="1"/>
  <c r="C19" i="27"/>
  <c r="D55" i="27" s="1"/>
  <c r="E53" i="27"/>
  <c r="D69" i="27" s="1"/>
  <c r="D71" i="27" s="1"/>
  <c r="BB19" i="27"/>
  <c r="BC55" i="27" s="1"/>
  <c r="BF35" i="27"/>
  <c r="BF61" i="27" s="1"/>
  <c r="BB35" i="27"/>
  <c r="BC61" i="27" s="1"/>
  <c r="AV19" i="27"/>
  <c r="AW55" i="27" s="1"/>
  <c r="AW59" i="27" s="1"/>
  <c r="AB32" i="29"/>
  <c r="AC43" i="29" s="1"/>
  <c r="S31" i="22"/>
  <c r="T31" i="22" s="1"/>
  <c r="S42" i="22"/>
  <c r="T42" i="22" s="1"/>
  <c r="R11" i="22"/>
  <c r="R35" i="22"/>
  <c r="C54" i="32"/>
  <c r="D65" i="32" s="1"/>
  <c r="AV54" i="33"/>
  <c r="AW65" i="33" s="1"/>
  <c r="AW65" i="30"/>
  <c r="AS5" i="30" s="1"/>
  <c r="AX53" i="30"/>
  <c r="AW69" i="30" s="1"/>
  <c r="BE19" i="30"/>
  <c r="BC58" i="30" s="1"/>
  <c r="BF53" i="30"/>
  <c r="BF67" i="30" s="1"/>
  <c r="BU18" i="29"/>
  <c r="BT38" i="29" s="1"/>
  <c r="BZ32" i="29"/>
  <c r="BZ44" i="29" s="1"/>
  <c r="BI32" i="29"/>
  <c r="BH45" i="29" s="1"/>
  <c r="BN18" i="29"/>
  <c r="BN37" i="29" s="1"/>
  <c r="BO32" i="29"/>
  <c r="BN45" i="29" s="1"/>
  <c r="X32" i="23"/>
  <c r="W45" i="23" s="1"/>
  <c r="BF53" i="27"/>
  <c r="BF67" i="27" s="1"/>
  <c r="BE53" i="27"/>
  <c r="BC70" i="27" s="1"/>
  <c r="AZ19" i="27"/>
  <c r="AZ55" i="27" s="1"/>
  <c r="AW71" i="27"/>
  <c r="R47" i="22"/>
  <c r="M30" i="32"/>
  <c r="M58" i="32" s="1"/>
  <c r="M54" i="32"/>
  <c r="M65" i="32" s="1"/>
  <c r="AT30" i="32"/>
  <c r="AT58" i="32" s="1"/>
  <c r="AQ30" i="32"/>
  <c r="AQ59" i="32" s="1"/>
  <c r="AQ54" i="32"/>
  <c r="AQ66" i="32" s="1"/>
  <c r="AV30" i="32"/>
  <c r="AW58" i="32" s="1"/>
  <c r="D54" i="33"/>
  <c r="D66" i="33" s="1"/>
  <c r="I30" i="33"/>
  <c r="J58" i="33" s="1"/>
  <c r="AP30" i="33"/>
  <c r="AQ58" i="33" s="1"/>
  <c r="AQ54" i="33"/>
  <c r="AQ66" i="33" s="1"/>
  <c r="AP54" i="33"/>
  <c r="AQ65" i="33" s="1"/>
  <c r="AV30" i="33"/>
  <c r="AW58" i="33" s="1"/>
  <c r="BC53" i="30"/>
  <c r="BC68" i="30" s="1"/>
  <c r="BC71" i="30" s="1"/>
  <c r="AS11" i="30" s="1"/>
  <c r="AA96" i="22" s="1"/>
  <c r="CA32" i="29"/>
  <c r="BZ45" i="29" s="1"/>
  <c r="BK18" i="29"/>
  <c r="BK36" i="29" s="1"/>
  <c r="BP32" i="29"/>
  <c r="BN46" i="29" s="1"/>
  <c r="M35" i="27"/>
  <c r="M61" i="27" s="1"/>
  <c r="I35" i="27"/>
  <c r="J61" i="27" s="1"/>
  <c r="BB53" i="27"/>
  <c r="BC67" i="27" s="1"/>
  <c r="K30" i="32"/>
  <c r="J60" i="32" s="1"/>
  <c r="AY54" i="32"/>
  <c r="AW68" i="32" s="1"/>
  <c r="L54" i="33"/>
  <c r="J68" i="33" s="1"/>
  <c r="K54" i="33"/>
  <c r="J67" i="33" s="1"/>
  <c r="AY54" i="33"/>
  <c r="AW68" i="33" s="1"/>
  <c r="AX54" i="33"/>
  <c r="AW67" i="33" s="1"/>
  <c r="AX19" i="30"/>
  <c r="AW57" i="30" s="1"/>
  <c r="BC65" i="30"/>
  <c r="AS10" i="30" s="1"/>
  <c r="AA95" i="22" s="1"/>
  <c r="BD53" i="30"/>
  <c r="BC69" i="30" s="1"/>
  <c r="BT32" i="29"/>
  <c r="BT44" i="29" s="1"/>
  <c r="CC18" i="29"/>
  <c r="CC36" i="29" s="1"/>
  <c r="BG18" i="29"/>
  <c r="BH36" i="29" s="1"/>
  <c r="BH40" i="29" s="1"/>
  <c r="BQ18" i="29"/>
  <c r="BQ36" i="29" s="1"/>
  <c r="Q18" i="23"/>
  <c r="Q37" i="23" s="1"/>
  <c r="Q40" i="23" s="1"/>
  <c r="V18" i="23"/>
  <c r="W36" i="23" s="1"/>
  <c r="K19" i="27"/>
  <c r="J57" i="27" s="1"/>
  <c r="J53" i="27"/>
  <c r="J68" i="27" s="1"/>
  <c r="I53" i="27"/>
  <c r="J67" i="27" s="1"/>
  <c r="BD19" i="27"/>
  <c r="BC57" i="27" s="1"/>
  <c r="AZ53" i="27"/>
  <c r="AZ67" i="27" s="1"/>
  <c r="D54" i="32"/>
  <c r="D66" i="32" s="1"/>
  <c r="K54" i="32"/>
  <c r="J67" i="32" s="1"/>
  <c r="AR30" i="32"/>
  <c r="AQ60" i="32" s="1"/>
  <c r="AT54" i="32"/>
  <c r="AT65" i="32" s="1"/>
  <c r="G30" i="33"/>
  <c r="G58" i="33" s="1"/>
  <c r="AT30" i="33"/>
  <c r="AT58" i="33" s="1"/>
  <c r="AT54" i="33"/>
  <c r="AT65" i="33" s="1"/>
  <c r="AY19" i="30"/>
  <c r="AW58" i="30" s="1"/>
  <c r="AY53" i="30"/>
  <c r="AW70" i="30" s="1"/>
  <c r="BB19" i="30"/>
  <c r="BC55" i="30" s="1"/>
  <c r="BC59" i="30" s="1"/>
  <c r="AS9" i="30" s="1"/>
  <c r="AA94" i="22" s="1"/>
  <c r="BT18" i="29"/>
  <c r="BT37" i="29" s="1"/>
  <c r="BT40" i="29" s="1"/>
  <c r="BY18" i="29"/>
  <c r="BZ36" i="29" s="1"/>
  <c r="BK32" i="29"/>
  <c r="BK43" i="29" s="1"/>
  <c r="BH47" i="29" s="1"/>
  <c r="AA64" i="22" s="1"/>
  <c r="BM18" i="29"/>
  <c r="BN36" i="29" s="1"/>
  <c r="S18" i="23"/>
  <c r="Q39" i="23" s="1"/>
  <c r="Q47" i="23"/>
  <c r="AA52" i="22" s="1"/>
  <c r="Y32" i="23"/>
  <c r="W46" i="23" s="1"/>
  <c r="J35" i="27"/>
  <c r="J62" i="27" s="1"/>
  <c r="BE19" i="27"/>
  <c r="BC58" i="27" s="1"/>
  <c r="BC53" i="27"/>
  <c r="BC68" i="27" s="1"/>
  <c r="BD35" i="27"/>
  <c r="BC63" i="27" s="1"/>
  <c r="AX19" i="27"/>
  <c r="AW57" i="27" s="1"/>
  <c r="G54" i="32"/>
  <c r="G65" i="32" s="1"/>
  <c r="I30" i="32"/>
  <c r="J58" i="32" s="1"/>
  <c r="I54" i="32"/>
  <c r="J65" i="32" s="1"/>
  <c r="AP30" i="32"/>
  <c r="AQ58" i="32" s="1"/>
  <c r="AQ62" i="32" s="1"/>
  <c r="AR54" i="32"/>
  <c r="AQ67" i="32" s="1"/>
  <c r="G54" i="33"/>
  <c r="G65" i="33" s="1"/>
  <c r="E54" i="33"/>
  <c r="D67" i="33" s="1"/>
  <c r="AR54" i="33"/>
  <c r="AQ67" i="33" s="1"/>
  <c r="BT47" i="29"/>
  <c r="AA60" i="22" s="1"/>
  <c r="Z32" i="23"/>
  <c r="Z43" i="23" s="1"/>
  <c r="V32" i="23"/>
  <c r="W43" i="23" s="1"/>
  <c r="W47" i="23" s="1"/>
  <c r="AA54" i="22" s="1"/>
  <c r="AY53" i="27"/>
  <c r="AW70" i="27" s="1"/>
  <c r="E34" i="2" l="1"/>
  <c r="E35" i="2"/>
  <c r="E38" i="2"/>
  <c r="F36" i="2"/>
  <c r="F38" i="2"/>
  <c r="F34" i="2"/>
  <c r="E37" i="2"/>
  <c r="E33" i="2"/>
  <c r="E24" i="2" s="1"/>
  <c r="J4" i="2" s="1"/>
  <c r="F35" i="2"/>
  <c r="F33" i="2"/>
  <c r="F24" i="2" s="1"/>
  <c r="I4" i="2" s="1"/>
  <c r="F37" i="2"/>
  <c r="E18" i="2"/>
  <c r="G18" i="2" s="1"/>
  <c r="E36" i="2"/>
  <c r="AA59" i="22"/>
  <c r="BT50" i="29"/>
  <c r="AA51" i="22"/>
  <c r="Q50" i="23"/>
  <c r="M109" i="22"/>
  <c r="P11" i="27"/>
  <c r="P26" i="27"/>
  <c r="M86" i="22" s="1"/>
  <c r="M21" i="22" s="1"/>
  <c r="V8" i="28"/>
  <c r="K8" i="28" s="1"/>
  <c r="AN7" i="22"/>
  <c r="U8" i="28"/>
  <c r="J8" i="28" s="1"/>
  <c r="D50" i="23"/>
  <c r="M51" i="22"/>
  <c r="E14" i="24" s="1"/>
  <c r="E16" i="24" s="1"/>
  <c r="M101" i="22"/>
  <c r="AC39" i="29"/>
  <c r="AC46" i="29"/>
  <c r="BN40" i="29"/>
  <c r="J71" i="27"/>
  <c r="AW62" i="32"/>
  <c r="AW69" i="32"/>
  <c r="AA104" i="22" s="1"/>
  <c r="P10" i="27"/>
  <c r="V22" i="28"/>
  <c r="K15" i="28" s="1"/>
  <c r="U22" i="28"/>
  <c r="J15" i="28" s="1"/>
  <c r="AN21" i="22"/>
  <c r="V9" i="28"/>
  <c r="N8" i="28" s="1"/>
  <c r="AN8" i="22"/>
  <c r="U9" i="28"/>
  <c r="M8" i="28" s="1"/>
  <c r="U27" i="28"/>
  <c r="M17" i="28" s="1"/>
  <c r="AN26" i="22"/>
  <c r="V27" i="28"/>
  <c r="N17" i="28" s="1"/>
  <c r="V50" i="29"/>
  <c r="M61" i="22"/>
  <c r="D32" i="28"/>
  <c r="D41" i="28" s="1"/>
  <c r="V43" i="28"/>
  <c r="N29" i="28" s="1"/>
  <c r="AN42" i="22"/>
  <c r="U43" i="28"/>
  <c r="M29" i="28" s="1"/>
  <c r="M53" i="22"/>
  <c r="E17" i="24" s="1"/>
  <c r="E19" i="24" s="1"/>
  <c r="J50" i="23"/>
  <c r="BZ40" i="29"/>
  <c r="BC71" i="27"/>
  <c r="AW62" i="33"/>
  <c r="V32" i="28"/>
  <c r="K24" i="28" s="1"/>
  <c r="U32" i="28"/>
  <c r="J24" i="28" s="1"/>
  <c r="AN31" i="22"/>
  <c r="D59" i="27"/>
  <c r="P25" i="27" s="1"/>
  <c r="M85" i="22" s="1"/>
  <c r="M20" i="22" s="1"/>
  <c r="AW59" i="30"/>
  <c r="AS4" i="30" s="1"/>
  <c r="BN47" i="29"/>
  <c r="AA66" i="22" s="1"/>
  <c r="AN23" i="22"/>
  <c r="U24" i="28"/>
  <c r="J16" i="28" s="1"/>
  <c r="V24" i="28"/>
  <c r="K16" i="28" s="1"/>
  <c r="AN27" i="22"/>
  <c r="V28" i="28"/>
  <c r="K22" i="28" s="1"/>
  <c r="U28" i="28"/>
  <c r="J22" i="28" s="1"/>
  <c r="F32" i="28"/>
  <c r="G40" i="28" s="1"/>
  <c r="G43" i="28"/>
  <c r="BC59" i="27"/>
  <c r="W40" i="23"/>
  <c r="J65" i="27"/>
  <c r="AQ69" i="33"/>
  <c r="AA110" i="22" s="1"/>
  <c r="J59" i="27"/>
  <c r="AC51" i="29"/>
  <c r="E11" i="24"/>
  <c r="F3" i="22"/>
  <c r="P18" i="30"/>
  <c r="M91" i="22"/>
  <c r="AA101" i="22"/>
  <c r="AA91" i="22"/>
  <c r="AS18" i="30"/>
  <c r="AS24" i="27"/>
  <c r="AA84" i="22" s="1"/>
  <c r="AA19" i="22" s="1"/>
  <c r="AS4" i="27"/>
  <c r="AA73" i="22" s="1"/>
  <c r="AA8" i="22" s="1"/>
  <c r="AS9" i="27"/>
  <c r="AA70" i="22" s="1"/>
  <c r="AA5" i="22" s="1"/>
  <c r="J69" i="33"/>
  <c r="M112" i="22" s="1"/>
  <c r="D69" i="33"/>
  <c r="M110" i="22" s="1"/>
  <c r="BZ47" i="29"/>
  <c r="AA62" i="22" s="1"/>
  <c r="AN16" i="22"/>
  <c r="V17" i="28"/>
  <c r="N12" i="28" s="1"/>
  <c r="U17" i="28"/>
  <c r="M12" i="28" s="1"/>
  <c r="Q7" i="28"/>
  <c r="F7" i="28" s="1"/>
  <c r="G39" i="28" s="1"/>
  <c r="G46" i="28" s="1"/>
  <c r="R7" i="28"/>
  <c r="G7" i="28" s="1"/>
  <c r="G18" i="28" s="1"/>
  <c r="AM6" i="22"/>
  <c r="U29" i="28"/>
  <c r="M22" i="28" s="1"/>
  <c r="V29" i="28"/>
  <c r="N22" i="28" s="1"/>
  <c r="AN28" i="22"/>
  <c r="T4" i="22"/>
  <c r="E31" i="24"/>
  <c r="J52" i="29"/>
  <c r="AA92" i="22"/>
  <c r="AS19" i="30"/>
  <c r="J69" i="32"/>
  <c r="M104" i="22" s="1"/>
  <c r="AQ62" i="33"/>
  <c r="AW69" i="33"/>
  <c r="AA112" i="22" s="1"/>
  <c r="BC65" i="27"/>
  <c r="AQ69" i="32"/>
  <c r="AA102" i="22" s="1"/>
  <c r="AN22" i="22"/>
  <c r="U23" i="28"/>
  <c r="M15" i="28" s="1"/>
  <c r="V23" i="28"/>
  <c r="N15" i="28" s="1"/>
  <c r="AC45" i="29"/>
  <c r="AC47" i="29" s="1"/>
  <c r="AC38" i="29"/>
  <c r="AC40" i="29" s="1"/>
  <c r="AS26" i="27"/>
  <c r="AA86" i="22" s="1"/>
  <c r="AA21" i="22" s="1"/>
  <c r="AS6" i="27"/>
  <c r="AA75" i="22" s="1"/>
  <c r="AA10" i="22" s="1"/>
  <c r="AS11" i="27"/>
  <c r="V10" i="28"/>
  <c r="K9" i="28" s="1"/>
  <c r="AN9" i="22"/>
  <c r="U10" i="28"/>
  <c r="J9" i="28" s="1"/>
  <c r="J62" i="32"/>
  <c r="AA63" i="22"/>
  <c r="BH50" i="29"/>
  <c r="J62" i="33"/>
  <c r="D69" i="32"/>
  <c r="M102" i="22" s="1"/>
  <c r="AS5" i="27"/>
  <c r="AA74" i="22" s="1"/>
  <c r="AA9" i="22" s="1"/>
  <c r="AS10" i="27"/>
  <c r="AA71" i="22" s="1"/>
  <c r="AA6" i="22" s="1"/>
  <c r="AS25" i="27"/>
  <c r="AA85" i="22" s="1"/>
  <c r="AA20" i="22" s="1"/>
  <c r="V41" i="28"/>
  <c r="N28" i="28" s="1"/>
  <c r="U41" i="28"/>
  <c r="M28" i="28" s="1"/>
  <c r="AN40" i="22"/>
  <c r="V42" i="28"/>
  <c r="K29" i="28" s="1"/>
  <c r="U42" i="28"/>
  <c r="J29" i="28" s="1"/>
  <c r="AN41" i="22"/>
  <c r="D43" i="28"/>
  <c r="C32" i="28"/>
  <c r="D40" i="28" s="1"/>
  <c r="D42" i="28" s="1"/>
  <c r="J50" i="29"/>
  <c r="D52" i="29" s="1"/>
  <c r="M57" i="22" s="1"/>
  <c r="M65" i="22"/>
  <c r="AC50" i="29" l="1"/>
  <c r="P15" i="27"/>
  <c r="M81" i="22" s="1"/>
  <c r="M16" i="22" s="1"/>
  <c r="P20" i="27"/>
  <c r="M78" i="22" s="1"/>
  <c r="M13" i="22" s="1"/>
  <c r="M71" i="22"/>
  <c r="D72" i="32"/>
  <c r="P6" i="27"/>
  <c r="M75" i="22" s="1"/>
  <c r="M10" i="22" s="1"/>
  <c r="M72" i="22"/>
  <c r="AA53" i="22"/>
  <c r="W50" i="23"/>
  <c r="Q52" i="23" s="1"/>
  <c r="AA50" i="22" s="1"/>
  <c r="G41" i="28"/>
  <c r="R4" i="28"/>
  <c r="D6" i="28" s="1"/>
  <c r="D18" i="28" s="1"/>
  <c r="D37" i="28" s="1"/>
  <c r="AM3" i="22"/>
  <c r="AK3" i="22" s="1"/>
  <c r="Q4" i="28"/>
  <c r="C6" i="28" s="1"/>
  <c r="AS14" i="27"/>
  <c r="AA80" i="22" s="1"/>
  <c r="AA15" i="22" s="1"/>
  <c r="AS19" i="27"/>
  <c r="AA77" i="22" s="1"/>
  <c r="AA12" i="22" s="1"/>
  <c r="AA111" i="22"/>
  <c r="AW72" i="33"/>
  <c r="F18" i="28"/>
  <c r="G36" i="28" s="1"/>
  <c r="D72" i="33"/>
  <c r="M111" i="22"/>
  <c r="J72" i="33"/>
  <c r="AS21" i="27"/>
  <c r="AS16" i="27"/>
  <c r="AA82" i="22" s="1"/>
  <c r="AA17" i="22" s="1"/>
  <c r="AA103" i="22"/>
  <c r="AW72" i="32"/>
  <c r="D52" i="23"/>
  <c r="M50" i="22" s="1"/>
  <c r="E13" i="24" s="1"/>
  <c r="J52" i="23"/>
  <c r="M49" i="22" s="1"/>
  <c r="E12" i="24" s="1"/>
  <c r="V5" i="28"/>
  <c r="N6" i="28" s="1"/>
  <c r="N18" i="28" s="1"/>
  <c r="N37" i="28" s="1"/>
  <c r="AN4" i="22"/>
  <c r="AL3" i="22" s="1"/>
  <c r="U5" i="28"/>
  <c r="M6" i="28" s="1"/>
  <c r="G42" i="28"/>
  <c r="AA61" i="22"/>
  <c r="BZ50" i="29"/>
  <c r="P21" i="27"/>
  <c r="M79" i="22" s="1"/>
  <c r="M14" i="22" s="1"/>
  <c r="P16" i="27"/>
  <c r="M82" i="22" s="1"/>
  <c r="M17" i="22" s="1"/>
  <c r="J18" i="28"/>
  <c r="K36" i="28" s="1"/>
  <c r="K39" i="28"/>
  <c r="K46" i="28"/>
  <c r="AS15" i="27"/>
  <c r="AA81" i="22" s="1"/>
  <c r="AA16" i="22" s="1"/>
  <c r="AS20" i="27"/>
  <c r="AA78" i="22" s="1"/>
  <c r="AA13" i="22" s="1"/>
  <c r="BH52" i="29"/>
  <c r="AA57" i="22" s="1"/>
  <c r="BN52" i="29"/>
  <c r="AA109" i="22"/>
  <c r="AQ72" i="33"/>
  <c r="P14" i="27"/>
  <c r="M80" i="22" s="1"/>
  <c r="M15" i="22" s="1"/>
  <c r="P19" i="27"/>
  <c r="M77" i="22" s="1"/>
  <c r="M12" i="22" s="1"/>
  <c r="J32" i="28"/>
  <c r="K40" i="28" s="1"/>
  <c r="K43" i="28"/>
  <c r="AA90" i="22"/>
  <c r="AS17" i="30"/>
  <c r="M56" i="22"/>
  <c r="AA65" i="22"/>
  <c r="BN50" i="29"/>
  <c r="M103" i="22"/>
  <c r="J72" i="32"/>
  <c r="N32" i="28"/>
  <c r="AQ72" i="32"/>
  <c r="K32" i="28"/>
  <c r="K41" i="28" s="1"/>
  <c r="P24" i="27"/>
  <c r="M84" i="22" s="1"/>
  <c r="M19" i="22" s="1"/>
  <c r="P9" i="27"/>
  <c r="P5" i="27" s="1"/>
  <c r="M74" i="22" s="1"/>
  <c r="M9" i="22" s="1"/>
  <c r="P52" i="29"/>
  <c r="M58" i="22" s="1"/>
  <c r="V52" i="29"/>
  <c r="K18" i="28"/>
  <c r="BT52" i="29"/>
  <c r="AA58" i="22" s="1"/>
  <c r="BZ52" i="29"/>
  <c r="M32" i="28"/>
  <c r="N40" i="28" s="1"/>
  <c r="N43" i="28"/>
  <c r="AA56" i="22"/>
  <c r="C18" i="28" l="1"/>
  <c r="D36" i="28" s="1"/>
  <c r="D38" i="28" s="1"/>
  <c r="D45" i="28" s="1"/>
  <c r="D39" i="28"/>
  <c r="D46" i="28" s="1"/>
  <c r="AQ73" i="32"/>
  <c r="AA99" i="22" s="1"/>
  <c r="AQ74" i="32"/>
  <c r="AA100" i="22" s="1"/>
  <c r="D73" i="33"/>
  <c r="M107" i="22" s="1"/>
  <c r="D74" i="33"/>
  <c r="M108" i="22" s="1"/>
  <c r="M6" i="22"/>
  <c r="E35" i="24"/>
  <c r="N46" i="28"/>
  <c r="N39" i="28"/>
  <c r="M18" i="28"/>
  <c r="N36" i="28" s="1"/>
  <c r="N38" i="28" s="1"/>
  <c r="M7" i="22"/>
  <c r="E37" i="24"/>
  <c r="E39" i="24" s="1"/>
  <c r="D74" i="32"/>
  <c r="M100" i="22" s="1"/>
  <c r="D73" i="32"/>
  <c r="M99" i="22" s="1"/>
  <c r="N41" i="28"/>
  <c r="N42" i="28" s="1"/>
  <c r="AQ73" i="33"/>
  <c r="AA107" i="22" s="1"/>
  <c r="AQ74" i="33"/>
  <c r="AA108" i="22" s="1"/>
  <c r="K42" i="28"/>
  <c r="P4" i="27"/>
  <c r="M73" i="22" s="1"/>
  <c r="M8" i="22" s="1"/>
  <c r="M70" i="22"/>
  <c r="K37" i="28"/>
  <c r="K38" i="28" s="1"/>
  <c r="K45" i="28" s="1"/>
  <c r="W52" i="23"/>
  <c r="AA49" i="22" s="1"/>
  <c r="AA79" i="22"/>
  <c r="AA14" i="22" s="1"/>
  <c r="AA72" i="22"/>
  <c r="AA7" i="22" s="1"/>
  <c r="G37" i="28"/>
  <c r="G38" i="28" s="1"/>
  <c r="G45" i="28" s="1"/>
  <c r="AH52" i="29"/>
  <c r="AC52" i="29"/>
  <c r="M5" i="22" l="1"/>
  <c r="E34" i="24"/>
  <c r="E36" i="24" s="1"/>
  <c r="N45" i="28"/>
  <c r="K47" i="28" s="1"/>
  <c r="D47" i="28"/>
  <c r="G47" i="28"/>
  <c r="N47" i="28" l="1"/>
</calcChain>
</file>

<file path=xl/sharedStrings.xml><?xml version="1.0" encoding="utf-8"?>
<sst xmlns="http://schemas.openxmlformats.org/spreadsheetml/2006/main" count="8411" uniqueCount="639">
  <si>
    <t>X9DRI-LN4F+</t>
  </si>
  <si>
    <t>Motherboard</t>
  </si>
  <si>
    <t>Processor</t>
  </si>
  <si>
    <t>10GB NIC</t>
  </si>
  <si>
    <t>Xeon E5-2650</t>
  </si>
  <si>
    <t>RAM</t>
  </si>
  <si>
    <t>GPU</t>
  </si>
  <si>
    <t xml:space="preserve">USB Peripheral </t>
  </si>
  <si>
    <t>Generic</t>
  </si>
  <si>
    <t>Backplane</t>
  </si>
  <si>
    <t>Card</t>
  </si>
  <si>
    <t>Amps @ 3.3V</t>
  </si>
  <si>
    <t>Amps @ 12V</t>
  </si>
  <si>
    <t>Drives</t>
  </si>
  <si>
    <t>SAS</t>
  </si>
  <si>
    <t>Amps @ 5V</t>
  </si>
  <si>
    <t>SATA</t>
  </si>
  <si>
    <t>SSD</t>
  </si>
  <si>
    <t>Watts at 5V</t>
  </si>
  <si>
    <t>Watts at 12V</t>
  </si>
  <si>
    <t>Watts at 3.3V</t>
  </si>
  <si>
    <t>SATA/SAS for 6 HDD</t>
  </si>
  <si>
    <t>Xeon E5-2690</t>
  </si>
  <si>
    <t>X9SCI-LN4F+</t>
  </si>
  <si>
    <t>Nics</t>
  </si>
  <si>
    <t>Quantity</t>
  </si>
  <si>
    <t>Power (W)</t>
  </si>
  <si>
    <t>Part</t>
  </si>
  <si>
    <t>X8SIE-LN4F+</t>
  </si>
  <si>
    <t>Raptor</t>
  </si>
  <si>
    <t>None</t>
  </si>
  <si>
    <t>Total Watts</t>
  </si>
  <si>
    <t>X8DTU-F</t>
  </si>
  <si>
    <t>X8DTN+</t>
  </si>
  <si>
    <t>X9SCD</t>
  </si>
  <si>
    <t>Xeon E5-2620</t>
  </si>
  <si>
    <t>Xeon 5520</t>
  </si>
  <si>
    <t>Xeon 5550</t>
  </si>
  <si>
    <t>Xeon 5570</t>
  </si>
  <si>
    <t>Xeon 5620</t>
  </si>
  <si>
    <t>Xeon 5670</t>
  </si>
  <si>
    <t>Xeon 5675</t>
  </si>
  <si>
    <t>Xeon 3460</t>
  </si>
  <si>
    <t>Xeon 3470</t>
  </si>
  <si>
    <t>Xeon 3420</t>
  </si>
  <si>
    <t xml:space="preserve"> Power (W)</t>
  </si>
  <si>
    <t>SATA/SAS for 4 HDD</t>
  </si>
  <si>
    <t>SATA/SAS for 24 HDD</t>
  </si>
  <si>
    <t>SATA/SAS for 12 HDD</t>
  </si>
  <si>
    <t>SATA/SAS for 8 HDD</t>
  </si>
  <si>
    <t>SATA/SAS for 36 HDD</t>
  </si>
  <si>
    <t>Tesla M2090</t>
  </si>
  <si>
    <t>X10SLM+-LN4F</t>
  </si>
  <si>
    <t>Part Name</t>
  </si>
  <si>
    <t>80mm - 7K</t>
  </si>
  <si>
    <t>80mm - 10K</t>
  </si>
  <si>
    <t xml:space="preserve">40mm - 12K </t>
  </si>
  <si>
    <t>FAN-0125L4 - 80x80x38mm</t>
  </si>
  <si>
    <t>FAN-0140L4 - 80x80x38mm</t>
  </si>
  <si>
    <t>FAN-0086L4 - 40x40x56mm</t>
  </si>
  <si>
    <t>Adaptec 71605</t>
  </si>
  <si>
    <t>Adaptec 72405</t>
  </si>
  <si>
    <t>Adaptec 5405Z</t>
  </si>
  <si>
    <t>Adaptec 5805Z</t>
  </si>
  <si>
    <t>Adaptec 5805</t>
  </si>
  <si>
    <t>Adaptec 5405</t>
  </si>
  <si>
    <t>Manufacturer Spec Calculator</t>
  </si>
  <si>
    <t>Watts Total</t>
  </si>
  <si>
    <t>Power @ XX %</t>
  </si>
  <si>
    <t>Minimum</t>
  </si>
  <si>
    <t>Maximum</t>
  </si>
  <si>
    <t>XX %</t>
  </si>
  <si>
    <t>BETA</t>
  </si>
  <si>
    <t>X9QRI-F+</t>
  </si>
  <si>
    <t>Xeon E5-4620</t>
  </si>
  <si>
    <t>Xeon E5-4650</t>
  </si>
  <si>
    <t>Mid Fans</t>
  </si>
  <si>
    <t>Front Fans</t>
  </si>
  <si>
    <t>Idle Power (W)</t>
  </si>
  <si>
    <t>Maximum Power (W)</t>
  </si>
  <si>
    <t>Tesla K10</t>
  </si>
  <si>
    <t>Power Supply Budget</t>
  </si>
  <si>
    <t>Minimum Power</t>
  </si>
  <si>
    <t>Adaptec 7805</t>
  </si>
  <si>
    <t>Highest Reached</t>
  </si>
  <si>
    <t>Volts</t>
  </si>
  <si>
    <t>Max Power (W)</t>
  </si>
  <si>
    <t>Infiniband</t>
  </si>
  <si>
    <t>Throttle @ XXX%</t>
  </si>
  <si>
    <t>GRID K2</t>
  </si>
  <si>
    <t>GRID K1</t>
  </si>
  <si>
    <t>Xeon E5-2690 V2</t>
  </si>
  <si>
    <t>Xeon E5-2650 V2</t>
  </si>
  <si>
    <t>Xeon E5-2620 V2</t>
  </si>
  <si>
    <t>SG Sata</t>
  </si>
  <si>
    <t>Tesla K20X</t>
  </si>
  <si>
    <t>X9DRI-LN4F+_R1.2a</t>
  </si>
  <si>
    <t>GPU(s)</t>
  </si>
  <si>
    <t>Processor(s)</t>
  </si>
  <si>
    <t>HDD(s)</t>
  </si>
  <si>
    <t>RAID(s)</t>
  </si>
  <si>
    <t>NIC(s)</t>
  </si>
  <si>
    <t>1U</t>
  </si>
  <si>
    <t>Chassis</t>
  </si>
  <si>
    <t>2U</t>
  </si>
  <si>
    <t>4U</t>
  </si>
  <si>
    <t>1U 4 Drive</t>
  </si>
  <si>
    <t>2U 12 Drive</t>
  </si>
  <si>
    <t>3U 8 Drive</t>
  </si>
  <si>
    <t>4U 24 Drive</t>
  </si>
  <si>
    <t>4U 36 Drive</t>
  </si>
  <si>
    <t># of Fans</t>
  </si>
  <si>
    <t># of Fans2</t>
  </si>
  <si>
    <t>NL SAS</t>
  </si>
  <si>
    <t>Translate</t>
  </si>
  <si>
    <t>Word</t>
  </si>
  <si>
    <t xml:space="preserve">Dual </t>
  </si>
  <si>
    <t xml:space="preserve">Quad </t>
  </si>
  <si>
    <t xml:space="preserve">Octo </t>
  </si>
  <si>
    <t>Server Type / CPU Usage</t>
  </si>
  <si>
    <t>CPUs</t>
  </si>
  <si>
    <t xml:space="preserve">Cores </t>
  </si>
  <si>
    <t>GHz</t>
  </si>
  <si>
    <t>GPUs</t>
  </si>
  <si>
    <t>Us</t>
  </si>
  <si>
    <t>Cores</t>
  </si>
  <si>
    <t>Spec</t>
  </si>
  <si>
    <t>SCI</t>
  </si>
  <si>
    <t>SCD</t>
  </si>
  <si>
    <t>SIE</t>
  </si>
  <si>
    <t>DTU</t>
  </si>
  <si>
    <t xml:space="preserve">Single </t>
  </si>
  <si>
    <t>Xeon 3430</t>
  </si>
  <si>
    <t xml:space="preserve">Zero </t>
  </si>
  <si>
    <t># of Backplanes</t>
  </si>
  <si>
    <t># of Generic</t>
  </si>
  <si>
    <t>Drive and RAM Heavy Load</t>
  </si>
  <si>
    <t>Xeon 7540</t>
  </si>
  <si>
    <t>Xeon 7555</t>
  </si>
  <si>
    <t>Xeon 7550</t>
  </si>
  <si>
    <t>Xeon E5-4830</t>
  </si>
  <si>
    <t>Xeon E5-4850</t>
  </si>
  <si>
    <t>X8QB6-F</t>
  </si>
  <si>
    <t>Shorter Name</t>
  </si>
  <si>
    <t>_1U4D</t>
  </si>
  <si>
    <t>_2U12D</t>
  </si>
  <si>
    <t>_3U8D</t>
  </si>
  <si>
    <t>_4U24D</t>
  </si>
  <si>
    <t>_4U36D</t>
  </si>
  <si>
    <t>3TB SATA</t>
  </si>
  <si>
    <t>4TB SATA</t>
  </si>
  <si>
    <t>600 GB SASII 15k.7</t>
  </si>
  <si>
    <t>600GB SATA 10K</t>
  </si>
  <si>
    <t>1TB NL SAS (Dell)</t>
  </si>
  <si>
    <t>2TB SATA</t>
  </si>
  <si>
    <t>GRID K520</t>
  </si>
  <si>
    <t>2U 6 Drive</t>
  </si>
  <si>
    <t>_2U6D</t>
  </si>
  <si>
    <t>Nickname (Create Name for chassis compatibility)</t>
  </si>
  <si>
    <t>RAM Amounts</t>
  </si>
  <si>
    <r>
      <t>(P</t>
    </r>
    <r>
      <rPr>
        <b/>
        <vertAlign val="subscript"/>
        <sz val="11"/>
        <color theme="0"/>
        <rFont val="Calibri"/>
        <family val="2"/>
        <scheme val="minor"/>
      </rPr>
      <t>min</t>
    </r>
    <r>
      <rPr>
        <b/>
        <sz val="11"/>
        <color theme="0"/>
        <rFont val="Calibri"/>
        <family val="2"/>
        <scheme val="minor"/>
      </rPr>
      <t xml:space="preserve"> )</t>
    </r>
  </si>
  <si>
    <r>
      <t xml:space="preserve"> (P</t>
    </r>
    <r>
      <rPr>
        <b/>
        <vertAlign val="subscript"/>
        <sz val="11"/>
        <color theme="0"/>
        <rFont val="Calibri"/>
        <family val="2"/>
        <scheme val="minor"/>
      </rPr>
      <t>max</t>
    </r>
    <r>
      <rPr>
        <b/>
        <sz val="11"/>
        <color theme="0"/>
        <rFont val="Calibri"/>
        <family val="2"/>
        <scheme val="minor"/>
      </rPr>
      <t>)</t>
    </r>
  </si>
  <si>
    <t>W @ XX %</t>
  </si>
  <si>
    <r>
      <t>Max Power Draw (P</t>
    </r>
    <r>
      <rPr>
        <vertAlign val="subscript"/>
        <sz val="11"/>
        <color theme="0"/>
        <rFont val="Calibri"/>
        <family val="2"/>
        <scheme val="minor"/>
      </rPr>
      <t>max</t>
    </r>
    <r>
      <rPr>
        <sz val="11"/>
        <color theme="0"/>
        <rFont val="Calibri"/>
        <family val="2"/>
        <scheme val="minor"/>
      </rPr>
      <t>)</t>
    </r>
  </si>
  <si>
    <r>
      <t>Min Power Draw (P</t>
    </r>
    <r>
      <rPr>
        <vertAlign val="subscript"/>
        <sz val="11"/>
        <color theme="0"/>
        <rFont val="Calibri"/>
        <family val="2"/>
        <scheme val="minor"/>
      </rPr>
      <t>min</t>
    </r>
    <r>
      <rPr>
        <sz val="11"/>
        <color theme="0"/>
        <rFont val="Calibri"/>
        <family val="2"/>
        <scheme val="minor"/>
      </rPr>
      <t xml:space="preserve"> )</t>
    </r>
  </si>
  <si>
    <t>_SLM_Pop</t>
  </si>
  <si>
    <t>_QRI_Pop</t>
  </si>
  <si>
    <t>_SIE_Pop</t>
  </si>
  <si>
    <t>_SCI_Pop</t>
  </si>
  <si>
    <t>_DRI_Pop</t>
  </si>
  <si>
    <t>_DTU_Pop</t>
  </si>
  <si>
    <t>_DTN_Pop</t>
  </si>
  <si>
    <t>_DRI_1.2_Pop</t>
  </si>
  <si>
    <t>__QB6_Pop</t>
  </si>
  <si>
    <t>Indirect Validation (Name) Generators</t>
  </si>
  <si>
    <t>_None_Pop</t>
  </si>
  <si>
    <t>x</t>
  </si>
  <si>
    <t>1x</t>
  </si>
  <si>
    <t>2x</t>
  </si>
  <si>
    <t>4x</t>
  </si>
  <si>
    <t>8x</t>
  </si>
  <si>
    <t>Throttle Presets</t>
  </si>
  <si>
    <t>Chassis to RAID Card</t>
  </si>
  <si>
    <t>Proc Counts for Each Board</t>
  </si>
  <si>
    <t>Chassis to RAID Card (Number Supported)</t>
  </si>
  <si>
    <t xml:space="preserve">Drives </t>
  </si>
  <si>
    <t>Number of Drives</t>
  </si>
  <si>
    <t>3x</t>
  </si>
  <si>
    <t xml:space="preserve">Tri </t>
  </si>
  <si>
    <t>Xeon E5-4650 V2</t>
  </si>
  <si>
    <t>Xeon E5-4620 V2</t>
  </si>
  <si>
    <t>0</t>
  </si>
  <si>
    <t xml:space="preserve"> </t>
  </si>
  <si>
    <t>RAID Card(s)</t>
  </si>
  <si>
    <t>Chassis to Network Card (Number Supported)</t>
  </si>
  <si>
    <t>Server Configs</t>
  </si>
  <si>
    <t>Original Layout</t>
  </si>
  <si>
    <t>New Layout</t>
  </si>
  <si>
    <t>Slot</t>
  </si>
  <si>
    <t>Proc / Chassis</t>
  </si>
  <si>
    <t>Watts*</t>
  </si>
  <si>
    <t>Amps</t>
  </si>
  <si>
    <t>Kw</t>
  </si>
  <si>
    <t>Total Kw</t>
  </si>
  <si>
    <t>Max on one strip</t>
  </si>
  <si>
    <t>Failover</t>
  </si>
  <si>
    <t>Bank-H (Top)</t>
  </si>
  <si>
    <t>Bank-H (Bottom)</t>
  </si>
  <si>
    <t>Bank-G (Top)</t>
  </si>
  <si>
    <t>Bank-G (Bottom)</t>
  </si>
  <si>
    <t>Total Servers</t>
  </si>
  <si>
    <t>Physical Cores</t>
  </si>
  <si>
    <t>Virtual Cores</t>
  </si>
  <si>
    <t>Original Rack</t>
  </si>
  <si>
    <t>New Rack</t>
  </si>
  <si>
    <t>Power H Top</t>
  </si>
  <si>
    <t>Power G Top</t>
  </si>
  <si>
    <t>Singles</t>
  </si>
  <si>
    <t>Duals</t>
  </si>
  <si>
    <t>Single PSU Amps</t>
  </si>
  <si>
    <t>Dual PSU Amps</t>
  </si>
  <si>
    <t>Total</t>
  </si>
  <si>
    <t>Power H Bottom</t>
  </si>
  <si>
    <t>Power G Bottom</t>
  </si>
  <si>
    <t>Power H</t>
  </si>
  <si>
    <t>Power G</t>
  </si>
  <si>
    <t>Singles Top</t>
  </si>
  <si>
    <t>Duals Top</t>
  </si>
  <si>
    <t>Singles Bottom</t>
  </si>
  <si>
    <t>Duals Bottom</t>
  </si>
  <si>
    <t>Power H Total</t>
  </si>
  <si>
    <t>Power G Total</t>
  </si>
  <si>
    <t>Strip Max</t>
  </si>
  <si>
    <t>Final Layout</t>
  </si>
  <si>
    <t>Rack Details</t>
  </si>
  <si>
    <t>Employee</t>
  </si>
  <si>
    <t>Date</t>
  </si>
  <si>
    <t>Server Room</t>
  </si>
  <si>
    <t>Rack</t>
  </si>
  <si>
    <t>Total H</t>
  </si>
  <si>
    <t>Total G</t>
  </si>
  <si>
    <t>Rack Specs</t>
  </si>
  <si>
    <t>RAM Per VCore</t>
  </si>
  <si>
    <t>Auto Generated Values</t>
  </si>
  <si>
    <t>PSUs Used</t>
  </si>
  <si>
    <t>PSUs</t>
  </si>
  <si>
    <t>PSU</t>
  </si>
  <si>
    <t># of PSUs</t>
  </si>
  <si>
    <t>0U</t>
  </si>
  <si>
    <t>Servers on H</t>
  </si>
  <si>
    <t>Servers on G</t>
  </si>
  <si>
    <t>Servers on Bottom</t>
  </si>
  <si>
    <t>Servers on Top H</t>
  </si>
  <si>
    <t>Servers on Bottom H</t>
  </si>
  <si>
    <t>Servers on Top G</t>
  </si>
  <si>
    <t>3U</t>
  </si>
  <si>
    <t>SLM</t>
  </si>
  <si>
    <t>QRI</t>
  </si>
  <si>
    <t>DRI</t>
  </si>
  <si>
    <t>DRI_1.2</t>
  </si>
  <si>
    <t>DTN</t>
  </si>
  <si>
    <t>Watts</t>
  </si>
  <si>
    <t>Xeon E5-2620 V3</t>
  </si>
  <si>
    <t>Xeon E5-2650 V3</t>
  </si>
  <si>
    <t>Xeon E5-2690 V3</t>
  </si>
  <si>
    <t>2GB DDR3 1.5V RDIMM</t>
  </si>
  <si>
    <t>4GB DDR3 1.5V RDIMM</t>
  </si>
  <si>
    <t>8GB DDR3 1.5V RDIMM</t>
  </si>
  <si>
    <t>16GB DDR3 1.5V RDIMM</t>
  </si>
  <si>
    <t>32GB DDR3 1.5V RDIMM</t>
  </si>
  <si>
    <t>SATA/SAS for 16 HDD</t>
  </si>
  <si>
    <t>_SCD_Pop</t>
  </si>
  <si>
    <t>10GB Copper NIC</t>
  </si>
  <si>
    <t>_QB6</t>
  </si>
  <si>
    <t>X9DRI-LN4F+_1U</t>
  </si>
  <si>
    <t>X9DRI-LN4F+_R1.2a_1U</t>
  </si>
  <si>
    <t>Units</t>
  </si>
  <si>
    <t>X10QBI</t>
  </si>
  <si>
    <t>QBI_Pop</t>
  </si>
  <si>
    <t>Xeon E7-4850</t>
  </si>
  <si>
    <t>Xeon E7-4830</t>
  </si>
  <si>
    <t>Xeon E7-4880 V2</t>
  </si>
  <si>
    <t>Xeon E7-4850 V2</t>
  </si>
  <si>
    <t>Xeon E7-4830 V2</t>
  </si>
  <si>
    <t>Xeon E3-1230 V3</t>
  </si>
  <si>
    <t>Xeon E3-1270 V3</t>
  </si>
  <si>
    <t>Xeon E3-1230</t>
  </si>
  <si>
    <t>Xeon E3-1270</t>
  </si>
  <si>
    <t>Xeon E3-1275</t>
  </si>
  <si>
    <t>Xeon E3-1270 V2</t>
  </si>
  <si>
    <t>X10DRI</t>
  </si>
  <si>
    <t>X10DRI-LN4F+</t>
  </si>
  <si>
    <t>_10DRI_Pop</t>
  </si>
  <si>
    <t>_10DRI</t>
  </si>
  <si>
    <t>Xeon E5-2630 V3</t>
  </si>
  <si>
    <t>Xeon E5-2660 V3</t>
  </si>
  <si>
    <t>_10DRU</t>
  </si>
  <si>
    <t>X10DRU-LN4F+</t>
  </si>
  <si>
    <t>_10DRU_Pop</t>
  </si>
  <si>
    <t>X10DRU</t>
  </si>
  <si>
    <t>4GB DDR4 1.2V RDIMM</t>
  </si>
  <si>
    <t>8GB DDR4 1.2V RDIMM</t>
  </si>
  <si>
    <t>16GB DDR4 1.2V RDIMM</t>
  </si>
  <si>
    <t>32GB DDR4 1.2V RDIMM</t>
  </si>
  <si>
    <t>_10QBI</t>
  </si>
  <si>
    <t>1U 4 Drive Ultra</t>
  </si>
  <si>
    <t>2U 12 Drive Ultra</t>
  </si>
  <si>
    <t>X10SLH-LN6T+</t>
  </si>
  <si>
    <t>X10DRU-i+</t>
  </si>
  <si>
    <t>_1U4DU</t>
  </si>
  <si>
    <t>_2U12DU</t>
  </si>
  <si>
    <t>64GB DDR4 1.2V LRDIMM</t>
  </si>
  <si>
    <t>X10DRI-T4+</t>
  </si>
  <si>
    <t>Chassis to GPU (Models Supported)</t>
  </si>
  <si>
    <t>Chassis to Motherboard</t>
  </si>
  <si>
    <t>X10SLH-LNT6+</t>
  </si>
  <si>
    <t>Chassis Configuration</t>
  </si>
  <si>
    <t>Xeon E5-2670 V3</t>
  </si>
  <si>
    <t>Xeon E7-4890 V2</t>
  </si>
  <si>
    <t xml:space="preserve">Make it Unique </t>
  </si>
  <si>
    <t>Xeon E5-2683 V3</t>
  </si>
  <si>
    <t>Cost</t>
  </si>
  <si>
    <t>Red = SMC Price</t>
  </si>
  <si>
    <t>Black = Intel Reference Price</t>
  </si>
  <si>
    <t>LSI 9361-8i</t>
  </si>
  <si>
    <t>960GB SSD</t>
  </si>
  <si>
    <t>800GB SSD</t>
  </si>
  <si>
    <t>64GB DDR3 1.35V LRDIMM</t>
  </si>
  <si>
    <t>Numerical value for RAM</t>
  </si>
  <si>
    <t>6TB SATA</t>
  </si>
  <si>
    <t>Tris</t>
  </si>
  <si>
    <t>Quads</t>
  </si>
  <si>
    <t>Tri PSU Amps</t>
  </si>
  <si>
    <t>Quad PSU Amps</t>
  </si>
  <si>
    <t>Tris Top</t>
  </si>
  <si>
    <t>Quads Top</t>
  </si>
  <si>
    <t>N/A</t>
  </si>
  <si>
    <t>Total YZ</t>
  </si>
  <si>
    <t>YZ</t>
  </si>
  <si>
    <t>ZX</t>
  </si>
  <si>
    <t>Singles XY</t>
  </si>
  <si>
    <t>Duals XY</t>
  </si>
  <si>
    <t>Tris XY</t>
  </si>
  <si>
    <t>Quads XY</t>
  </si>
  <si>
    <t>Total XY</t>
  </si>
  <si>
    <t>Singles YZ</t>
  </si>
  <si>
    <t>Duals YZ</t>
  </si>
  <si>
    <t>Tris YZ</t>
  </si>
  <si>
    <t>Quads YZ</t>
  </si>
  <si>
    <t>Singles ZX</t>
  </si>
  <si>
    <t>Duals ZX</t>
  </si>
  <si>
    <t>Tris ZX</t>
  </si>
  <si>
    <t>Quads ZX</t>
  </si>
  <si>
    <t>Total ZX</t>
  </si>
  <si>
    <t>Strip P</t>
  </si>
  <si>
    <t>P</t>
  </si>
  <si>
    <t>Q</t>
  </si>
  <si>
    <t>X</t>
  </si>
  <si>
    <t>Y</t>
  </si>
  <si>
    <t>Z</t>
  </si>
  <si>
    <t>Strip Q</t>
  </si>
  <si>
    <t>Current</t>
  </si>
  <si>
    <t xml:space="preserve"> XY</t>
  </si>
  <si>
    <t>Bank Totals</t>
  </si>
  <si>
    <t>XY</t>
  </si>
  <si>
    <t>Rack Total</t>
  </si>
  <si>
    <t>Bank-Q (XY)</t>
  </si>
  <si>
    <t>Bank-Q (ZX)</t>
  </si>
  <si>
    <t>Bank-Q (YZ)</t>
  </si>
  <si>
    <t>Bank-P (XY)</t>
  </si>
  <si>
    <t>Bank-P (YZ)</t>
  </si>
  <si>
    <t>Bank-P (ZX)</t>
  </si>
  <si>
    <t>Three Phase</t>
  </si>
  <si>
    <t>Bank-P (X)</t>
  </si>
  <si>
    <t>Bank-P (Z)</t>
  </si>
  <si>
    <t>Bank-P (Y)</t>
  </si>
  <si>
    <t>Bank-Q (X)</t>
  </si>
  <si>
    <t>Bank-Q (Y)</t>
  </si>
  <si>
    <t>Bank-Q (Z)</t>
  </si>
  <si>
    <t>F/O</t>
  </si>
  <si>
    <t>1U | X10SLH-LNT6+ | Single Xeon E3-1270 V3 | 16GB | 50% | cmwhite</t>
  </si>
  <si>
    <t>Failover (Y)</t>
  </si>
  <si>
    <t>Failover (Z)</t>
  </si>
  <si>
    <t>Failover (X)</t>
  </si>
  <si>
    <t>Tris Bottom</t>
  </si>
  <si>
    <t>Quads Bottom</t>
  </si>
  <si>
    <t>1U | X10DRU-i+ | Dual Xeon E5-2620 V3 | 64GB | 50% | cmwhite</t>
  </si>
  <si>
    <t>1U | X10DRU-i+ | Dual Xeon E5-2650 V3 | 64GB | 50% | cmwhite</t>
  </si>
  <si>
    <t>1U | X10DRU-i+ | Dual Xeon E5-2690 V3 | 64GB | 50% | cmwhite</t>
  </si>
  <si>
    <t>2U | X10DRU-i+ | Dual Xeon E5-2650 V3 | 64GB | 50% | cmwhite</t>
  </si>
  <si>
    <t>4U | X10QBI | Quad Xeon E7-4850 V2 | 256GB | 50% | cmwhite</t>
  </si>
  <si>
    <t>4U | X10QBI | Quad Xeon E7-4850 V2 | 256GB | 50% | 4x PSUs | cmwhite</t>
  </si>
  <si>
    <t>Procs, RAM Throttled</t>
  </si>
  <si>
    <t>Proc, RAM, Drives Throttled</t>
  </si>
  <si>
    <t>Procs Throttled (Standard)</t>
  </si>
  <si>
    <t>Absolute MAX (Throttles Everything)</t>
  </si>
  <si>
    <t>Chassis to GPU (Number Supported)</t>
  </si>
  <si>
    <t>Chassis to PSUs (Number Supported)</t>
  </si>
  <si>
    <t>4U | X10QBI | Quad Xeon E7-4890 V2 | 6144GB | 50% | Change Me | cmwhite</t>
  </si>
  <si>
    <t>4U | X10QBI | Quad Xeon E7-4850 V2 | 256GB | 50% | 3x PSUs | cmwhite</t>
  </si>
  <si>
    <t>1U | X10DRU-i+ | Dual Xeon E5-2690 V3 | 768GB | 100% | LSI - 4TB | cmwhite</t>
  </si>
  <si>
    <t>1U | X10DRU-i+ | Dual Xeon E5-2690 V3 | 768GB | 100% | Change Me | cmwhite</t>
  </si>
  <si>
    <t>Saved Layouts</t>
  </si>
  <si>
    <t>Empty</t>
  </si>
  <si>
    <t xml:space="preserve">   Rack KW</t>
  </si>
  <si>
    <t xml:space="preserve">  Rack KW</t>
  </si>
  <si>
    <t>Component</t>
  </si>
  <si>
    <t>2U | X10DRU-i+ | Dual Xeon E5-2650 V3 | 64GB | 75% | 4x GPU | cmwhite</t>
  </si>
  <si>
    <t>1U | X10SLH-LNT6+ | Single Xeon E3-1270 V3 | 16GB | 50% | cmwhite | 2x PSU</t>
  </si>
  <si>
    <t>1U | X10DRU-i+ | Dual Xeon E5-2683 V3 | 256GB | 75% | Local Disk Cloud | cmwhite</t>
  </si>
  <si>
    <t>Procs &amp; RAM Throttled w/ GPUs @ 100%</t>
  </si>
  <si>
    <t>Habanero</t>
  </si>
  <si>
    <t>SP012GMR</t>
  </si>
  <si>
    <t>_HAB</t>
  </si>
  <si>
    <t>_HAB_1</t>
  </si>
  <si>
    <t>0x</t>
  </si>
  <si>
    <t>_HAB_Pop</t>
  </si>
  <si>
    <t>80mm - 15K</t>
  </si>
  <si>
    <t>2U 14 Drive Tyan</t>
  </si>
  <si>
    <t>SATA/SAS for 14 HDD</t>
  </si>
  <si>
    <t>_2U14DT</t>
  </si>
  <si>
    <t>4GB DDR3L 1.35V RDIMM</t>
  </si>
  <si>
    <t>16GB DDR3L 1.35V RDIMM</t>
  </si>
  <si>
    <t>RAM__HAB</t>
  </si>
  <si>
    <t>Power 8-8C-00UL866</t>
  </si>
  <si>
    <t>Power 8-10C-00UL864</t>
  </si>
  <si>
    <t>2U | SP012GMR | Single Power 8-8C-00UL866 | 32GB | 50% | Habanero</t>
  </si>
  <si>
    <t>2U | SP012GMR | Single Power 8-10C-00UL864 | 256GB | 50% | Habanero</t>
  </si>
  <si>
    <t>2U | SP012GMR | Single Power 8-10C-00UL864 | 512GB | 50% | Habanero SSD</t>
  </si>
  <si>
    <t>2U | SP012GMR | Single Power 8-10C-00UL864 | 512GB | 50% | Habanero 6TB</t>
  </si>
  <si>
    <t>4U | X9DRI-LN4F+_R1.2a | Dual Xeon E5-2620 V2 | 768GB | 50% | something</t>
  </si>
  <si>
    <t>2U | X10DRU-i+ | Dual Xeon E5-2650 V3 | 64GB | 50% | Change Me</t>
  </si>
  <si>
    <t>1U | X10DRU-i+ | Dual Xeon E5-2683 V3 | 256GB | 75% | Local Disk Cloud</t>
  </si>
  <si>
    <t>256GB Local Disk</t>
  </si>
  <si>
    <t>2U | SP012GMR | Single Power 8-10C-00UL864 | 256GB | 50% | Habanero 256GB No Turbo</t>
  </si>
  <si>
    <t>2U | SP012GMR | Single Power 8-8C-00UL866 | 64GB | 50% | Habanero 64GB No Turbo</t>
  </si>
  <si>
    <t>2U | SP012GMR | Single Power 8-10C-00UL864 | 512GB | 50% | Habanero 512GB No Turbo</t>
  </si>
  <si>
    <t>2U | SP012GMR | Single Power 8-10C-00UL864 | 512GB | 50% | Habanero 512GB SSD No Turbo</t>
  </si>
  <si>
    <t>64GB Local Disk</t>
  </si>
  <si>
    <t>1U | X10DRU-i+ | Dual Xeon E5-2683 V3 | 128GB | 75% | Local Disk - 128GB</t>
  </si>
  <si>
    <t>128GB Local Disk</t>
  </si>
  <si>
    <t>1U | X10DRU-i+ | Dual Xeon E5-2683 V3 | 256GB | 75% | Local Disk - 256GB</t>
  </si>
  <si>
    <t>1U | X10DRU-i+ | Dual Xeon E5-2683 V3 | 64GB | 75% | Local Disk - 64GB</t>
  </si>
  <si>
    <t>1U | X10DRU-i+ | Dual Xeon E5-2683 V3 | 512GB | 75% | Local Disk - 512GB</t>
  </si>
  <si>
    <t>512GB Local Disk</t>
  </si>
  <si>
    <t>Bank-K (Top)</t>
  </si>
  <si>
    <t>Bank-K (Bottom)</t>
  </si>
  <si>
    <t>Bank-J (Top)</t>
  </si>
  <si>
    <t>Bank-J (Bottom)</t>
  </si>
  <si>
    <t>Power K Top</t>
  </si>
  <si>
    <t>Power J Top</t>
  </si>
  <si>
    <t>Power J Bottom</t>
  </si>
  <si>
    <t>Power K Total</t>
  </si>
  <si>
    <t>Power J Total</t>
  </si>
  <si>
    <t>Servers on J</t>
  </si>
  <si>
    <t>Power K Bottom</t>
  </si>
  <si>
    <t>Power K</t>
  </si>
  <si>
    <t>Power J</t>
  </si>
  <si>
    <t>Strip K &amp; H</t>
  </si>
  <si>
    <t>Strip J &amp; G</t>
  </si>
  <si>
    <t>Single Phase 4x Strips</t>
  </si>
  <si>
    <t>4U | Tuleta | 256GB | 75% | 4x PSU| cmwhite</t>
  </si>
  <si>
    <t xml:space="preserve">4U | X10DRI-T4+ | Dual Xeon E5-2690 V3 | 256GB | 50% | 208V | x2 PSU </t>
  </si>
  <si>
    <t>Failover K J</t>
  </si>
  <si>
    <t>Standard Customer Rack</t>
  </si>
  <si>
    <t>Failover KJ</t>
  </si>
  <si>
    <t>Failover GH</t>
  </si>
  <si>
    <t>Strip R</t>
  </si>
  <si>
    <t>Strip S</t>
  </si>
  <si>
    <t>L1</t>
  </si>
  <si>
    <t xml:space="preserve"> L1</t>
  </si>
  <si>
    <t>Singles L1</t>
  </si>
  <si>
    <t>Duals L1</t>
  </si>
  <si>
    <t>Tris L1</t>
  </si>
  <si>
    <t>Quads L1</t>
  </si>
  <si>
    <t>Total L1</t>
  </si>
  <si>
    <t>L2</t>
  </si>
  <si>
    <t>L3</t>
  </si>
  <si>
    <t>Singles L2</t>
  </si>
  <si>
    <t>Duals L2</t>
  </si>
  <si>
    <t>Tris L2</t>
  </si>
  <si>
    <t>Quads L2</t>
  </si>
  <si>
    <t>Total L2</t>
  </si>
  <si>
    <t>Singles L3</t>
  </si>
  <si>
    <t>Duals L3</t>
  </si>
  <si>
    <t>Tris L3</t>
  </si>
  <si>
    <t>Quads L3</t>
  </si>
  <si>
    <t>Total L3</t>
  </si>
  <si>
    <t>Duals 3</t>
  </si>
  <si>
    <t>Three Phase 400V</t>
  </si>
  <si>
    <t>Bank-R (L1)</t>
  </si>
  <si>
    <t>Bank-R (L2)</t>
  </si>
  <si>
    <t>Bank-R (L3)</t>
  </si>
  <si>
    <t>Bank-S (L1)</t>
  </si>
  <si>
    <t>Bank-S (L2)</t>
  </si>
  <si>
    <t>Bank-S (L3)</t>
  </si>
  <si>
    <t>New</t>
  </si>
  <si>
    <t>4U | X10DRI-T4+ | Dual Xeon E5-2620 V3 | 256GB | 75% | 208V | x2 PSU | OSS</t>
  </si>
  <si>
    <t>4U| Quanta | 72 Bay | 4x PSU | cmwhite</t>
  </si>
  <si>
    <t>1U | X10DRU-i+ | Dual Xeon E5-2690 V3 | 256GB | 50% | 208V | x1 PSU | For Bryce</t>
  </si>
  <si>
    <t>Xeon E5-2620 V4</t>
  </si>
  <si>
    <t>Xeon E5-2650 V4</t>
  </si>
  <si>
    <t>Xeon E5-2683 V4</t>
  </si>
  <si>
    <t>Xeon E5-2690 V4</t>
  </si>
  <si>
    <t>X11SSW</t>
  </si>
  <si>
    <t>SSW</t>
  </si>
  <si>
    <t>_SSW_Pop</t>
  </si>
  <si>
    <t>SLH</t>
  </si>
  <si>
    <t>X10SL+-LN6T</t>
  </si>
  <si>
    <t>_SLH_Pop</t>
  </si>
  <si>
    <t>X10SLH-LN6T</t>
  </si>
  <si>
    <t>4GB DDR4 1.2V NRDIMM</t>
  </si>
  <si>
    <t>8GB DDR4 1.2V NRDIMM</t>
  </si>
  <si>
    <t>16GB DDR4 1.2V NRDIMM</t>
  </si>
  <si>
    <t>Xeon E3 1270 V5</t>
  </si>
  <si>
    <t>1U | X10DRU-i+ | Dual Xeon E5-2690 V4 | 64GB | 0% | 208V | x2 PSU | Load Test</t>
  </si>
  <si>
    <t>1U | X10DRU-i+ | Dual Xeon E5-2690 V4 | 64GB | 50% | 208V | x2 PSU | Load Test</t>
  </si>
  <si>
    <t>1U | X10DRU-i+ | Dual Xeon E5-2690 V4 | 64GB | 100% | 208V | x2 PSU | Load Test</t>
  </si>
  <si>
    <t>A</t>
  </si>
  <si>
    <t>B</t>
  </si>
  <si>
    <t>C</t>
  </si>
  <si>
    <t>Old Layout</t>
  </si>
  <si>
    <t>1.2TB SSD</t>
  </si>
  <si>
    <t>1.7TB SSD</t>
  </si>
  <si>
    <t>1U | X10DRU-i+ | Dual Xeon E5-2683 V4 | 512GB | 75% | 208V | x2 PSU | Local Disk - 512GB - 1.7TB</t>
  </si>
  <si>
    <t>Tesla M5</t>
  </si>
  <si>
    <t>Tesla K80</t>
  </si>
  <si>
    <t>Tesla M40</t>
  </si>
  <si>
    <t>X11DPU</t>
  </si>
  <si>
    <t>_11DPU</t>
  </si>
  <si>
    <t>Xeon Silver 4110</t>
  </si>
  <si>
    <t>Xeon Gold 5120</t>
  </si>
  <si>
    <t>Xeon Gold 6140</t>
  </si>
  <si>
    <t>Xeon Gold 6130</t>
  </si>
  <si>
    <t>_11DPU_Pop</t>
  </si>
  <si>
    <t>Octo PSU Amps</t>
  </si>
  <si>
    <t>Octo</t>
  </si>
  <si>
    <t>Octo XY</t>
  </si>
  <si>
    <t>Octo YZ</t>
  </si>
  <si>
    <t>Octo ZX</t>
  </si>
  <si>
    <t>8U | 3950 X6 | Octo Xeon E7-8880 V3 | 8192GB | 50% | 208V | 8x PSU</t>
  </si>
  <si>
    <t>Original</t>
  </si>
  <si>
    <t>2U | None | None | 0GB | 50% | 208V | x2 PSU | JBOD</t>
  </si>
  <si>
    <t>Oct Top</t>
  </si>
  <si>
    <t>Oct Bottom</t>
  </si>
  <si>
    <t>Old Rack</t>
  </si>
  <si>
    <t>Hardware Breakdown (Old Layout)</t>
  </si>
  <si>
    <t>Hardware Breakdown (New Layout)</t>
  </si>
  <si>
    <t>Power Layouts</t>
  </si>
  <si>
    <t>Single Phase</t>
  </si>
  <si>
    <t>Single Phase X4 Strips</t>
  </si>
  <si>
    <t>Three Phase 400V Inverted</t>
  </si>
  <si>
    <t>1U | X10DRU-i+ | Dual Xeon E5-2683 V3 | 128GB | 50% | 208V | x2 PSU | Local Disk - 128GB</t>
  </si>
  <si>
    <t>Change Me</t>
  </si>
  <si>
    <t>2U | X11DPU | Dual Xeon Gold 6140 | 384GB | 50% | 208V | x2 PSU | Watson</t>
  </si>
  <si>
    <t>4U | None | None | 0GB | 75% | 208V | x4 PSU | Watson - JBOG</t>
  </si>
  <si>
    <t>Xeon Gold 6148</t>
  </si>
  <si>
    <t>Single Phase 48 Port</t>
  </si>
  <si>
    <t>1U | X10DRU-i+ | Dual Xeon E5-2650 V3 | 128GB | 75% | 208V | x2 PSU | For Bryce</t>
  </si>
  <si>
    <t>1U | X10SLH-LNT6+ | Single Xeon E3-1270 V3 | 32GB | 75% | 208V | x2 PSU | For Bryce</t>
  </si>
  <si>
    <t xml:space="preserve">1U | X11DPU | Dual Xeon Gold 6130 | 384GB | 75% | 208V | x2 PSU </t>
  </si>
  <si>
    <t>1U | X11DPU | Dual Xeon Gold 6130 | 768GB | 75% | 208V | x2 PSU</t>
  </si>
  <si>
    <t>Max On One Strip</t>
  </si>
  <si>
    <t>Single Phase 48 Port 230V</t>
  </si>
  <si>
    <t>Single Phase 48 Port 230v</t>
  </si>
  <si>
    <t>1U | X11DPU | Dual Xeon Gold 6148 | 768GB | 75% | 208V | x2 PSU |  Skylake | Local Disk - 768</t>
  </si>
  <si>
    <t>768GB Local Disk | Skylake</t>
  </si>
  <si>
    <t>Xeon Platinum 8280L</t>
  </si>
  <si>
    <t>128GB DDR4 1.2 RDIMM</t>
  </si>
  <si>
    <t>3.2TB SSD</t>
  </si>
  <si>
    <t>6.4TB SSD</t>
  </si>
  <si>
    <t>Xeon Gold 8474C 24C</t>
  </si>
  <si>
    <t>Xeon Gold 8474C 32C</t>
  </si>
  <si>
    <t>Xeon Gold 8474C 48C</t>
  </si>
  <si>
    <t>Xeon Platinum 8280</t>
  </si>
  <si>
    <t>Xeon Platinum 8260</t>
  </si>
  <si>
    <t>Xeon Silver 4210</t>
  </si>
  <si>
    <t>Xeon Gold 5218</t>
  </si>
  <si>
    <t>Xeon Gold 6248</t>
  </si>
  <si>
    <t>Xeon Gold 6250</t>
  </si>
  <si>
    <t>Xeon Platinum 8474</t>
  </si>
  <si>
    <t>AMD 7642</t>
  </si>
  <si>
    <t>AMD 7F72</t>
  </si>
  <si>
    <t>AMD 7763</t>
  </si>
  <si>
    <t>SR630</t>
  </si>
  <si>
    <t>SR630-V3</t>
  </si>
  <si>
    <t>SR650</t>
  </si>
  <si>
    <t>SR650-V3</t>
  </si>
  <si>
    <t>SR645</t>
  </si>
  <si>
    <t>SR950</t>
  </si>
  <si>
    <t>H11DSU</t>
  </si>
  <si>
    <t>X13DEM</t>
  </si>
  <si>
    <t>1U 4 Drive Lenovo E3</t>
  </si>
  <si>
    <t>1U 4 Drive System X</t>
  </si>
  <si>
    <t>2U 12 Drive System X</t>
  </si>
  <si>
    <t>1U 4 Drive Lenovo TS</t>
  </si>
  <si>
    <t>2U 12 Drive Lenovo TS</t>
  </si>
  <si>
    <t>2U 16 Drive Lenovo TS</t>
  </si>
  <si>
    <t>4U 24 Drive Lenovo TS</t>
  </si>
  <si>
    <t>_1U4DE3</t>
  </si>
  <si>
    <t>_1U4DTS</t>
  </si>
  <si>
    <t>_1U4DSX</t>
  </si>
  <si>
    <t>_2U12DSX</t>
  </si>
  <si>
    <t>_2U12DTS</t>
  </si>
  <si>
    <t>_2U16DTS</t>
  </si>
  <si>
    <t>_4U24DTS</t>
  </si>
  <si>
    <t>SystemX3250-M6</t>
  </si>
  <si>
    <t>SystemX3550-M5</t>
  </si>
  <si>
    <t>SystemX3550-M5-V4</t>
  </si>
  <si>
    <t>SystemX3650-M5</t>
  </si>
  <si>
    <t>SystemX3650-M5-V4</t>
  </si>
  <si>
    <t>H11DSU-iN_R2.10</t>
  </si>
  <si>
    <t>DSU</t>
  </si>
  <si>
    <t>DEM</t>
  </si>
  <si>
    <t>_3550_Pop</t>
  </si>
  <si>
    <t>_3550-V4_Pop</t>
  </si>
  <si>
    <t>_3650_Pop</t>
  </si>
  <si>
    <t>_3650-V4_Pop</t>
  </si>
  <si>
    <t>_SR630_Pop</t>
  </si>
  <si>
    <t>_SR630-V3_Pop</t>
  </si>
  <si>
    <t>_SR650_Pop</t>
  </si>
  <si>
    <t>_SR650-V3_Pop</t>
  </si>
  <si>
    <t>_SR645_Pop</t>
  </si>
  <si>
    <t>_SR950_Pop</t>
  </si>
  <si>
    <t>_DSU_Pop</t>
  </si>
  <si>
    <t>_DEM_Pop</t>
  </si>
  <si>
    <t>_3250</t>
  </si>
  <si>
    <t>__3250_Pop</t>
  </si>
  <si>
    <t>_3550</t>
  </si>
  <si>
    <t>_3550-V4</t>
  </si>
  <si>
    <t>_3650</t>
  </si>
  <si>
    <t>_3650-V4</t>
  </si>
  <si>
    <t>_SR630</t>
  </si>
  <si>
    <t>Lenovo M1210</t>
  </si>
  <si>
    <t>LSI 9461-16i</t>
  </si>
  <si>
    <t>Manufacturer spec calculators (Typical unless noted otherwise)</t>
  </si>
  <si>
    <t>Watts at 3.3V Aux</t>
  </si>
  <si>
    <t>Lenovo 940-16i</t>
  </si>
  <si>
    <t>Broadcom 9560-16i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</si>
</sst>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00000000000000"/>
    <numFmt numFmtId="165" formatCode="0.000"/>
    <numFmt numFmtId="166" formatCode="0.0"/>
    <numFmt numFmtId="167" formatCode="&quot;$&quot;#,##0.00"/>
  </numFmts>
  <fonts count="5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theme="3" tint="0.59999389629810485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sz val="8"/>
      <color rgb="FF000000"/>
      <name val="Tahoma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972F2C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D9D9D9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D9D9D9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72F2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auto="1"/>
      </patternFill>
    </fill>
    <fill>
      <patternFill patternType="solid">
        <fgColor theme="1"/>
        <bgColor theme="0" tint="-0.14981536301767021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theme="0" tint="-0.14999847407452621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auto="1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AEAEA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medium">
        <color auto="1"/>
      </right>
      <top/>
      <bottom style="hair">
        <color theme="0" tint="-0.24994659260841701"/>
      </bottom>
      <diagonal/>
    </border>
    <border>
      <left style="medium">
        <color auto="1"/>
      </left>
      <right/>
      <top/>
      <bottom style="hair">
        <color theme="0" tint="-0.24994659260841701"/>
      </bottom>
      <diagonal/>
    </border>
    <border>
      <left/>
      <right style="thin">
        <color indexed="64"/>
      </right>
      <top/>
      <bottom style="hair">
        <color theme="0" tint="-0.24994659260841701"/>
      </bottom>
      <diagonal/>
    </border>
    <border>
      <left style="thin">
        <color indexed="64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 style="medium">
        <color auto="1"/>
      </right>
      <top style="hair">
        <color theme="0" tint="-0.24994659260841701"/>
      </top>
      <bottom/>
      <diagonal/>
    </border>
    <border>
      <left style="medium">
        <color auto="1"/>
      </left>
      <right/>
      <top style="hair">
        <color theme="0" tint="-0.24994659260841701"/>
      </top>
      <bottom/>
      <diagonal/>
    </border>
    <border>
      <left/>
      <right style="thin">
        <color indexed="64"/>
      </right>
      <top style="hair">
        <color theme="0" tint="-0.24994659260841701"/>
      </top>
      <bottom/>
      <diagonal/>
    </border>
    <border>
      <left style="thin">
        <color indexed="64"/>
      </left>
      <right style="hair">
        <color theme="0" tint="-0.24994659260841701"/>
      </right>
      <top/>
      <bottom style="medium">
        <color auto="1"/>
      </bottom>
      <diagonal/>
    </border>
    <border>
      <left style="hair">
        <color theme="0" tint="-0.24994659260841701"/>
      </left>
      <right/>
      <top/>
      <bottom style="medium">
        <color auto="1"/>
      </bottom>
      <diagonal/>
    </border>
    <border>
      <left/>
      <right style="hair">
        <color theme="0" tint="-0.2499465926084170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8" fillId="0" borderId="0"/>
    <xf numFmtId="0" fontId="4" fillId="0" borderId="0" applyNumberFormat="0" applyFill="0" applyBorder="0" applyAlignment="0" applyProtection="0"/>
  </cellStyleXfs>
  <cellXfs count="94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0" borderId="0" xfId="0" applyFont="1"/>
    <xf numFmtId="0" fontId="2" fillId="0" borderId="2" xfId="0" applyFont="1" applyBorder="1"/>
    <xf numFmtId="0" fontId="0" fillId="0" borderId="2" xfId="0" applyBorder="1" applyAlignment="1">
      <alignment horizontal="right"/>
    </xf>
    <xf numFmtId="0" fontId="0" fillId="0" borderId="2" xfId="0" applyBorder="1" applyAlignment="1">
      <alignment horizontal="left"/>
    </xf>
    <xf numFmtId="0" fontId="0" fillId="0" borderId="2" xfId="0" applyBorder="1"/>
    <xf numFmtId="0" fontId="1" fillId="3" borderId="0" xfId="0" applyFont="1" applyFill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1" fillId="3" borderId="2" xfId="0" applyFont="1" applyFill="1" applyBorder="1"/>
    <xf numFmtId="0" fontId="8" fillId="0" borderId="0" xfId="0" applyFont="1"/>
    <xf numFmtId="0" fontId="1" fillId="5" borderId="11" xfId="0" applyFont="1" applyFill="1" applyBorder="1"/>
    <xf numFmtId="0" fontId="1" fillId="2" borderId="10" xfId="0" applyFont="1" applyFill="1" applyBorder="1" applyAlignment="1">
      <alignment horizontal="left"/>
    </xf>
    <xf numFmtId="0" fontId="2" fillId="3" borderId="0" xfId="0" applyFont="1" applyFill="1"/>
    <xf numFmtId="0" fontId="0" fillId="3" borderId="0" xfId="0" applyFill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left"/>
    </xf>
    <xf numFmtId="0" fontId="1" fillId="5" borderId="8" xfId="0" applyFont="1" applyFill="1" applyBorder="1"/>
    <xf numFmtId="0" fontId="1" fillId="5" borderId="1" xfId="0" applyFont="1" applyFill="1" applyBorder="1"/>
    <xf numFmtId="0" fontId="1" fillId="5" borderId="12" xfId="0" applyFont="1" applyFill="1" applyBorder="1"/>
    <xf numFmtId="0" fontId="0" fillId="0" borderId="14" xfId="0" applyBorder="1"/>
    <xf numFmtId="0" fontId="0" fillId="0" borderId="2" xfId="0" applyBorder="1" applyAlignment="1">
      <alignment vertical="center"/>
    </xf>
    <xf numFmtId="0" fontId="0" fillId="0" borderId="3" xfId="0" applyBorder="1"/>
    <xf numFmtId="0" fontId="0" fillId="0" borderId="13" xfId="0" applyBorder="1" applyAlignment="1">
      <alignment vertical="center"/>
    </xf>
    <xf numFmtId="0" fontId="10" fillId="0" borderId="0" xfId="0" applyFont="1"/>
    <xf numFmtId="2" fontId="10" fillId="0" borderId="0" xfId="0" applyNumberFormat="1" applyFont="1" applyAlignment="1">
      <alignment horizontal="right"/>
    </xf>
    <xf numFmtId="0" fontId="11" fillId="0" borderId="0" xfId="0" applyFont="1"/>
    <xf numFmtId="2" fontId="10" fillId="0" borderId="0" xfId="0" applyNumberFormat="1" applyFont="1"/>
    <xf numFmtId="4" fontId="12" fillId="4" borderId="0" xfId="0" applyNumberFormat="1" applyFont="1" applyFill="1"/>
    <xf numFmtId="0" fontId="3" fillId="3" borderId="2" xfId="0" applyFont="1" applyFill="1" applyBorder="1"/>
    <xf numFmtId="0" fontId="1" fillId="3" borderId="2" xfId="0" applyFont="1" applyFill="1" applyBorder="1" applyAlignment="1">
      <alignment horizontal="left"/>
    </xf>
    <xf numFmtId="0" fontId="5" fillId="4" borderId="2" xfId="0" applyFont="1" applyFill="1" applyBorder="1" applyAlignment="1" applyProtection="1">
      <alignment horizontal="right"/>
      <protection locked="0"/>
    </xf>
    <xf numFmtId="0" fontId="5" fillId="4" borderId="2" xfId="1" applyFont="1" applyFill="1" applyBorder="1" applyAlignment="1" applyProtection="1">
      <alignment vertical="center"/>
      <protection locked="0"/>
    </xf>
    <xf numFmtId="0" fontId="0" fillId="4" borderId="2" xfId="0" applyFill="1" applyBorder="1" applyAlignment="1" applyProtection="1">
      <alignment vertical="center"/>
      <protection locked="0"/>
    </xf>
    <xf numFmtId="0" fontId="1" fillId="5" borderId="0" xfId="0" applyFont="1" applyFill="1"/>
    <xf numFmtId="0" fontId="0" fillId="0" borderId="1" xfId="0" applyBorder="1" applyAlignment="1">
      <alignment vertical="center"/>
    </xf>
    <xf numFmtId="0" fontId="1" fillId="3" borderId="8" xfId="0" applyFont="1" applyFill="1" applyBorder="1"/>
    <xf numFmtId="0" fontId="1" fillId="3" borderId="1" xfId="0" applyFont="1" applyFill="1" applyBorder="1"/>
    <xf numFmtId="0" fontId="0" fillId="0" borderId="15" xfId="0" applyBorder="1"/>
    <xf numFmtId="0" fontId="1" fillId="3" borderId="10" xfId="0" applyFont="1" applyFill="1" applyBorder="1"/>
    <xf numFmtId="0" fontId="1" fillId="3" borderId="17" xfId="0" applyFont="1" applyFill="1" applyBorder="1"/>
    <xf numFmtId="2" fontId="0" fillId="0" borderId="2" xfId="0" applyNumberFormat="1" applyBorder="1"/>
    <xf numFmtId="1" fontId="0" fillId="0" borderId="2" xfId="0" applyNumberFormat="1" applyBorder="1"/>
    <xf numFmtId="0" fontId="3" fillId="3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3" borderId="2" xfId="0" applyFill="1" applyBorder="1"/>
    <xf numFmtId="0" fontId="0" fillId="0" borderId="11" xfId="0" applyBorder="1"/>
    <xf numFmtId="0" fontId="0" fillId="3" borderId="0" xfId="0" applyFill="1"/>
    <xf numFmtId="0" fontId="5" fillId="3" borderId="2" xfId="0" applyFont="1" applyFill="1" applyBorder="1"/>
    <xf numFmtId="0" fontId="0" fillId="0" borderId="0" xfId="0" applyAlignment="1">
      <alignment vertical="center"/>
    </xf>
    <xf numFmtId="0" fontId="0" fillId="0" borderId="15" xfId="0" applyBorder="1" applyAlignment="1">
      <alignment vertical="center"/>
    </xf>
    <xf numFmtId="0" fontId="0" fillId="4" borderId="2" xfId="0" applyFill="1" applyBorder="1"/>
    <xf numFmtId="0" fontId="1" fillId="3" borderId="11" xfId="0" applyFont="1" applyFill="1" applyBorder="1"/>
    <xf numFmtId="0" fontId="0" fillId="7" borderId="2" xfId="0" applyFill="1" applyBorder="1" applyAlignment="1">
      <alignment horizontal="right"/>
    </xf>
    <xf numFmtId="0" fontId="5" fillId="0" borderId="10" xfId="0" applyFont="1" applyBorder="1"/>
    <xf numFmtId="0" fontId="5" fillId="0" borderId="17" xfId="0" applyFont="1" applyBorder="1"/>
    <xf numFmtId="0" fontId="5" fillId="0" borderId="11" xfId="0" applyFont="1" applyBorder="1"/>
    <xf numFmtId="0" fontId="2" fillId="4" borderId="0" xfId="0" applyFont="1" applyFill="1" applyAlignment="1">
      <alignment horizontal="left" vertical="center"/>
    </xf>
    <xf numFmtId="0" fontId="0" fillId="4" borderId="0" xfId="0" applyFill="1" applyAlignment="1">
      <alignment horizontal="right"/>
    </xf>
    <xf numFmtId="2" fontId="0" fillId="4" borderId="0" xfId="0" applyNumberFormat="1" applyFill="1" applyAlignment="1">
      <alignment horizontal="right"/>
    </xf>
    <xf numFmtId="164" fontId="0" fillId="0" borderId="2" xfId="0" applyNumberFormat="1" applyBorder="1" applyAlignment="1">
      <alignment horizontal="left" vertical="center"/>
    </xf>
    <xf numFmtId="0" fontId="5" fillId="4" borderId="2" xfId="0" applyFont="1" applyFill="1" applyBorder="1"/>
    <xf numFmtId="0" fontId="0" fillId="0" borderId="2" xfId="0" applyBorder="1" applyAlignment="1">
      <alignment horizontal="left" vertical="center"/>
    </xf>
    <xf numFmtId="0" fontId="0" fillId="4" borderId="2" xfId="0" applyFill="1" applyBorder="1" applyAlignment="1">
      <alignment horizontal="left"/>
    </xf>
    <xf numFmtId="0" fontId="5" fillId="0" borderId="0" xfId="3" applyFont="1"/>
    <xf numFmtId="0" fontId="6" fillId="0" borderId="0" xfId="3" applyFont="1" applyAlignment="1">
      <alignment horizontal="left" vertical="top" wrapText="1"/>
    </xf>
    <xf numFmtId="0" fontId="5" fillId="0" borderId="0" xfId="3" applyFont="1" applyAlignment="1">
      <alignment horizontal="right"/>
    </xf>
    <xf numFmtId="0" fontId="5" fillId="0" borderId="0" xfId="3" applyFont="1" applyAlignment="1" applyProtection="1">
      <alignment vertical="top"/>
      <protection locked="0"/>
    </xf>
    <xf numFmtId="0" fontId="5" fillId="0" borderId="0" xfId="3" applyFont="1" applyAlignment="1" applyProtection="1">
      <alignment horizontal="right" vertical="center"/>
      <protection locked="0"/>
    </xf>
    <xf numFmtId="0" fontId="5" fillId="0" borderId="0" xfId="3" applyFont="1" applyAlignment="1" applyProtection="1">
      <alignment horizontal="left" vertical="center"/>
      <protection locked="0"/>
    </xf>
    <xf numFmtId="0" fontId="1" fillId="0" borderId="0" xfId="3" applyFont="1" applyAlignment="1">
      <alignment horizontal="center" vertical="center"/>
    </xf>
    <xf numFmtId="0" fontId="1" fillId="0" borderId="0" xfId="3" applyFont="1" applyAlignment="1">
      <alignment horizontal="left" vertical="top"/>
    </xf>
    <xf numFmtId="0" fontId="1" fillId="3" borderId="2" xfId="3" applyFont="1" applyFill="1" applyBorder="1" applyAlignment="1">
      <alignment horizontal="right"/>
    </xf>
    <xf numFmtId="0" fontId="1" fillId="0" borderId="0" xfId="3" applyFont="1" applyAlignment="1">
      <alignment vertical="center"/>
    </xf>
    <xf numFmtId="0" fontId="8" fillId="0" borderId="2" xfId="3" applyFont="1" applyBorder="1" applyAlignment="1">
      <alignment horizontal="right"/>
    </xf>
    <xf numFmtId="0" fontId="1" fillId="3" borderId="31" xfId="3" applyFont="1" applyFill="1" applyBorder="1" applyAlignment="1">
      <alignment horizontal="left"/>
    </xf>
    <xf numFmtId="0" fontId="1" fillId="3" borderId="32" xfId="3" applyFont="1" applyFill="1" applyBorder="1" applyAlignment="1">
      <alignment horizontal="left"/>
    </xf>
    <xf numFmtId="0" fontId="1" fillId="3" borderId="33" xfId="3" applyFont="1" applyFill="1" applyBorder="1" applyAlignment="1">
      <alignment horizontal="left"/>
    </xf>
    <xf numFmtId="0" fontId="1" fillId="3" borderId="34" xfId="3" applyFont="1" applyFill="1" applyBorder="1" applyAlignment="1">
      <alignment horizontal="left"/>
    </xf>
    <xf numFmtId="0" fontId="1" fillId="3" borderId="35" xfId="3" applyFont="1" applyFill="1" applyBorder="1" applyAlignment="1">
      <alignment horizontal="left"/>
    </xf>
    <xf numFmtId="0" fontId="1" fillId="0" borderId="0" xfId="3" applyFont="1" applyAlignment="1">
      <alignment horizontal="left"/>
    </xf>
    <xf numFmtId="0" fontId="8" fillId="8" borderId="19" xfId="3" applyFont="1" applyFill="1" applyBorder="1" applyAlignment="1">
      <alignment horizontal="right"/>
    </xf>
    <xf numFmtId="0" fontId="8" fillId="8" borderId="21" xfId="3" applyFont="1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0" borderId="19" xfId="3" applyFont="1" applyBorder="1" applyAlignment="1">
      <alignment horizontal="right"/>
    </xf>
    <xf numFmtId="0" fontId="8" fillId="0" borderId="21" xfId="3" applyFont="1" applyBorder="1" applyAlignment="1">
      <alignment horizontal="right"/>
    </xf>
    <xf numFmtId="0" fontId="1" fillId="3" borderId="31" xfId="3" applyFont="1" applyFill="1" applyBorder="1"/>
    <xf numFmtId="0" fontId="1" fillId="3" borderId="0" xfId="3" applyFont="1" applyFill="1"/>
    <xf numFmtId="0" fontId="1" fillId="3" borderId="33" xfId="3" applyFont="1" applyFill="1" applyBorder="1"/>
    <xf numFmtId="0" fontId="1" fillId="3" borderId="22" xfId="3" applyFont="1" applyFill="1" applyBorder="1"/>
    <xf numFmtId="0" fontId="1" fillId="0" borderId="0" xfId="3" applyFont="1"/>
    <xf numFmtId="0" fontId="6" fillId="7" borderId="2" xfId="3" applyFont="1" applyFill="1" applyBorder="1"/>
    <xf numFmtId="0" fontId="6" fillId="4" borderId="2" xfId="3" applyFont="1" applyFill="1" applyBorder="1"/>
    <xf numFmtId="0" fontId="1" fillId="9" borderId="24" xfId="3" applyFont="1" applyFill="1" applyBorder="1"/>
    <xf numFmtId="0" fontId="1" fillId="9" borderId="22" xfId="3" applyFont="1" applyFill="1" applyBorder="1"/>
    <xf numFmtId="0" fontId="6" fillId="7" borderId="15" xfId="3" applyFont="1" applyFill="1" applyBorder="1"/>
    <xf numFmtId="0" fontId="1" fillId="9" borderId="0" xfId="3" applyFont="1" applyFill="1"/>
    <xf numFmtId="0" fontId="5" fillId="6" borderId="0" xfId="3" applyFont="1" applyFill="1"/>
    <xf numFmtId="0" fontId="5" fillId="6" borderId="2" xfId="3" applyFont="1" applyFill="1" applyBorder="1"/>
    <xf numFmtId="0" fontId="17" fillId="3" borderId="2" xfId="3" applyFont="1" applyFill="1" applyBorder="1" applyAlignment="1">
      <alignment vertical="center"/>
    </xf>
    <xf numFmtId="0" fontId="1" fillId="3" borderId="2" xfId="3" applyFont="1" applyFill="1" applyBorder="1" applyAlignment="1">
      <alignment horizontal="center" vertical="center"/>
    </xf>
    <xf numFmtId="0" fontId="1" fillId="9" borderId="2" xfId="3" applyFont="1" applyFill="1" applyBorder="1"/>
    <xf numFmtId="0" fontId="1" fillId="3" borderId="2" xfId="3" applyFont="1" applyFill="1" applyBorder="1" applyAlignment="1">
      <alignment horizontal="right" vertical="center"/>
    </xf>
    <xf numFmtId="0" fontId="18" fillId="0" borderId="0" xfId="3" applyFont="1" applyAlignment="1">
      <alignment horizontal="left" vertical="center"/>
    </xf>
    <xf numFmtId="0" fontId="2" fillId="8" borderId="2" xfId="3" applyFont="1" applyFill="1" applyBorder="1" applyAlignment="1">
      <alignment horizontal="left" vertical="center"/>
    </xf>
    <xf numFmtId="0" fontId="8" fillId="8" borderId="2" xfId="3" applyFont="1" applyFill="1" applyBorder="1" applyAlignment="1" applyProtection="1">
      <alignment horizontal="left" vertical="center"/>
      <protection locked="0"/>
    </xf>
    <xf numFmtId="22" fontId="5" fillId="4" borderId="2" xfId="3" applyNumberFormat="1" applyFont="1" applyFill="1" applyBorder="1" applyAlignment="1" applyProtection="1">
      <alignment horizontal="left"/>
      <protection locked="0"/>
    </xf>
    <xf numFmtId="22" fontId="8" fillId="8" borderId="2" xfId="3" applyNumberFormat="1" applyFont="1" applyFill="1" applyBorder="1" applyAlignment="1" applyProtection="1">
      <alignment horizontal="left" vertical="center"/>
      <protection locked="0"/>
    </xf>
    <xf numFmtId="0" fontId="5" fillId="4" borderId="2" xfId="3" applyFont="1" applyFill="1" applyBorder="1" applyProtection="1">
      <protection locked="0"/>
    </xf>
    <xf numFmtId="0" fontId="1" fillId="9" borderId="2" xfId="3" applyFont="1" applyFill="1" applyBorder="1" applyAlignment="1">
      <alignment horizontal="left" vertical="center"/>
    </xf>
    <xf numFmtId="0" fontId="1" fillId="9" borderId="2" xfId="3" applyFont="1" applyFill="1" applyBorder="1" applyAlignment="1">
      <alignment horizontal="center" vertical="center"/>
    </xf>
    <xf numFmtId="2" fontId="2" fillId="8" borderId="2" xfId="3" applyNumberFormat="1" applyFont="1" applyFill="1" applyBorder="1" applyAlignment="1">
      <alignment horizontal="right" vertical="center"/>
    </xf>
    <xf numFmtId="0" fontId="2" fillId="4" borderId="2" xfId="3" applyFont="1" applyFill="1" applyBorder="1" applyAlignment="1">
      <alignment horizontal="left" vertical="center"/>
    </xf>
    <xf numFmtId="0" fontId="2" fillId="7" borderId="2" xfId="3" applyFont="1" applyFill="1" applyBorder="1"/>
    <xf numFmtId="1" fontId="2" fillId="7" borderId="2" xfId="3" applyNumberFormat="1" applyFont="1" applyFill="1" applyBorder="1" applyAlignment="1">
      <alignment horizontal="right"/>
    </xf>
    <xf numFmtId="0" fontId="1" fillId="12" borderId="2" xfId="3" applyFont="1" applyFill="1" applyBorder="1" applyAlignment="1">
      <alignment horizontal="left" vertical="center"/>
    </xf>
    <xf numFmtId="2" fontId="1" fillId="12" borderId="2" xfId="3" applyNumberFormat="1" applyFont="1" applyFill="1" applyBorder="1" applyAlignment="1">
      <alignment horizontal="right" vertical="center"/>
    </xf>
    <xf numFmtId="0" fontId="2" fillId="7" borderId="2" xfId="3" applyFont="1" applyFill="1" applyBorder="1" applyAlignment="1">
      <alignment horizontal="left" vertical="center"/>
    </xf>
    <xf numFmtId="0" fontId="2" fillId="13" borderId="2" xfId="3" applyFont="1" applyFill="1" applyBorder="1" applyAlignment="1">
      <alignment horizontal="left" vertical="center"/>
    </xf>
    <xf numFmtId="0" fontId="1" fillId="3" borderId="2" xfId="3" applyFont="1" applyFill="1" applyBorder="1" applyAlignment="1">
      <alignment horizontal="left" vertical="center"/>
    </xf>
    <xf numFmtId="2" fontId="1" fillId="3" borderId="2" xfId="3" applyNumberFormat="1" applyFont="1" applyFill="1" applyBorder="1" applyAlignment="1">
      <alignment horizontal="right" vertical="center"/>
    </xf>
    <xf numFmtId="0" fontId="8" fillId="0" borderId="0" xfId="3" applyFont="1"/>
    <xf numFmtId="0" fontId="1" fillId="3" borderId="2" xfId="3" applyFont="1" applyFill="1" applyBorder="1"/>
    <xf numFmtId="0" fontId="2" fillId="7" borderId="2" xfId="3" applyFont="1" applyFill="1" applyBorder="1" applyAlignment="1">
      <alignment horizontal="right"/>
    </xf>
    <xf numFmtId="0" fontId="2" fillId="4" borderId="2" xfId="3" applyFont="1" applyFill="1" applyBorder="1" applyAlignment="1">
      <alignment horizontal="right"/>
    </xf>
    <xf numFmtId="2" fontId="2" fillId="4" borderId="2" xfId="3" applyNumberFormat="1" applyFont="1" applyFill="1" applyBorder="1" applyAlignment="1">
      <alignment horizontal="right" vertical="center"/>
    </xf>
    <xf numFmtId="0" fontId="1" fillId="0" borderId="2" xfId="3" applyFont="1" applyBorder="1" applyAlignment="1" applyProtection="1">
      <alignment vertical="top" wrapText="1"/>
      <protection locked="0"/>
    </xf>
    <xf numFmtId="4" fontId="1" fillId="0" borderId="2" xfId="3" applyNumberFormat="1" applyFont="1" applyBorder="1" applyAlignment="1" applyProtection="1">
      <alignment horizontal="left" vertical="top" wrapText="1"/>
      <protection locked="0"/>
    </xf>
    <xf numFmtId="0" fontId="1" fillId="0" borderId="2" xfId="3" applyFont="1" applyBorder="1" applyAlignment="1" applyProtection="1">
      <alignment horizontal="left" vertical="top" wrapText="1"/>
      <protection locked="0"/>
    </xf>
    <xf numFmtId="0" fontId="5" fillId="0" borderId="0" xfId="3" applyFont="1" applyAlignment="1" applyProtection="1">
      <alignment horizontal="left"/>
      <protection locked="0"/>
    </xf>
    <xf numFmtId="0" fontId="8" fillId="0" borderId="2" xfId="3" applyFont="1" applyBorder="1" applyAlignment="1">
      <alignment horizontal="left" vertical="center"/>
    </xf>
    <xf numFmtId="0" fontId="8" fillId="7" borderId="2" xfId="3" applyFont="1" applyFill="1" applyBorder="1" applyAlignment="1">
      <alignment horizontal="left" vertical="center"/>
    </xf>
    <xf numFmtId="0" fontId="2" fillId="4" borderId="2" xfId="3" applyFont="1" applyFill="1" applyBorder="1"/>
    <xf numFmtId="2" fontId="2" fillId="7" borderId="2" xfId="3" applyNumberFormat="1" applyFont="1" applyFill="1" applyBorder="1" applyAlignment="1">
      <alignment horizontal="right"/>
    </xf>
    <xf numFmtId="4" fontId="1" fillId="0" borderId="2" xfId="3" applyNumberFormat="1" applyFont="1" applyBorder="1" applyAlignment="1" applyProtection="1">
      <alignment horizontal="left" vertical="top"/>
      <protection locked="0"/>
    </xf>
    <xf numFmtId="1" fontId="2" fillId="4" borderId="2" xfId="3" applyNumberFormat="1" applyFont="1" applyFill="1" applyBorder="1" applyAlignment="1">
      <alignment horizontal="right"/>
    </xf>
    <xf numFmtId="0" fontId="2" fillId="4" borderId="0" xfId="0" applyFont="1" applyFill="1" applyAlignment="1">
      <alignment horizontal="right" vertical="center"/>
    </xf>
    <xf numFmtId="2" fontId="2" fillId="7" borderId="2" xfId="3" applyNumberFormat="1" applyFont="1" applyFill="1" applyBorder="1" applyAlignment="1">
      <alignment horizontal="right" vertical="center"/>
    </xf>
    <xf numFmtId="2" fontId="2" fillId="13" borderId="2" xfId="3" applyNumberFormat="1" applyFont="1" applyFill="1" applyBorder="1" applyAlignment="1">
      <alignment horizontal="right" vertical="center"/>
    </xf>
    <xf numFmtId="0" fontId="1" fillId="9" borderId="0" xfId="3" applyFont="1" applyFill="1" applyAlignment="1">
      <alignment horizontal="right"/>
    </xf>
    <xf numFmtId="0" fontId="11" fillId="0" borderId="2" xfId="3" applyFont="1" applyBorder="1"/>
    <xf numFmtId="0" fontId="11" fillId="10" borderId="31" xfId="3" applyFont="1" applyFill="1" applyBorder="1"/>
    <xf numFmtId="0" fontId="11" fillId="10" borderId="36" xfId="3" applyFont="1" applyFill="1" applyBorder="1"/>
    <xf numFmtId="0" fontId="11" fillId="3" borderId="36" xfId="3" applyFont="1" applyFill="1" applyBorder="1"/>
    <xf numFmtId="0" fontId="19" fillId="10" borderId="33" xfId="3" applyFont="1" applyFill="1" applyBorder="1"/>
    <xf numFmtId="0" fontId="19" fillId="3" borderId="1" xfId="3" applyFont="1" applyFill="1" applyBorder="1"/>
    <xf numFmtId="0" fontId="19" fillId="10" borderId="1" xfId="3" applyFont="1" applyFill="1" applyBorder="1"/>
    <xf numFmtId="0" fontId="19" fillId="0" borderId="2" xfId="3" applyFont="1" applyBorder="1"/>
    <xf numFmtId="0" fontId="6" fillId="3" borderId="2" xfId="3" applyFont="1" applyFill="1" applyBorder="1" applyAlignment="1">
      <alignment horizontal="right"/>
    </xf>
    <xf numFmtId="0" fontId="20" fillId="10" borderId="33" xfId="3" applyFont="1" applyFill="1" applyBorder="1"/>
    <xf numFmtId="0" fontId="20" fillId="3" borderId="1" xfId="3" applyFont="1" applyFill="1" applyBorder="1"/>
    <xf numFmtId="0" fontId="20" fillId="10" borderId="1" xfId="3" applyFont="1" applyFill="1" applyBorder="1"/>
    <xf numFmtId="0" fontId="21" fillId="10" borderId="31" xfId="3" applyFont="1" applyFill="1" applyBorder="1"/>
    <xf numFmtId="0" fontId="21" fillId="3" borderId="36" xfId="3" applyFont="1" applyFill="1" applyBorder="1"/>
    <xf numFmtId="0" fontId="21" fillId="10" borderId="36" xfId="3" applyFont="1" applyFill="1" applyBorder="1"/>
    <xf numFmtId="0" fontId="21" fillId="0" borderId="2" xfId="3" applyFont="1" applyBorder="1"/>
    <xf numFmtId="0" fontId="20" fillId="0" borderId="2" xfId="3" applyFont="1" applyBorder="1"/>
    <xf numFmtId="0" fontId="0" fillId="0" borderId="5" xfId="0" applyBorder="1"/>
    <xf numFmtId="2" fontId="0" fillId="0" borderId="3" xfId="0" applyNumberFormat="1" applyBorder="1"/>
    <xf numFmtId="0" fontId="0" fillId="0" borderId="18" xfId="0" applyBorder="1"/>
    <xf numFmtId="0" fontId="0" fillId="0" borderId="10" xfId="0" applyBorder="1"/>
    <xf numFmtId="2" fontId="0" fillId="0" borderId="17" xfId="0" applyNumberFormat="1" applyBorder="1"/>
    <xf numFmtId="2" fontId="8" fillId="8" borderId="19" xfId="3" applyNumberFormat="1" applyFont="1" applyFill="1" applyBorder="1" applyAlignment="1">
      <alignment horizontal="right"/>
    </xf>
    <xf numFmtId="0" fontId="1" fillId="3" borderId="54" xfId="3" applyFont="1" applyFill="1" applyBorder="1" applyAlignment="1">
      <alignment horizontal="left"/>
    </xf>
    <xf numFmtId="0" fontId="1" fillId="3" borderId="0" xfId="3" applyFont="1" applyFill="1" applyAlignment="1">
      <alignment horizontal="left"/>
    </xf>
    <xf numFmtId="0" fontId="8" fillId="0" borderId="55" xfId="3" applyFont="1" applyBorder="1" applyAlignment="1">
      <alignment horizontal="right"/>
    </xf>
    <xf numFmtId="0" fontId="1" fillId="3" borderId="0" xfId="3" applyFont="1" applyFill="1" applyProtection="1">
      <protection locked="0"/>
    </xf>
    <xf numFmtId="0" fontId="0" fillId="7" borderId="2" xfId="0" applyFill="1" applyBorder="1" applyAlignment="1">
      <alignment vertical="center"/>
    </xf>
    <xf numFmtId="0" fontId="0" fillId="4" borderId="2" xfId="0" applyFill="1" applyBorder="1" applyAlignment="1">
      <alignment horizontal="right"/>
    </xf>
    <xf numFmtId="2" fontId="10" fillId="0" borderId="0" xfId="0" applyNumberFormat="1" applyFont="1" applyAlignment="1">
      <alignment vertical="center"/>
    </xf>
    <xf numFmtId="0" fontId="0" fillId="4" borderId="2" xfId="0" applyFill="1" applyBorder="1" applyAlignment="1">
      <alignment horizontal="left" vertical="center"/>
    </xf>
    <xf numFmtId="165" fontId="8" fillId="8" borderId="19" xfId="3" applyNumberFormat="1" applyFont="1" applyFill="1" applyBorder="1" applyAlignment="1">
      <alignment horizontal="right"/>
    </xf>
    <xf numFmtId="165" fontId="8" fillId="0" borderId="19" xfId="3" applyNumberFormat="1" applyFont="1" applyBorder="1" applyAlignment="1">
      <alignment horizontal="right"/>
    </xf>
    <xf numFmtId="0" fontId="0" fillId="0" borderId="8" xfId="0" applyBorder="1"/>
    <xf numFmtId="4" fontId="1" fillId="0" borderId="2" xfId="3" applyNumberFormat="1" applyFont="1" applyBorder="1" applyAlignment="1">
      <alignment horizontal="left" vertical="top" wrapText="1"/>
    </xf>
    <xf numFmtId="166" fontId="0" fillId="0" borderId="0" xfId="0" applyNumberFormat="1"/>
    <xf numFmtId="0" fontId="15" fillId="0" borderId="2" xfId="0" applyFont="1" applyBorder="1"/>
    <xf numFmtId="0" fontId="15" fillId="0" borderId="2" xfId="0" applyFont="1" applyBorder="1" applyAlignment="1">
      <alignment horizontal="right"/>
    </xf>
    <xf numFmtId="0" fontId="15" fillId="0" borderId="2" xfId="0" applyFont="1" applyBorder="1" applyAlignment="1">
      <alignment vertical="center" wrapText="1"/>
    </xf>
    <xf numFmtId="0" fontId="13" fillId="0" borderId="2" xfId="0" applyFon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6" fontId="15" fillId="0" borderId="2" xfId="0" applyNumberFormat="1" applyFont="1" applyBorder="1" applyAlignment="1">
      <alignment horizontal="right"/>
    </xf>
    <xf numFmtId="166" fontId="13" fillId="0" borderId="2" xfId="0" applyNumberFormat="1" applyFont="1" applyBorder="1" applyAlignment="1">
      <alignment horizontal="right"/>
    </xf>
    <xf numFmtId="0" fontId="5" fillId="0" borderId="2" xfId="0" applyFont="1" applyBorder="1"/>
    <xf numFmtId="0" fontId="0" fillId="0" borderId="9" xfId="0" applyBorder="1"/>
    <xf numFmtId="0" fontId="0" fillId="3" borderId="2" xfId="0" applyFill="1" applyBorder="1" applyAlignment="1">
      <alignment horizontal="left" vertical="center"/>
    </xf>
    <xf numFmtId="0" fontId="0" fillId="3" borderId="3" xfId="0" applyFill="1" applyBorder="1"/>
    <xf numFmtId="0" fontId="5" fillId="0" borderId="18" xfId="0" applyFont="1" applyBorder="1"/>
    <xf numFmtId="0" fontId="0" fillId="3" borderId="5" xfId="0" applyFill="1" applyBorder="1"/>
    <xf numFmtId="0" fontId="25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26" fillId="0" borderId="2" xfId="0" applyFont="1" applyBorder="1" applyAlignment="1">
      <alignment horizontal="right"/>
    </xf>
    <xf numFmtId="166" fontId="26" fillId="0" borderId="2" xfId="0" applyNumberFormat="1" applyFont="1" applyBorder="1" applyAlignment="1">
      <alignment horizontal="right"/>
    </xf>
    <xf numFmtId="0" fontId="1" fillId="0" borderId="0" xfId="0" applyFont="1"/>
    <xf numFmtId="0" fontId="0" fillId="6" borderId="4" xfId="0" applyFill="1" applyBorder="1"/>
    <xf numFmtId="167" fontId="0" fillId="0" borderId="0" xfId="0" applyNumberFormat="1" applyAlignment="1">
      <alignment horizontal="right"/>
    </xf>
    <xf numFmtId="167" fontId="26" fillId="0" borderId="0" xfId="0" applyNumberFormat="1" applyFont="1" applyAlignment="1">
      <alignment horizontal="right"/>
    </xf>
    <xf numFmtId="167" fontId="13" fillId="0" borderId="0" xfId="0" applyNumberFormat="1" applyFont="1" applyAlignment="1">
      <alignment horizontal="right"/>
    </xf>
    <xf numFmtId="167" fontId="15" fillId="0" borderId="0" xfId="0" applyNumberFormat="1" applyFont="1" applyAlignment="1">
      <alignment horizontal="right"/>
    </xf>
    <xf numFmtId="167" fontId="27" fillId="0" borderId="0" xfId="0" applyNumberFormat="1" applyFont="1" applyAlignment="1">
      <alignment horizontal="right"/>
    </xf>
    <xf numFmtId="0" fontId="27" fillId="0" borderId="0" xfId="0" applyFont="1" applyAlignment="1">
      <alignment horizontal="right"/>
    </xf>
    <xf numFmtId="0" fontId="1" fillId="14" borderId="0" xfId="3" applyFont="1" applyFill="1" applyAlignment="1">
      <alignment horizontal="left" vertical="center"/>
    </xf>
    <xf numFmtId="0" fontId="1" fillId="14" borderId="0" xfId="3" applyFont="1" applyFill="1" applyAlignment="1">
      <alignment horizontal="center" vertical="center"/>
    </xf>
    <xf numFmtId="0" fontId="1" fillId="4" borderId="0" xfId="3" applyFont="1" applyFill="1"/>
    <xf numFmtId="2" fontId="1" fillId="4" borderId="0" xfId="3" applyNumberFormat="1" applyFont="1" applyFill="1" applyAlignment="1">
      <alignment horizontal="right"/>
    </xf>
    <xf numFmtId="1" fontId="1" fillId="4" borderId="0" xfId="3" applyNumberFormat="1" applyFont="1" applyFill="1" applyAlignment="1">
      <alignment horizontal="right"/>
    </xf>
    <xf numFmtId="0" fontId="1" fillId="4" borderId="0" xfId="3" applyFont="1" applyFill="1" applyAlignment="1">
      <alignment horizontal="left" vertical="center"/>
    </xf>
    <xf numFmtId="0" fontId="1" fillId="13" borderId="0" xfId="3" applyFont="1" applyFill="1" applyAlignment="1">
      <alignment horizontal="left" vertical="center"/>
    </xf>
    <xf numFmtId="0" fontId="1" fillId="13" borderId="0" xfId="3" applyFont="1" applyFill="1" applyAlignment="1">
      <alignment horizontal="right" vertical="center"/>
    </xf>
    <xf numFmtId="0" fontId="1" fillId="4" borderId="0" xfId="3" applyFont="1" applyFill="1" applyAlignment="1">
      <alignment horizontal="right" vertical="center"/>
    </xf>
    <xf numFmtId="1" fontId="1" fillId="4" borderId="0" xfId="3" applyNumberFormat="1" applyFont="1" applyFill="1" applyAlignment="1">
      <alignment horizontal="right" vertical="center"/>
    </xf>
    <xf numFmtId="0" fontId="1" fillId="4" borderId="0" xfId="3" applyFont="1" applyFill="1" applyAlignment="1">
      <alignment horizontal="right"/>
    </xf>
    <xf numFmtId="0" fontId="1" fillId="3" borderId="2" xfId="3" applyFont="1" applyFill="1" applyBorder="1" applyAlignment="1">
      <alignment horizontal="center"/>
    </xf>
    <xf numFmtId="0" fontId="5" fillId="0" borderId="2" xfId="3" applyFont="1" applyBorder="1" applyAlignment="1">
      <alignment horizontal="right"/>
    </xf>
    <xf numFmtId="0" fontId="2" fillId="0" borderId="2" xfId="3" applyFont="1" applyBorder="1" applyAlignment="1">
      <alignment horizontal="right"/>
    </xf>
    <xf numFmtId="0" fontId="6" fillId="7" borderId="23" xfId="3" applyFont="1" applyFill="1" applyBorder="1"/>
    <xf numFmtId="0" fontId="2" fillId="8" borderId="2" xfId="3" applyFont="1" applyFill="1" applyBorder="1" applyAlignment="1">
      <alignment horizontal="right"/>
    </xf>
    <xf numFmtId="0" fontId="1" fillId="0" borderId="2" xfId="3" applyFont="1" applyBorder="1" applyAlignment="1">
      <alignment horizontal="center"/>
    </xf>
    <xf numFmtId="0" fontId="29" fillId="0" borderId="10" xfId="3" applyFont="1" applyBorder="1" applyAlignment="1" applyProtection="1">
      <alignment vertical="top"/>
      <protection locked="0"/>
    </xf>
    <xf numFmtId="3" fontId="29" fillId="0" borderId="10" xfId="3" applyNumberFormat="1" applyFont="1" applyBorder="1" applyAlignment="1" applyProtection="1">
      <alignment horizontal="right" vertical="center"/>
      <protection locked="0"/>
    </xf>
    <xf numFmtId="0" fontId="29" fillId="0" borderId="2" xfId="3" applyFont="1" applyBorder="1" applyAlignment="1" applyProtection="1">
      <alignment vertical="top"/>
      <protection locked="0"/>
    </xf>
    <xf numFmtId="3" fontId="29" fillId="0" borderId="2" xfId="3" applyNumberFormat="1" applyFont="1" applyBorder="1" applyAlignment="1" applyProtection="1">
      <alignment horizontal="right" vertical="center"/>
      <protection locked="0"/>
    </xf>
    <xf numFmtId="0" fontId="1" fillId="15" borderId="23" xfId="0" applyFont="1" applyFill="1" applyBorder="1" applyAlignment="1">
      <alignment horizontal="center"/>
    </xf>
    <xf numFmtId="0" fontId="1" fillId="15" borderId="15" xfId="0" applyFont="1" applyFill="1" applyBorder="1" applyAlignment="1">
      <alignment horizontal="center"/>
    </xf>
    <xf numFmtId="0" fontId="1" fillId="15" borderId="15" xfId="0" applyFont="1" applyFill="1" applyBorder="1"/>
    <xf numFmtId="0" fontId="1" fillId="15" borderId="6" xfId="0" applyFont="1" applyFill="1" applyBorder="1" applyAlignment="1">
      <alignment horizontal="right"/>
    </xf>
    <xf numFmtId="0" fontId="1" fillId="15" borderId="2" xfId="0" applyFont="1" applyFill="1" applyBorder="1" applyAlignment="1">
      <alignment horizontal="center"/>
    </xf>
    <xf numFmtId="0" fontId="1" fillId="15" borderId="2" xfId="0" applyFont="1" applyFill="1" applyBorder="1"/>
    <xf numFmtId="0" fontId="1" fillId="15" borderId="2" xfId="0" applyFont="1" applyFill="1" applyBorder="1" applyAlignment="1">
      <alignment horizontal="right"/>
    </xf>
    <xf numFmtId="0" fontId="1" fillId="3" borderId="0" xfId="3" applyFont="1" applyFill="1" applyAlignment="1" applyProtection="1">
      <alignment horizontal="center"/>
      <protection locked="0"/>
    </xf>
    <xf numFmtId="0" fontId="1" fillId="3" borderId="2" xfId="0" applyFont="1" applyFill="1" applyBorder="1" applyAlignment="1">
      <alignment horizontal="center" vertical="center"/>
    </xf>
    <xf numFmtId="0" fontId="5" fillId="0" borderId="10" xfId="3" applyFont="1" applyBorder="1" applyAlignment="1" applyProtection="1">
      <alignment vertical="top"/>
      <protection locked="0"/>
    </xf>
    <xf numFmtId="2" fontId="5" fillId="4" borderId="0" xfId="0" applyNumberFormat="1" applyFont="1" applyFill="1" applyAlignment="1">
      <alignment horizontal="right"/>
    </xf>
    <xf numFmtId="0" fontId="1" fillId="3" borderId="0" xfId="3" applyFont="1" applyFill="1" applyAlignment="1" applyProtection="1">
      <alignment horizontal="center" vertical="center"/>
      <protection locked="0"/>
    </xf>
    <xf numFmtId="0" fontId="5" fillId="3" borderId="0" xfId="3" applyFont="1" applyFill="1" applyProtection="1">
      <protection locked="0"/>
    </xf>
    <xf numFmtId="0" fontId="5" fillId="0" borderId="0" xfId="3" applyFont="1" applyProtection="1">
      <protection locked="0"/>
    </xf>
    <xf numFmtId="0" fontId="1" fillId="3" borderId="0" xfId="3" applyFont="1" applyFill="1" applyAlignment="1" applyProtection="1">
      <alignment vertical="center"/>
      <protection locked="0"/>
    </xf>
    <xf numFmtId="0" fontId="1" fillId="3" borderId="25" xfId="3" applyFont="1" applyFill="1" applyBorder="1" applyAlignment="1" applyProtection="1">
      <alignment vertical="center"/>
      <protection locked="0"/>
    </xf>
    <xf numFmtId="0" fontId="1" fillId="3" borderId="22" xfId="3" applyFont="1" applyFill="1" applyBorder="1" applyAlignment="1" applyProtection="1">
      <alignment vertical="center"/>
      <protection locked="0"/>
    </xf>
    <xf numFmtId="0" fontId="1" fillId="3" borderId="20" xfId="3" applyFont="1" applyFill="1" applyBorder="1" applyAlignment="1" applyProtection="1">
      <alignment vertical="center"/>
      <protection locked="0"/>
    </xf>
    <xf numFmtId="0" fontId="6" fillId="3" borderId="17" xfId="3" applyFont="1" applyFill="1" applyBorder="1" applyAlignment="1" applyProtection="1">
      <alignment horizontal="right"/>
      <protection locked="0"/>
    </xf>
    <xf numFmtId="0" fontId="1" fillId="5" borderId="17" xfId="3" applyFont="1" applyFill="1" applyBorder="1" applyAlignment="1" applyProtection="1">
      <alignment horizontal="center"/>
      <protection locked="0"/>
    </xf>
    <xf numFmtId="0" fontId="1" fillId="5" borderId="10" xfId="3" applyFont="1" applyFill="1" applyBorder="1" applyAlignment="1" applyProtection="1">
      <alignment horizontal="center"/>
      <protection locked="0"/>
    </xf>
    <xf numFmtId="0" fontId="11" fillId="5" borderId="17" xfId="3" applyFont="1" applyFill="1" applyBorder="1" applyProtection="1">
      <protection locked="0"/>
    </xf>
    <xf numFmtId="0" fontId="0" fillId="8" borderId="2" xfId="3" applyFont="1" applyFill="1" applyBorder="1" applyAlignment="1" applyProtection="1">
      <alignment horizontal="right"/>
      <protection locked="0"/>
    </xf>
    <xf numFmtId="0" fontId="1" fillId="3" borderId="31" xfId="3" applyFont="1" applyFill="1" applyBorder="1" applyAlignment="1" applyProtection="1">
      <alignment horizontal="left"/>
      <protection locked="0"/>
    </xf>
    <xf numFmtId="0" fontId="1" fillId="3" borderId="54" xfId="3" applyFont="1" applyFill="1" applyBorder="1" applyAlignment="1" applyProtection="1">
      <alignment horizontal="left"/>
      <protection locked="0"/>
    </xf>
    <xf numFmtId="0" fontId="1" fillId="3" borderId="0" xfId="3" applyFont="1" applyFill="1" applyAlignment="1" applyProtection="1">
      <alignment horizontal="left"/>
      <protection locked="0"/>
    </xf>
    <xf numFmtId="0" fontId="1" fillId="3" borderId="34" xfId="3" applyFont="1" applyFill="1" applyBorder="1" applyAlignment="1" applyProtection="1">
      <alignment horizontal="left"/>
      <protection locked="0"/>
    </xf>
    <xf numFmtId="0" fontId="1" fillId="3" borderId="32" xfId="3" applyFont="1" applyFill="1" applyBorder="1" applyAlignment="1" applyProtection="1">
      <alignment horizontal="left"/>
      <protection locked="0"/>
    </xf>
    <xf numFmtId="0" fontId="1" fillId="3" borderId="35" xfId="3" applyFont="1" applyFill="1" applyBorder="1" applyAlignment="1" applyProtection="1">
      <alignment horizontal="left"/>
      <protection locked="0"/>
    </xf>
    <xf numFmtId="0" fontId="19" fillId="5" borderId="17" xfId="3" applyFont="1" applyFill="1" applyBorder="1" applyProtection="1">
      <protection locked="0"/>
    </xf>
    <xf numFmtId="0" fontId="0" fillId="0" borderId="2" xfId="3" applyFont="1" applyBorder="1" applyAlignment="1" applyProtection="1">
      <alignment horizontal="right"/>
      <protection locked="0"/>
    </xf>
    <xf numFmtId="0" fontId="8" fillId="0" borderId="2" xfId="3" applyFont="1" applyBorder="1" applyAlignment="1" applyProtection="1">
      <alignment horizontal="right"/>
      <protection locked="0"/>
    </xf>
    <xf numFmtId="0" fontId="11" fillId="10" borderId="31" xfId="3" applyFont="1" applyFill="1" applyBorder="1" applyProtection="1">
      <protection locked="0"/>
    </xf>
    <xf numFmtId="0" fontId="8" fillId="8" borderId="19" xfId="3" applyFont="1" applyFill="1" applyBorder="1" applyAlignment="1" applyProtection="1">
      <alignment horizontal="right"/>
      <protection locked="0"/>
    </xf>
    <xf numFmtId="2" fontId="8" fillId="8" borderId="19" xfId="3" applyNumberFormat="1" applyFont="1" applyFill="1" applyBorder="1" applyAlignment="1" applyProtection="1">
      <alignment horizontal="right"/>
      <protection locked="0"/>
    </xf>
    <xf numFmtId="0" fontId="19" fillId="10" borderId="33" xfId="3" applyFont="1" applyFill="1" applyBorder="1" applyProtection="1">
      <protection locked="0"/>
    </xf>
    <xf numFmtId="0" fontId="8" fillId="3" borderId="0" xfId="3" applyFont="1" applyFill="1" applyAlignment="1" applyProtection="1">
      <alignment horizontal="right"/>
      <protection locked="0"/>
    </xf>
    <xf numFmtId="0" fontId="8" fillId="8" borderId="9" xfId="3" applyFont="1" applyFill="1" applyBorder="1" applyAlignment="1" applyProtection="1">
      <alignment horizontal="right"/>
      <protection locked="0"/>
    </xf>
    <xf numFmtId="0" fontId="8" fillId="8" borderId="2" xfId="3" applyFont="1" applyFill="1" applyBorder="1" applyAlignment="1" applyProtection="1">
      <alignment horizontal="right"/>
      <protection locked="0"/>
    </xf>
    <xf numFmtId="0" fontId="8" fillId="8" borderId="21" xfId="3" applyFont="1" applyFill="1" applyBorder="1" applyAlignment="1" applyProtection="1">
      <alignment horizontal="right"/>
      <protection locked="0"/>
    </xf>
    <xf numFmtId="0" fontId="11" fillId="3" borderId="36" xfId="3" applyFont="1" applyFill="1" applyBorder="1" applyProtection="1">
      <protection locked="0"/>
    </xf>
    <xf numFmtId="0" fontId="8" fillId="0" borderId="19" xfId="3" applyFont="1" applyBorder="1" applyAlignment="1" applyProtection="1">
      <alignment horizontal="right"/>
      <protection locked="0"/>
    </xf>
    <xf numFmtId="0" fontId="19" fillId="3" borderId="1" xfId="3" applyFont="1" applyFill="1" applyBorder="1" applyProtection="1">
      <protection locked="0"/>
    </xf>
    <xf numFmtId="0" fontId="8" fillId="0" borderId="9" xfId="3" applyFont="1" applyBorder="1" applyAlignment="1" applyProtection="1">
      <alignment horizontal="right"/>
      <protection locked="0"/>
    </xf>
    <xf numFmtId="0" fontId="8" fillId="0" borderId="21" xfId="3" applyFont="1" applyBorder="1" applyAlignment="1" applyProtection="1">
      <alignment horizontal="right"/>
      <protection locked="0"/>
    </xf>
    <xf numFmtId="0" fontId="11" fillId="10" borderId="36" xfId="3" applyFont="1" applyFill="1" applyBorder="1" applyProtection="1">
      <protection locked="0"/>
    </xf>
    <xf numFmtId="0" fontId="19" fillId="10" borderId="1" xfId="3" applyFont="1" applyFill="1" applyBorder="1" applyProtection="1">
      <protection locked="0"/>
    </xf>
    <xf numFmtId="0" fontId="8" fillId="0" borderId="55" xfId="3" applyFont="1" applyBorder="1" applyAlignment="1" applyProtection="1">
      <alignment horizontal="right"/>
      <protection locked="0"/>
    </xf>
    <xf numFmtId="0" fontId="1" fillId="3" borderId="31" xfId="3" applyFont="1" applyFill="1" applyBorder="1" applyProtection="1">
      <protection locked="0"/>
    </xf>
    <xf numFmtId="0" fontId="1" fillId="3" borderId="33" xfId="3" applyFont="1" applyFill="1" applyBorder="1" applyProtection="1">
      <protection locked="0"/>
    </xf>
    <xf numFmtId="0" fontId="1" fillId="3" borderId="22" xfId="3" applyFont="1" applyFill="1" applyBorder="1" applyProtection="1">
      <protection locked="0"/>
    </xf>
    <xf numFmtId="0" fontId="1" fillId="3" borderId="0" xfId="3" applyFont="1" applyFill="1" applyAlignment="1" applyProtection="1">
      <alignment horizontal="left" vertical="top"/>
      <protection locked="0"/>
    </xf>
    <xf numFmtId="0" fontId="1" fillId="3" borderId="37" xfId="3" applyFont="1" applyFill="1" applyBorder="1" applyAlignment="1" applyProtection="1">
      <alignment vertical="center"/>
      <protection locked="0"/>
    </xf>
    <xf numFmtId="0" fontId="1" fillId="3" borderId="26" xfId="3" applyFont="1" applyFill="1" applyBorder="1" applyAlignment="1" applyProtection="1">
      <alignment vertical="center"/>
      <protection locked="0"/>
    </xf>
    <xf numFmtId="0" fontId="1" fillId="3" borderId="33" xfId="3" applyFont="1" applyFill="1" applyBorder="1" applyAlignment="1" applyProtection="1">
      <alignment horizontal="left"/>
      <protection locked="0"/>
    </xf>
    <xf numFmtId="0" fontId="21" fillId="10" borderId="31" xfId="3" applyFont="1" applyFill="1" applyBorder="1" applyProtection="1">
      <protection locked="0"/>
    </xf>
    <xf numFmtId="165" fontId="8" fillId="8" borderId="19" xfId="3" applyNumberFormat="1" applyFont="1" applyFill="1" applyBorder="1" applyAlignment="1" applyProtection="1">
      <alignment horizontal="right"/>
      <protection locked="0"/>
    </xf>
    <xf numFmtId="0" fontId="20" fillId="10" borderId="33" xfId="3" applyFont="1" applyFill="1" applyBorder="1" applyProtection="1">
      <protection locked="0"/>
    </xf>
    <xf numFmtId="0" fontId="21" fillId="3" borderId="36" xfId="3" applyFont="1" applyFill="1" applyBorder="1" applyProtection="1">
      <protection locked="0"/>
    </xf>
    <xf numFmtId="165" fontId="8" fillId="0" borderId="19" xfId="3" applyNumberFormat="1" applyFont="1" applyBorder="1" applyAlignment="1" applyProtection="1">
      <alignment horizontal="right"/>
      <protection locked="0"/>
    </xf>
    <xf numFmtId="0" fontId="20" fillId="3" borderId="1" xfId="3" applyFont="1" applyFill="1" applyBorder="1" applyProtection="1">
      <protection locked="0"/>
    </xf>
    <xf numFmtId="0" fontId="21" fillId="10" borderId="36" xfId="3" applyFont="1" applyFill="1" applyBorder="1" applyProtection="1">
      <protection locked="0"/>
    </xf>
    <xf numFmtId="0" fontId="20" fillId="10" borderId="1" xfId="3" applyFont="1" applyFill="1" applyBorder="1" applyProtection="1">
      <protection locked="0"/>
    </xf>
    <xf numFmtId="0" fontId="21" fillId="5" borderId="17" xfId="3" applyFont="1" applyFill="1" applyBorder="1" applyProtection="1">
      <protection locked="0"/>
    </xf>
    <xf numFmtId="0" fontId="20" fillId="5" borderId="17" xfId="3" applyFont="1" applyFill="1" applyBorder="1" applyProtection="1">
      <protection locked="0"/>
    </xf>
    <xf numFmtId="2" fontId="1" fillId="9" borderId="50" xfId="3" applyNumberFormat="1" applyFont="1" applyFill="1" applyBorder="1" applyAlignment="1" applyProtection="1">
      <alignment horizontal="left" indent="1"/>
      <protection locked="0"/>
    </xf>
    <xf numFmtId="2" fontId="1" fillId="9" borderId="51" xfId="3" applyNumberFormat="1" applyFont="1" applyFill="1" applyBorder="1" applyAlignment="1" applyProtection="1">
      <alignment horizontal="left" indent="1"/>
      <protection locked="0"/>
    </xf>
    <xf numFmtId="2" fontId="1" fillId="9" borderId="2" xfId="3" applyNumberFormat="1" applyFont="1" applyFill="1" applyBorder="1" applyAlignment="1" applyProtection="1">
      <alignment horizontal="left" indent="1"/>
      <protection locked="0"/>
    </xf>
    <xf numFmtId="0" fontId="20" fillId="5" borderId="3" xfId="3" applyFont="1" applyFill="1" applyBorder="1" applyProtection="1">
      <protection locked="0"/>
    </xf>
    <xf numFmtId="0" fontId="5" fillId="0" borderId="2" xfId="3" applyFont="1" applyBorder="1" applyAlignment="1" applyProtection="1">
      <alignment horizontal="right"/>
      <protection locked="0"/>
    </xf>
    <xf numFmtId="2" fontId="1" fillId="3" borderId="2" xfId="3" applyNumberFormat="1" applyFont="1" applyFill="1" applyBorder="1" applyAlignment="1" applyProtection="1">
      <alignment horizontal="left" indent="1"/>
      <protection locked="0"/>
    </xf>
    <xf numFmtId="0" fontId="16" fillId="3" borderId="17" xfId="3" applyFont="1" applyFill="1" applyBorder="1" applyAlignment="1" applyProtection="1">
      <alignment vertical="center"/>
      <protection locked="0"/>
    </xf>
    <xf numFmtId="0" fontId="16" fillId="3" borderId="20" xfId="3" applyFont="1" applyFill="1" applyBorder="1" applyAlignment="1" applyProtection="1">
      <alignment vertical="center"/>
      <protection locked="0"/>
    </xf>
    <xf numFmtId="0" fontId="1" fillId="3" borderId="54" xfId="3" applyFont="1" applyFill="1" applyBorder="1" applyAlignment="1" applyProtection="1">
      <alignment horizontal="center"/>
      <protection locked="0"/>
    </xf>
    <xf numFmtId="0" fontId="1" fillId="3" borderId="2" xfId="3" applyFont="1" applyFill="1" applyBorder="1" applyAlignment="1" applyProtection="1">
      <alignment horizontal="center"/>
      <protection locked="0"/>
    </xf>
    <xf numFmtId="2" fontId="5" fillId="0" borderId="2" xfId="3" applyNumberFormat="1" applyFont="1" applyBorder="1" applyAlignment="1" applyProtection="1">
      <alignment horizontal="center"/>
      <protection locked="0"/>
    </xf>
    <xf numFmtId="0" fontId="1" fillId="3" borderId="0" xfId="3" applyFont="1" applyFill="1" applyAlignment="1" applyProtection="1">
      <alignment vertical="center" textRotation="255"/>
      <protection locked="0"/>
    </xf>
    <xf numFmtId="0" fontId="1" fillId="3" borderId="31" xfId="3" applyFont="1" applyFill="1" applyBorder="1" applyAlignment="1" applyProtection="1">
      <alignment horizontal="right"/>
      <protection locked="0"/>
    </xf>
    <xf numFmtId="0" fontId="19" fillId="10" borderId="31" xfId="3" applyFont="1" applyFill="1" applyBorder="1" applyProtection="1">
      <protection locked="0"/>
    </xf>
    <xf numFmtId="0" fontId="19" fillId="3" borderId="36" xfId="3" applyFont="1" applyFill="1" applyBorder="1" applyProtection="1">
      <protection locked="0"/>
    </xf>
    <xf numFmtId="2" fontId="5" fillId="3" borderId="2" xfId="3" applyNumberFormat="1" applyFont="1" applyFill="1" applyBorder="1" applyAlignment="1" applyProtection="1">
      <alignment horizontal="center"/>
      <protection locked="0"/>
    </xf>
    <xf numFmtId="0" fontId="28" fillId="10" borderId="31" xfId="3" applyFont="1" applyFill="1" applyBorder="1" applyProtection="1">
      <protection locked="0"/>
    </xf>
    <xf numFmtId="0" fontId="28" fillId="3" borderId="36" xfId="3" applyFont="1" applyFill="1" applyBorder="1" applyProtection="1">
      <protection locked="0"/>
    </xf>
    <xf numFmtId="0" fontId="28" fillId="3" borderId="31" xfId="3" applyFont="1" applyFill="1" applyBorder="1" applyProtection="1">
      <protection locked="0"/>
    </xf>
    <xf numFmtId="0" fontId="1" fillId="3" borderId="0" xfId="3" applyFont="1" applyFill="1" applyAlignment="1" applyProtection="1">
      <alignment horizontal="right" vertical="center"/>
      <protection locked="0"/>
    </xf>
    <xf numFmtId="0" fontId="1" fillId="9" borderId="20" xfId="3" applyFont="1" applyFill="1" applyBorder="1" applyAlignment="1" applyProtection="1">
      <alignment horizontal="right" indent="1"/>
      <protection locked="0"/>
    </xf>
    <xf numFmtId="0" fontId="1" fillId="9" borderId="50" xfId="3" applyFont="1" applyFill="1" applyBorder="1" applyAlignment="1" applyProtection="1">
      <alignment horizontal="right" indent="1"/>
      <protection locked="0"/>
    </xf>
    <xf numFmtId="0" fontId="2" fillId="3" borderId="5" xfId="3" applyFont="1" applyFill="1" applyBorder="1" applyAlignment="1" applyProtection="1">
      <alignment vertical="center"/>
      <protection locked="0"/>
    </xf>
    <xf numFmtId="0" fontId="6" fillId="3" borderId="5" xfId="3" applyFont="1" applyFill="1" applyBorder="1" applyAlignment="1" applyProtection="1">
      <alignment vertical="center"/>
      <protection locked="0"/>
    </xf>
    <xf numFmtId="0" fontId="1" fillId="3" borderId="0" xfId="3" applyFont="1" applyFill="1" applyAlignment="1" applyProtection="1">
      <alignment horizontal="left" indent="1"/>
      <protection locked="0"/>
    </xf>
    <xf numFmtId="0" fontId="1" fillId="9" borderId="59" xfId="3" applyFont="1" applyFill="1" applyBorder="1" applyAlignment="1" applyProtection="1">
      <alignment horizontal="left" indent="1"/>
      <protection locked="0"/>
    </xf>
    <xf numFmtId="0" fontId="1" fillId="9" borderId="37" xfId="3" applyFont="1" applyFill="1" applyBorder="1" applyAlignment="1" applyProtection="1">
      <alignment horizontal="right" indent="1"/>
      <protection locked="0"/>
    </xf>
    <xf numFmtId="0" fontId="1" fillId="9" borderId="18" xfId="3" applyFont="1" applyFill="1" applyBorder="1" applyAlignment="1" applyProtection="1">
      <alignment vertical="center"/>
      <protection locked="0"/>
    </xf>
    <xf numFmtId="0" fontId="1" fillId="9" borderId="38" xfId="3" applyFont="1" applyFill="1" applyBorder="1" applyAlignment="1" applyProtection="1">
      <alignment horizontal="left" indent="1"/>
      <protection locked="0"/>
    </xf>
    <xf numFmtId="0" fontId="1" fillId="9" borderId="0" xfId="3" applyFont="1" applyFill="1" applyAlignment="1" applyProtection="1">
      <alignment horizontal="right" indent="1"/>
      <protection locked="0"/>
    </xf>
    <xf numFmtId="0" fontId="1" fillId="9" borderId="0" xfId="3" applyFont="1" applyFill="1" applyAlignment="1" applyProtection="1">
      <alignment vertical="center"/>
      <protection locked="0"/>
    </xf>
    <xf numFmtId="0" fontId="1" fillId="9" borderId="0" xfId="3" applyFont="1" applyFill="1" applyAlignment="1" applyProtection="1">
      <alignment horizontal="left" indent="1"/>
      <protection locked="0"/>
    </xf>
    <xf numFmtId="0" fontId="16" fillId="6" borderId="0" xfId="3" applyFont="1" applyFill="1" applyAlignment="1" applyProtection="1">
      <alignment vertical="center"/>
      <protection locked="0"/>
    </xf>
    <xf numFmtId="0" fontId="16" fillId="6" borderId="18" xfId="3" applyFont="1" applyFill="1" applyBorder="1" applyAlignment="1" applyProtection="1">
      <alignment horizontal="center" vertical="center"/>
      <protection locked="0"/>
    </xf>
    <xf numFmtId="0" fontId="3" fillId="3" borderId="5" xfId="3" applyFont="1" applyFill="1" applyBorder="1" applyAlignment="1" applyProtection="1">
      <alignment horizontal="center"/>
      <protection locked="0"/>
    </xf>
    <xf numFmtId="0" fontId="3" fillId="3" borderId="0" xfId="3" applyFont="1" applyFill="1" applyAlignment="1" applyProtection="1">
      <alignment horizontal="right"/>
      <protection locked="0"/>
    </xf>
    <xf numFmtId="0" fontId="1" fillId="3" borderId="0" xfId="3" applyFont="1" applyFill="1" applyAlignment="1" applyProtection="1">
      <alignment horizontal="right"/>
      <protection locked="0"/>
    </xf>
    <xf numFmtId="0" fontId="3" fillId="3" borderId="3" xfId="3" applyFont="1" applyFill="1" applyBorder="1" applyAlignment="1" applyProtection="1">
      <alignment horizontal="left"/>
      <protection locked="0"/>
    </xf>
    <xf numFmtId="0" fontId="5" fillId="4" borderId="0" xfId="3" applyFont="1" applyFill="1" applyProtection="1">
      <protection locked="0"/>
    </xf>
    <xf numFmtId="165" fontId="5" fillId="0" borderId="0" xfId="3" applyNumberFormat="1" applyFont="1" applyAlignment="1" applyProtection="1">
      <alignment horizontal="left"/>
      <protection locked="0"/>
    </xf>
    <xf numFmtId="0" fontId="5" fillId="0" borderId="0" xfId="3" applyFont="1" applyAlignment="1" applyProtection="1">
      <alignment horizontal="center"/>
      <protection locked="0"/>
    </xf>
    <xf numFmtId="165" fontId="5" fillId="0" borderId="0" xfId="3" applyNumberFormat="1" applyFont="1" applyProtection="1">
      <protection locked="0"/>
    </xf>
    <xf numFmtId="0" fontId="0" fillId="0" borderId="10" xfId="0" applyBorder="1" applyAlignment="1">
      <alignment horizontal="right"/>
    </xf>
    <xf numFmtId="166" fontId="0" fillId="0" borderId="10" xfId="0" applyNumberFormat="1" applyBorder="1" applyAlignment="1">
      <alignment horizontal="right"/>
    </xf>
    <xf numFmtId="0" fontId="0" fillId="0" borderId="61" xfId="0" applyBorder="1"/>
    <xf numFmtId="0" fontId="0" fillId="3" borderId="14" xfId="0" applyFill="1" applyBorder="1" applyAlignment="1">
      <alignment horizontal="left"/>
    </xf>
    <xf numFmtId="0" fontId="5" fillId="0" borderId="20" xfId="0" applyFont="1" applyBorder="1"/>
    <xf numFmtId="0" fontId="31" fillId="0" borderId="10" xfId="3" applyFont="1" applyBorder="1" applyAlignment="1" applyProtection="1">
      <alignment vertical="top"/>
      <protection locked="0"/>
    </xf>
    <xf numFmtId="3" fontId="31" fillId="0" borderId="10" xfId="3" applyNumberFormat="1" applyFont="1" applyBorder="1" applyAlignment="1" applyProtection="1">
      <alignment horizontal="right" vertical="center"/>
      <protection locked="0"/>
    </xf>
    <xf numFmtId="0" fontId="3" fillId="3" borderId="0" xfId="0" applyFont="1" applyFill="1"/>
    <xf numFmtId="0" fontId="32" fillId="0" borderId="10" xfId="3" applyFont="1" applyBorder="1" applyAlignment="1" applyProtection="1">
      <alignment vertical="top"/>
      <protection locked="0"/>
    </xf>
    <xf numFmtId="3" fontId="32" fillId="0" borderId="10" xfId="3" applyNumberFormat="1" applyFont="1" applyBorder="1" applyAlignment="1" applyProtection="1">
      <alignment horizontal="right" vertical="center"/>
      <protection locked="0"/>
    </xf>
    <xf numFmtId="0" fontId="3" fillId="3" borderId="0" xfId="3" applyFont="1" applyFill="1" applyProtection="1">
      <protection locked="0"/>
    </xf>
    <xf numFmtId="0" fontId="16" fillId="3" borderId="0" xfId="3" applyFont="1" applyFill="1" applyAlignment="1" applyProtection="1">
      <alignment horizontal="center" vertical="center"/>
      <protection locked="0"/>
    </xf>
    <xf numFmtId="0" fontId="8" fillId="8" borderId="55" xfId="3" applyFont="1" applyFill="1" applyBorder="1" applyAlignment="1" applyProtection="1">
      <alignment horizontal="right"/>
      <protection locked="0"/>
    </xf>
    <xf numFmtId="0" fontId="5" fillId="16" borderId="2" xfId="3" applyFont="1" applyFill="1" applyBorder="1" applyAlignment="1" applyProtection="1">
      <alignment horizontal="right"/>
      <protection locked="0"/>
    </xf>
    <xf numFmtId="0" fontId="0" fillId="16" borderId="2" xfId="3" applyFont="1" applyFill="1" applyBorder="1" applyAlignment="1" applyProtection="1">
      <alignment horizontal="right"/>
      <protection locked="0"/>
    </xf>
    <xf numFmtId="0" fontId="8" fillId="13" borderId="55" xfId="3" applyFont="1" applyFill="1" applyBorder="1" applyAlignment="1" applyProtection="1">
      <alignment horizontal="right"/>
      <protection locked="0"/>
    </xf>
    <xf numFmtId="0" fontId="5" fillId="7" borderId="2" xfId="3" applyFont="1" applyFill="1" applyBorder="1" applyAlignment="1" applyProtection="1">
      <alignment horizontal="right"/>
      <protection locked="0"/>
    </xf>
    <xf numFmtId="0" fontId="0" fillId="7" borderId="2" xfId="3" applyFont="1" applyFill="1" applyBorder="1" applyAlignment="1" applyProtection="1">
      <alignment horizontal="right"/>
      <protection locked="0"/>
    </xf>
    <xf numFmtId="3" fontId="5" fillId="0" borderId="10" xfId="3" applyNumberFormat="1" applyFont="1" applyBorder="1" applyAlignment="1" applyProtection="1">
      <alignment horizontal="right" vertical="center"/>
      <protection locked="0"/>
    </xf>
    <xf numFmtId="0" fontId="1" fillId="5" borderId="0" xfId="3" applyFont="1" applyFill="1" applyAlignment="1" applyProtection="1">
      <alignment horizontal="center"/>
      <protection locked="0"/>
    </xf>
    <xf numFmtId="0" fontId="16" fillId="3" borderId="7" xfId="3" applyFont="1" applyFill="1" applyBorder="1" applyAlignment="1" applyProtection="1">
      <alignment vertical="center"/>
      <protection locked="0"/>
    </xf>
    <xf numFmtId="0" fontId="33" fillId="10" borderId="31" xfId="3" applyFont="1" applyFill="1" applyBorder="1" applyProtection="1">
      <protection locked="0"/>
    </xf>
    <xf numFmtId="0" fontId="33" fillId="3" borderId="36" xfId="3" applyFont="1" applyFill="1" applyBorder="1" applyProtection="1">
      <protection locked="0"/>
    </xf>
    <xf numFmtId="0" fontId="33" fillId="3" borderId="31" xfId="3" applyFont="1" applyFill="1" applyBorder="1" applyProtection="1">
      <protection locked="0"/>
    </xf>
    <xf numFmtId="0" fontId="34" fillId="10" borderId="31" xfId="3" applyFont="1" applyFill="1" applyBorder="1" applyProtection="1">
      <protection locked="0"/>
    </xf>
    <xf numFmtId="0" fontId="34" fillId="3" borderId="36" xfId="3" applyFont="1" applyFill="1" applyBorder="1" applyProtection="1">
      <protection locked="0"/>
    </xf>
    <xf numFmtId="0" fontId="35" fillId="10" borderId="31" xfId="3" applyFont="1" applyFill="1" applyBorder="1" applyProtection="1">
      <protection locked="0"/>
    </xf>
    <xf numFmtId="0" fontId="35" fillId="3" borderId="36" xfId="3" applyFont="1" applyFill="1" applyBorder="1" applyProtection="1">
      <protection locked="0"/>
    </xf>
    <xf numFmtId="0" fontId="8" fillId="7" borderId="19" xfId="3" applyFont="1" applyFill="1" applyBorder="1" applyAlignment="1" applyProtection="1">
      <alignment horizontal="right"/>
      <protection locked="0"/>
    </xf>
    <xf numFmtId="0" fontId="6" fillId="3" borderId="17" xfId="3" applyFont="1" applyFill="1" applyBorder="1" applyAlignment="1" applyProtection="1">
      <alignment horizontal="left"/>
      <protection locked="0"/>
    </xf>
    <xf numFmtId="0" fontId="11" fillId="10" borderId="31" xfId="3" applyFont="1" applyFill="1" applyBorder="1" applyAlignment="1" applyProtection="1">
      <alignment horizontal="left"/>
      <protection locked="0"/>
    </xf>
    <xf numFmtId="0" fontId="11" fillId="3" borderId="36" xfId="3" applyFont="1" applyFill="1" applyBorder="1" applyAlignment="1" applyProtection="1">
      <alignment horizontal="left"/>
      <protection locked="0"/>
    </xf>
    <xf numFmtId="0" fontId="19" fillId="10" borderId="31" xfId="3" applyFont="1" applyFill="1" applyBorder="1" applyAlignment="1" applyProtection="1">
      <alignment horizontal="left"/>
      <protection locked="0"/>
    </xf>
    <xf numFmtId="0" fontId="19" fillId="3" borderId="36" xfId="3" applyFont="1" applyFill="1" applyBorder="1" applyAlignment="1" applyProtection="1">
      <alignment horizontal="left"/>
      <protection locked="0"/>
    </xf>
    <xf numFmtId="0" fontId="28" fillId="10" borderId="31" xfId="3" applyFont="1" applyFill="1" applyBorder="1" applyAlignment="1" applyProtection="1">
      <alignment horizontal="left"/>
      <protection locked="0"/>
    </xf>
    <xf numFmtId="0" fontId="28" fillId="3" borderId="36" xfId="3" applyFont="1" applyFill="1" applyBorder="1" applyAlignment="1" applyProtection="1">
      <alignment horizontal="left"/>
      <protection locked="0"/>
    </xf>
    <xf numFmtId="0" fontId="28" fillId="3" borderId="31" xfId="3" applyFont="1" applyFill="1" applyBorder="1" applyAlignment="1" applyProtection="1">
      <alignment horizontal="left"/>
      <protection locked="0"/>
    </xf>
    <xf numFmtId="0" fontId="5" fillId="3" borderId="0" xfId="3" applyFont="1" applyFill="1" applyAlignment="1" applyProtection="1">
      <alignment horizontal="left"/>
      <protection locked="0"/>
    </xf>
    <xf numFmtId="0" fontId="35" fillId="10" borderId="31" xfId="3" applyFont="1" applyFill="1" applyBorder="1" applyAlignment="1" applyProtection="1">
      <alignment horizontal="left"/>
      <protection locked="0"/>
    </xf>
    <xf numFmtId="0" fontId="35" fillId="3" borderId="36" xfId="3" applyFont="1" applyFill="1" applyBorder="1" applyAlignment="1" applyProtection="1">
      <alignment horizontal="left"/>
      <protection locked="0"/>
    </xf>
    <xf numFmtId="0" fontId="34" fillId="10" borderId="31" xfId="3" applyFont="1" applyFill="1" applyBorder="1" applyAlignment="1" applyProtection="1">
      <alignment horizontal="left"/>
      <protection locked="0"/>
    </xf>
    <xf numFmtId="0" fontId="34" fillId="3" borderId="36" xfId="3" applyFont="1" applyFill="1" applyBorder="1" applyAlignment="1" applyProtection="1">
      <alignment horizontal="left"/>
      <protection locked="0"/>
    </xf>
    <xf numFmtId="0" fontId="36" fillId="10" borderId="31" xfId="3" applyFont="1" applyFill="1" applyBorder="1" applyAlignment="1" applyProtection="1">
      <alignment horizontal="left"/>
      <protection locked="0"/>
    </xf>
    <xf numFmtId="0" fontId="36" fillId="3" borderId="36" xfId="3" applyFont="1" applyFill="1" applyBorder="1" applyAlignment="1" applyProtection="1">
      <alignment horizontal="left"/>
      <protection locked="0"/>
    </xf>
    <xf numFmtId="0" fontId="36" fillId="3" borderId="31" xfId="3" applyFont="1" applyFill="1" applyBorder="1" applyAlignment="1" applyProtection="1">
      <alignment horizontal="left"/>
      <protection locked="0"/>
    </xf>
    <xf numFmtId="0" fontId="1" fillId="3" borderId="10" xfId="3" applyFont="1" applyFill="1" applyBorder="1" applyAlignment="1" applyProtection="1">
      <alignment horizontal="center" vertical="center" textRotation="255"/>
      <protection locked="0"/>
    </xf>
    <xf numFmtId="0" fontId="1" fillId="3" borderId="11" xfId="3" applyFont="1" applyFill="1" applyBorder="1" applyAlignment="1" applyProtection="1">
      <alignment horizontal="center" vertical="center" textRotation="255"/>
      <protection locked="0"/>
    </xf>
    <xf numFmtId="0" fontId="35" fillId="10" borderId="33" xfId="3" applyFont="1" applyFill="1" applyBorder="1" applyProtection="1">
      <protection locked="0"/>
    </xf>
    <xf numFmtId="0" fontId="35" fillId="3" borderId="1" xfId="3" applyFont="1" applyFill="1" applyBorder="1" applyProtection="1">
      <protection locked="0"/>
    </xf>
    <xf numFmtId="0" fontId="35" fillId="10" borderId="1" xfId="3" applyFont="1" applyFill="1" applyBorder="1" applyProtection="1">
      <protection locked="0"/>
    </xf>
    <xf numFmtId="2" fontId="5" fillId="3" borderId="0" xfId="3" applyNumberFormat="1" applyFont="1" applyFill="1" applyProtection="1">
      <protection locked="0"/>
    </xf>
    <xf numFmtId="0" fontId="5" fillId="15" borderId="0" xfId="3" applyFont="1" applyFill="1" applyProtection="1">
      <protection locked="0"/>
    </xf>
    <xf numFmtId="0" fontId="37" fillId="10" borderId="31" xfId="3" applyFont="1" applyFill="1" applyBorder="1" applyProtection="1">
      <protection locked="0"/>
    </xf>
    <xf numFmtId="0" fontId="37" fillId="3" borderId="36" xfId="3" applyFont="1" applyFill="1" applyBorder="1" applyProtection="1">
      <protection locked="0"/>
    </xf>
    <xf numFmtId="0" fontId="37" fillId="10" borderId="36" xfId="3" applyFont="1" applyFill="1" applyBorder="1" applyProtection="1">
      <protection locked="0"/>
    </xf>
    <xf numFmtId="2" fontId="1" fillId="3" borderId="5" xfId="3" applyNumberFormat="1" applyFont="1" applyFill="1" applyBorder="1" applyAlignment="1" applyProtection="1">
      <alignment horizontal="left" indent="1"/>
      <protection locked="0"/>
    </xf>
    <xf numFmtId="1" fontId="1" fillId="3" borderId="0" xfId="3" applyNumberFormat="1" applyFont="1" applyFill="1" applyProtection="1">
      <protection locked="0"/>
    </xf>
    <xf numFmtId="0" fontId="37" fillId="5" borderId="17" xfId="3" applyFont="1" applyFill="1" applyBorder="1" applyProtection="1">
      <protection locked="0"/>
    </xf>
    <xf numFmtId="0" fontId="19" fillId="10" borderId="36" xfId="3" applyFont="1" applyFill="1" applyBorder="1" applyProtection="1">
      <protection locked="0"/>
    </xf>
    <xf numFmtId="0" fontId="35" fillId="5" borderId="17" xfId="3" applyFont="1" applyFill="1" applyBorder="1" applyProtection="1">
      <protection locked="0"/>
    </xf>
    <xf numFmtId="0" fontId="20" fillId="10" borderId="31" xfId="3" applyFont="1" applyFill="1" applyBorder="1" applyProtection="1">
      <protection locked="0"/>
    </xf>
    <xf numFmtId="0" fontId="20" fillId="3" borderId="36" xfId="3" applyFont="1" applyFill="1" applyBorder="1" applyProtection="1">
      <protection locked="0"/>
    </xf>
    <xf numFmtId="0" fontId="20" fillId="10" borderId="36" xfId="3" applyFont="1" applyFill="1" applyBorder="1" applyProtection="1">
      <protection locked="0"/>
    </xf>
    <xf numFmtId="0" fontId="38" fillId="10" borderId="33" xfId="3" applyFont="1" applyFill="1" applyBorder="1" applyProtection="1">
      <protection locked="0"/>
    </xf>
    <xf numFmtId="0" fontId="38" fillId="3" borderId="1" xfId="3" applyFont="1" applyFill="1" applyBorder="1" applyProtection="1">
      <protection locked="0"/>
    </xf>
    <xf numFmtId="0" fontId="38" fillId="10" borderId="1" xfId="3" applyFont="1" applyFill="1" applyBorder="1" applyProtection="1">
      <protection locked="0"/>
    </xf>
    <xf numFmtId="0" fontId="18" fillId="5" borderId="17" xfId="3" applyFont="1" applyFill="1" applyBorder="1" applyProtection="1">
      <protection locked="0"/>
    </xf>
    <xf numFmtId="0" fontId="38" fillId="5" borderId="17" xfId="3" applyFont="1" applyFill="1" applyBorder="1" applyProtection="1">
      <protection locked="0"/>
    </xf>
    <xf numFmtId="0" fontId="38" fillId="5" borderId="3" xfId="3" applyFont="1" applyFill="1" applyBorder="1" applyProtection="1">
      <protection locked="0"/>
    </xf>
    <xf numFmtId="0" fontId="18" fillId="10" borderId="33" xfId="3" applyFont="1" applyFill="1" applyBorder="1" applyProtection="1">
      <protection locked="0"/>
    </xf>
    <xf numFmtId="0" fontId="18" fillId="3" borderId="1" xfId="3" applyFont="1" applyFill="1" applyBorder="1" applyProtection="1">
      <protection locked="0"/>
    </xf>
    <xf numFmtId="0" fontId="18" fillId="10" borderId="1" xfId="3" applyFont="1" applyFill="1" applyBorder="1" applyProtection="1">
      <protection locked="0"/>
    </xf>
    <xf numFmtId="1" fontId="1" fillId="3" borderId="0" xfId="3" applyNumberFormat="1" applyFont="1" applyFill="1" applyAlignment="1" applyProtection="1">
      <alignment horizontal="center"/>
      <protection locked="0"/>
    </xf>
    <xf numFmtId="0" fontId="5" fillId="3" borderId="20" xfId="3" applyFont="1" applyFill="1" applyBorder="1" applyProtection="1">
      <protection locked="0"/>
    </xf>
    <xf numFmtId="0" fontId="1" fillId="3" borderId="22" xfId="3" applyFont="1" applyFill="1" applyBorder="1" applyAlignment="1" applyProtection="1">
      <alignment horizontal="center"/>
      <protection locked="0"/>
    </xf>
    <xf numFmtId="0" fontId="1" fillId="3" borderId="22" xfId="3" applyFont="1" applyFill="1" applyBorder="1" applyAlignment="1" applyProtection="1">
      <alignment horizontal="left"/>
      <protection locked="0"/>
    </xf>
    <xf numFmtId="0" fontId="5" fillId="3" borderId="6" xfId="3" applyFont="1" applyFill="1" applyBorder="1" applyProtection="1">
      <protection locked="0"/>
    </xf>
    <xf numFmtId="2" fontId="0" fillId="8" borderId="2" xfId="3" applyNumberFormat="1" applyFont="1" applyFill="1" applyBorder="1" applyAlignment="1" applyProtection="1">
      <alignment horizontal="right"/>
      <protection locked="0"/>
    </xf>
    <xf numFmtId="2" fontId="0" fillId="0" borderId="2" xfId="3" applyNumberFormat="1" applyFont="1" applyBorder="1" applyAlignment="1" applyProtection="1">
      <alignment horizontal="right"/>
      <protection locked="0"/>
    </xf>
    <xf numFmtId="2" fontId="8" fillId="0" borderId="2" xfId="3" applyNumberFormat="1" applyFont="1" applyBorder="1" applyAlignment="1" applyProtection="1">
      <alignment horizontal="right"/>
      <protection locked="0"/>
    </xf>
    <xf numFmtId="2" fontId="5" fillId="0" borderId="2" xfId="3" applyNumberFormat="1" applyFont="1" applyBorder="1" applyAlignment="1" applyProtection="1">
      <alignment horizontal="right"/>
      <protection locked="0"/>
    </xf>
    <xf numFmtId="0" fontId="40" fillId="0" borderId="10" xfId="3" applyFont="1" applyBorder="1" applyAlignment="1" applyProtection="1">
      <alignment vertical="top"/>
      <protection locked="0"/>
    </xf>
    <xf numFmtId="3" fontId="40" fillId="0" borderId="10" xfId="3" applyNumberFormat="1" applyFont="1" applyBorder="1" applyAlignment="1" applyProtection="1">
      <alignment horizontal="right" vertical="center"/>
      <protection locked="0"/>
    </xf>
    <xf numFmtId="0" fontId="1" fillId="3" borderId="20" xfId="2" applyFont="1" applyFill="1" applyBorder="1" applyAlignment="1">
      <alignment horizontal="left"/>
    </xf>
    <xf numFmtId="4" fontId="1" fillId="3" borderId="0" xfId="2" applyNumberFormat="1" applyFont="1" applyFill="1" applyAlignment="1">
      <alignment horizontal="center"/>
    </xf>
    <xf numFmtId="0" fontId="1" fillId="3" borderId="0" xfId="2" applyFont="1" applyFill="1" applyAlignment="1">
      <alignment horizontal="center"/>
    </xf>
    <xf numFmtId="0" fontId="1" fillId="3" borderId="0" xfId="2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1" fillId="3" borderId="22" xfId="2" applyFont="1" applyFill="1" applyBorder="1" applyAlignment="1">
      <alignment horizontal="left"/>
    </xf>
    <xf numFmtId="0" fontId="5" fillId="4" borderId="2" xfId="0" applyFont="1" applyFill="1" applyBorder="1" applyAlignment="1">
      <alignment horizontal="left" vertical="center"/>
    </xf>
    <xf numFmtId="2" fontId="5" fillId="4" borderId="2" xfId="0" applyNumberFormat="1" applyFont="1" applyFill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39" fillId="18" borderId="2" xfId="3" applyFont="1" applyFill="1" applyBorder="1"/>
    <xf numFmtId="2" fontId="39" fillId="18" borderId="2" xfId="3" applyNumberFormat="1" applyFont="1" applyFill="1" applyBorder="1" applyAlignment="1">
      <alignment horizontal="right"/>
    </xf>
    <xf numFmtId="0" fontId="39" fillId="19" borderId="2" xfId="3" applyFont="1" applyFill="1" applyBorder="1"/>
    <xf numFmtId="2" fontId="39" fillId="19" borderId="2" xfId="3" applyNumberFormat="1" applyFont="1" applyFill="1" applyBorder="1" applyAlignment="1">
      <alignment horizontal="right"/>
    </xf>
    <xf numFmtId="2" fontId="2" fillId="4" borderId="2" xfId="3" applyNumberFormat="1" applyFont="1" applyFill="1" applyBorder="1" applyAlignment="1">
      <alignment horizontal="right"/>
    </xf>
    <xf numFmtId="0" fontId="6" fillId="7" borderId="2" xfId="3" applyFont="1" applyFill="1" applyBorder="1" applyAlignment="1">
      <alignment horizontal="left"/>
    </xf>
    <xf numFmtId="2" fontId="6" fillId="7" borderId="2" xfId="3" applyNumberFormat="1" applyFont="1" applyFill="1" applyBorder="1"/>
    <xf numFmtId="0" fontId="6" fillId="0" borderId="2" xfId="3" applyFont="1" applyBorder="1" applyAlignment="1">
      <alignment horizontal="left"/>
    </xf>
    <xf numFmtId="2" fontId="6" fillId="0" borderId="2" xfId="3" applyNumberFormat="1" applyFont="1" applyBorder="1"/>
    <xf numFmtId="4" fontId="29" fillId="0" borderId="18" xfId="3" applyNumberFormat="1" applyFont="1" applyBorder="1" applyAlignment="1">
      <alignment horizontal="right" vertical="center"/>
    </xf>
    <xf numFmtId="4" fontId="29" fillId="0" borderId="10" xfId="3" applyNumberFormat="1" applyFont="1" applyBorder="1" applyAlignment="1">
      <alignment horizontal="right" vertical="center"/>
    </xf>
    <xf numFmtId="4" fontId="29" fillId="0" borderId="5" xfId="3" applyNumberFormat="1" applyFont="1" applyBorder="1" applyAlignment="1">
      <alignment horizontal="right" vertical="center"/>
    </xf>
    <xf numFmtId="4" fontId="29" fillId="0" borderId="2" xfId="3" applyNumberFormat="1" applyFont="1" applyBorder="1" applyAlignment="1">
      <alignment horizontal="right" vertical="center"/>
    </xf>
    <xf numFmtId="4" fontId="31" fillId="0" borderId="18" xfId="3" applyNumberFormat="1" applyFont="1" applyBorder="1" applyAlignment="1">
      <alignment horizontal="right" vertical="center"/>
    </xf>
    <xf numFmtId="4" fontId="31" fillId="0" borderId="10" xfId="3" applyNumberFormat="1" applyFont="1" applyBorder="1" applyAlignment="1">
      <alignment horizontal="right" vertical="center"/>
    </xf>
    <xf numFmtId="4" fontId="32" fillId="0" borderId="18" xfId="3" applyNumberFormat="1" applyFont="1" applyBorder="1" applyAlignment="1">
      <alignment horizontal="right" vertical="center"/>
    </xf>
    <xf numFmtId="4" fontId="32" fillId="0" borderId="10" xfId="3" applyNumberFormat="1" applyFont="1" applyBorder="1" applyAlignment="1">
      <alignment horizontal="right" vertical="center"/>
    </xf>
    <xf numFmtId="4" fontId="5" fillId="0" borderId="18" xfId="3" applyNumberFormat="1" applyFont="1" applyBorder="1" applyAlignment="1">
      <alignment horizontal="right" vertical="center"/>
    </xf>
    <xf numFmtId="4" fontId="5" fillId="0" borderId="10" xfId="3" applyNumberFormat="1" applyFont="1" applyBorder="1" applyAlignment="1">
      <alignment horizontal="right" vertical="center"/>
    </xf>
    <xf numFmtId="4" fontId="40" fillId="0" borderId="18" xfId="3" applyNumberFormat="1" applyFont="1" applyBorder="1" applyAlignment="1">
      <alignment horizontal="right" vertical="center"/>
    </xf>
    <xf numFmtId="4" fontId="40" fillId="0" borderId="10" xfId="3" applyNumberFormat="1" applyFont="1" applyBorder="1" applyAlignment="1">
      <alignment horizontal="right" vertical="center"/>
    </xf>
    <xf numFmtId="0" fontId="29" fillId="0" borderId="10" xfId="3" applyFont="1" applyBorder="1" applyAlignment="1">
      <alignment horizontal="right" vertical="center"/>
    </xf>
    <xf numFmtId="3" fontId="29" fillId="0" borderId="10" xfId="3" applyNumberFormat="1" applyFont="1" applyBorder="1" applyAlignment="1">
      <alignment horizontal="right" vertical="center"/>
    </xf>
    <xf numFmtId="3" fontId="29" fillId="0" borderId="0" xfId="3" applyNumberFormat="1" applyFont="1" applyAlignment="1">
      <alignment horizontal="right"/>
    </xf>
    <xf numFmtId="0" fontId="29" fillId="0" borderId="2" xfId="3" applyFont="1" applyBorder="1" applyAlignment="1">
      <alignment horizontal="right" vertical="center"/>
    </xf>
    <xf numFmtId="3" fontId="29" fillId="0" borderId="2" xfId="3" applyNumberFormat="1" applyFont="1" applyBorder="1" applyAlignment="1">
      <alignment horizontal="right" vertical="center"/>
    </xf>
    <xf numFmtId="0" fontId="31" fillId="0" borderId="10" xfId="3" applyFont="1" applyBorder="1" applyAlignment="1">
      <alignment horizontal="right" vertical="center"/>
    </xf>
    <xf numFmtId="3" fontId="31" fillId="0" borderId="10" xfId="3" applyNumberFormat="1" applyFont="1" applyBorder="1" applyAlignment="1">
      <alignment horizontal="right" vertical="center"/>
    </xf>
    <xf numFmtId="3" fontId="31" fillId="0" borderId="0" xfId="3" applyNumberFormat="1" applyFont="1" applyAlignment="1">
      <alignment horizontal="right"/>
    </xf>
    <xf numFmtId="0" fontId="32" fillId="0" borderId="10" xfId="3" applyFont="1" applyBorder="1" applyAlignment="1">
      <alignment horizontal="right" vertical="center"/>
    </xf>
    <xf numFmtId="3" fontId="32" fillId="0" borderId="10" xfId="3" applyNumberFormat="1" applyFont="1" applyBorder="1" applyAlignment="1">
      <alignment horizontal="right" vertical="center"/>
    </xf>
    <xf numFmtId="3" fontId="32" fillId="0" borderId="0" xfId="3" applyNumberFormat="1" applyFont="1" applyAlignment="1">
      <alignment horizontal="right"/>
    </xf>
    <xf numFmtId="0" fontId="5" fillId="0" borderId="10" xfId="3" applyFont="1" applyBorder="1" applyAlignment="1">
      <alignment horizontal="right" vertical="center"/>
    </xf>
    <xf numFmtId="3" fontId="5" fillId="0" borderId="10" xfId="3" applyNumberFormat="1" applyFont="1" applyBorder="1" applyAlignment="1">
      <alignment horizontal="right" vertical="center"/>
    </xf>
    <xf numFmtId="3" fontId="5" fillId="0" borderId="0" xfId="3" applyNumberFormat="1" applyFont="1" applyAlignment="1">
      <alignment horizontal="right"/>
    </xf>
    <xf numFmtId="0" fontId="40" fillId="0" borderId="10" xfId="3" applyFont="1" applyBorder="1" applyAlignment="1">
      <alignment horizontal="right" vertical="center"/>
    </xf>
    <xf numFmtId="3" fontId="40" fillId="0" borderId="10" xfId="3" applyNumberFormat="1" applyFont="1" applyBorder="1" applyAlignment="1">
      <alignment horizontal="right" vertical="center"/>
    </xf>
    <xf numFmtId="3" fontId="40" fillId="0" borderId="0" xfId="3" applyNumberFormat="1" applyFont="1" applyAlignment="1">
      <alignment horizontal="right"/>
    </xf>
    <xf numFmtId="0" fontId="5" fillId="0" borderId="0" xfId="3" applyFont="1" applyAlignment="1">
      <alignment horizontal="right" vertical="center"/>
    </xf>
    <xf numFmtId="0" fontId="8" fillId="0" borderId="0" xfId="3" applyFont="1" applyAlignment="1">
      <alignment horizontal="right" vertical="center"/>
    </xf>
    <xf numFmtId="0" fontId="5" fillId="0" borderId="0" xfId="3" applyFont="1" applyAlignment="1">
      <alignment horizontal="right" vertical="top"/>
    </xf>
    <xf numFmtId="0" fontId="16" fillId="0" borderId="0" xfId="3" applyFont="1" applyAlignment="1" applyProtection="1">
      <alignment vertical="center"/>
      <protection locked="0"/>
    </xf>
    <xf numFmtId="0" fontId="5" fillId="6" borderId="3" xfId="3" applyFont="1" applyFill="1" applyBorder="1" applyProtection="1">
      <protection locked="0"/>
    </xf>
    <xf numFmtId="0" fontId="5" fillId="6" borderId="4" xfId="3" applyFont="1" applyFill="1" applyBorder="1" applyProtection="1">
      <protection locked="0"/>
    </xf>
    <xf numFmtId="0" fontId="1" fillId="3" borderId="17" xfId="3" applyFont="1" applyFill="1" applyBorder="1" applyProtection="1">
      <protection locked="0"/>
    </xf>
    <xf numFmtId="0" fontId="1" fillId="3" borderId="16" xfId="3" applyFont="1" applyFill="1" applyBorder="1" applyProtection="1">
      <protection locked="0"/>
    </xf>
    <xf numFmtId="0" fontId="5" fillId="3" borderId="7" xfId="3" applyFont="1" applyFill="1" applyBorder="1" applyProtection="1">
      <protection locked="0"/>
    </xf>
    <xf numFmtId="0" fontId="0" fillId="0" borderId="0" xfId="3" applyFont="1" applyAlignment="1" applyProtection="1">
      <alignment vertical="center"/>
      <protection locked="0"/>
    </xf>
    <xf numFmtId="0" fontId="6" fillId="8" borderId="19" xfId="3" applyFont="1" applyFill="1" applyBorder="1" applyAlignment="1">
      <alignment horizontal="left" vertical="center"/>
    </xf>
    <xf numFmtId="0" fontId="6" fillId="0" borderId="19" xfId="3" applyFont="1" applyBorder="1" applyAlignment="1">
      <alignment horizontal="left" vertical="center"/>
    </xf>
    <xf numFmtId="2" fontId="6" fillId="8" borderId="19" xfId="3" applyNumberFormat="1" applyFont="1" applyFill="1" applyBorder="1" applyAlignment="1">
      <alignment horizontal="right" vertical="center"/>
    </xf>
    <xf numFmtId="2" fontId="6" fillId="0" borderId="19" xfId="3" applyNumberFormat="1" applyFont="1" applyBorder="1" applyAlignment="1">
      <alignment horizontal="right" vertical="center"/>
    </xf>
    <xf numFmtId="0" fontId="5" fillId="0" borderId="2" xfId="3" applyFont="1" applyBorder="1" applyAlignment="1" applyProtection="1">
      <alignment vertical="top"/>
      <protection locked="0"/>
    </xf>
    <xf numFmtId="4" fontId="5" fillId="0" borderId="5" xfId="3" applyNumberFormat="1" applyFont="1" applyBorder="1" applyAlignment="1">
      <alignment horizontal="right" vertical="center"/>
    </xf>
    <xf numFmtId="4" fontId="5" fillId="0" borderId="2" xfId="3" applyNumberFormat="1" applyFont="1" applyBorder="1" applyAlignment="1">
      <alignment horizontal="right" vertical="center"/>
    </xf>
    <xf numFmtId="3" fontId="5" fillId="0" borderId="2" xfId="3" applyNumberFormat="1" applyFont="1" applyBorder="1" applyAlignment="1" applyProtection="1">
      <alignment horizontal="right" vertical="center"/>
      <protection locked="0"/>
    </xf>
    <xf numFmtId="0" fontId="5" fillId="0" borderId="2" xfId="3" applyFont="1" applyBorder="1" applyAlignment="1">
      <alignment horizontal="right" vertical="center"/>
    </xf>
    <xf numFmtId="3" fontId="5" fillId="0" borderId="2" xfId="3" applyNumberFormat="1" applyFont="1" applyBorder="1" applyAlignment="1">
      <alignment horizontal="right" vertical="center"/>
    </xf>
    <xf numFmtId="2" fontId="8" fillId="0" borderId="19" xfId="3" applyNumberFormat="1" applyFont="1" applyBorder="1" applyAlignment="1">
      <alignment horizontal="right"/>
    </xf>
    <xf numFmtId="2" fontId="1" fillId="9" borderId="2" xfId="3" applyNumberFormat="1" applyFont="1" applyFill="1" applyBorder="1" applyAlignment="1">
      <alignment horizontal="left" indent="1"/>
    </xf>
    <xf numFmtId="2" fontId="1" fillId="3" borderId="2" xfId="3" applyNumberFormat="1" applyFont="1" applyFill="1" applyBorder="1" applyAlignment="1">
      <alignment horizontal="left" indent="1"/>
    </xf>
    <xf numFmtId="2" fontId="1" fillId="3" borderId="0" xfId="3" applyNumberFormat="1" applyFont="1" applyFill="1"/>
    <xf numFmtId="0" fontId="41" fillId="21" borderId="0" xfId="3" applyFont="1" applyFill="1" applyProtection="1">
      <protection locked="0"/>
    </xf>
    <xf numFmtId="0" fontId="1" fillId="21" borderId="0" xfId="0" applyFont="1" applyFill="1"/>
    <xf numFmtId="0" fontId="0" fillId="21" borderId="0" xfId="0" applyFill="1"/>
    <xf numFmtId="0" fontId="0" fillId="0" borderId="4" xfId="0" applyBorder="1"/>
    <xf numFmtId="0" fontId="0" fillId="4" borderId="0" xfId="0" applyFill="1"/>
    <xf numFmtId="0" fontId="42" fillId="0" borderId="2" xfId="0" applyFont="1" applyBorder="1"/>
    <xf numFmtId="0" fontId="42" fillId="0" borderId="2" xfId="0" applyFont="1" applyBorder="1" applyAlignment="1">
      <alignment horizontal="right"/>
    </xf>
    <xf numFmtId="166" fontId="42" fillId="0" borderId="2" xfId="0" applyNumberFormat="1" applyFont="1" applyBorder="1" applyAlignment="1">
      <alignment horizontal="right"/>
    </xf>
    <xf numFmtId="167" fontId="42" fillId="0" borderId="0" xfId="0" applyNumberFormat="1" applyFont="1" applyAlignment="1">
      <alignment horizontal="right"/>
    </xf>
    <xf numFmtId="0" fontId="42" fillId="0" borderId="10" xfId="0" applyFont="1" applyBorder="1"/>
    <xf numFmtId="0" fontId="1" fillId="3" borderId="10" xfId="3" applyFont="1" applyFill="1" applyBorder="1" applyAlignment="1" applyProtection="1">
      <alignment vertical="center" textRotation="255"/>
      <protection locked="0"/>
    </xf>
    <xf numFmtId="0" fontId="1" fillId="3" borderId="11" xfId="3" applyFont="1" applyFill="1" applyBorder="1" applyAlignment="1" applyProtection="1">
      <alignment vertical="center" textRotation="255"/>
      <protection locked="0"/>
    </xf>
    <xf numFmtId="0" fontId="1" fillId="3" borderId="15" xfId="3" applyFont="1" applyFill="1" applyBorder="1" applyAlignment="1" applyProtection="1">
      <alignment vertical="center" textRotation="255"/>
      <protection locked="0"/>
    </xf>
    <xf numFmtId="0" fontId="39" fillId="3" borderId="0" xfId="3" applyFont="1" applyFill="1" applyAlignment="1" applyProtection="1">
      <alignment horizontal="left" vertical="top"/>
      <protection locked="0"/>
    </xf>
    <xf numFmtId="0" fontId="43" fillId="3" borderId="0" xfId="3" applyFont="1" applyFill="1" applyProtection="1">
      <protection locked="0"/>
    </xf>
    <xf numFmtId="0" fontId="39" fillId="3" borderId="0" xfId="3" applyFont="1" applyFill="1" applyAlignment="1" applyProtection="1">
      <alignment vertical="center"/>
      <protection locked="0"/>
    </xf>
    <xf numFmtId="0" fontId="39" fillId="3" borderId="0" xfId="3" applyFont="1" applyFill="1" applyAlignment="1" applyProtection="1">
      <alignment horizontal="left"/>
      <protection locked="0"/>
    </xf>
    <xf numFmtId="0" fontId="43" fillId="3" borderId="0" xfId="3" applyFont="1" applyFill="1" applyAlignment="1" applyProtection="1">
      <alignment horizontal="right"/>
      <protection locked="0"/>
    </xf>
    <xf numFmtId="0" fontId="43" fillId="8" borderId="2" xfId="3" applyFont="1" applyFill="1" applyBorder="1" applyAlignment="1" applyProtection="1">
      <alignment horizontal="right"/>
      <protection locked="0"/>
    </xf>
    <xf numFmtId="0" fontId="43" fillId="0" borderId="2" xfId="3" applyFont="1" applyBorder="1" applyAlignment="1" applyProtection="1">
      <alignment horizontal="right"/>
      <protection locked="0"/>
    </xf>
    <xf numFmtId="0" fontId="39" fillId="3" borderId="31" xfId="3" applyFont="1" applyFill="1" applyBorder="1" applyAlignment="1" applyProtection="1">
      <alignment horizontal="left"/>
      <protection locked="0"/>
    </xf>
    <xf numFmtId="0" fontId="39" fillId="3" borderId="54" xfId="3" applyFont="1" applyFill="1" applyBorder="1" applyAlignment="1" applyProtection="1">
      <alignment horizontal="left"/>
      <protection locked="0"/>
    </xf>
    <xf numFmtId="0" fontId="43" fillId="8" borderId="19" xfId="3" applyFont="1" applyFill="1" applyBorder="1" applyAlignment="1">
      <alignment horizontal="right"/>
    </xf>
    <xf numFmtId="0" fontId="43" fillId="0" borderId="19" xfId="3" applyFont="1" applyBorder="1" applyAlignment="1">
      <alignment horizontal="right"/>
    </xf>
    <xf numFmtId="0" fontId="39" fillId="3" borderId="0" xfId="3" applyFont="1" applyFill="1" applyAlignment="1" applyProtection="1">
      <alignment horizontal="center"/>
      <protection locked="0"/>
    </xf>
    <xf numFmtId="0" fontId="5" fillId="8" borderId="19" xfId="3" applyFont="1" applyFill="1" applyBorder="1" applyAlignment="1">
      <alignment horizontal="right"/>
    </xf>
    <xf numFmtId="0" fontId="5" fillId="0" borderId="19" xfId="3" applyFont="1" applyBorder="1" applyAlignment="1">
      <alignment horizontal="right"/>
    </xf>
    <xf numFmtId="0" fontId="44" fillId="3" borderId="0" xfId="3" applyFont="1" applyFill="1" applyAlignment="1" applyProtection="1">
      <alignment vertical="center"/>
      <protection locked="0"/>
    </xf>
    <xf numFmtId="0" fontId="44" fillId="3" borderId="2" xfId="3" applyFont="1" applyFill="1" applyBorder="1" applyAlignment="1" applyProtection="1">
      <alignment horizontal="center"/>
      <protection locked="0"/>
    </xf>
    <xf numFmtId="0" fontId="46" fillId="3" borderId="0" xfId="3" applyFont="1" applyFill="1" applyAlignment="1" applyProtection="1">
      <alignment horizontal="right"/>
      <protection locked="0"/>
    </xf>
    <xf numFmtId="0" fontId="46" fillId="3" borderId="0" xfId="3" applyFont="1" applyFill="1" applyProtection="1">
      <protection locked="0"/>
    </xf>
    <xf numFmtId="0" fontId="45" fillId="3" borderId="0" xfId="3" applyFont="1" applyFill="1" applyAlignment="1" applyProtection="1">
      <alignment horizontal="left" vertical="top"/>
      <protection locked="0"/>
    </xf>
    <xf numFmtId="0" fontId="47" fillId="3" borderId="0" xfId="3" applyFont="1" applyFill="1" applyProtection="1">
      <protection locked="0"/>
    </xf>
    <xf numFmtId="0" fontId="45" fillId="3" borderId="0" xfId="3" applyFont="1" applyFill="1" applyAlignment="1" applyProtection="1">
      <alignment horizontal="left"/>
      <protection locked="0"/>
    </xf>
    <xf numFmtId="0" fontId="45" fillId="3" borderId="2" xfId="3" applyFont="1" applyFill="1" applyBorder="1" applyAlignment="1" applyProtection="1">
      <alignment horizontal="center"/>
      <protection locked="0"/>
    </xf>
    <xf numFmtId="0" fontId="47" fillId="3" borderId="0" xfId="3" applyFont="1" applyFill="1" applyAlignment="1" applyProtection="1">
      <alignment horizontal="right"/>
      <protection locked="0"/>
    </xf>
    <xf numFmtId="0" fontId="45" fillId="5" borderId="10" xfId="3" applyFont="1" applyFill="1" applyBorder="1" applyAlignment="1" applyProtection="1">
      <alignment horizontal="center"/>
      <protection locked="0"/>
    </xf>
    <xf numFmtId="0" fontId="5" fillId="3" borderId="0" xfId="3" applyFont="1" applyFill="1" applyAlignment="1" applyProtection="1">
      <alignment horizontal="right"/>
      <protection locked="0"/>
    </xf>
    <xf numFmtId="0" fontId="16" fillId="3" borderId="20" xfId="3" applyFont="1" applyFill="1" applyBorder="1" applyAlignment="1" applyProtection="1">
      <alignment horizontal="right" vertical="center"/>
      <protection locked="0"/>
    </xf>
    <xf numFmtId="0" fontId="5" fillId="0" borderId="0" xfId="3" applyFont="1" applyAlignment="1" applyProtection="1">
      <alignment horizontal="right"/>
      <protection locked="0"/>
    </xf>
    <xf numFmtId="2" fontId="1" fillId="3" borderId="2" xfId="3" applyNumberFormat="1" applyFont="1" applyFill="1" applyBorder="1" applyAlignment="1" applyProtection="1">
      <alignment horizontal="center"/>
      <protection locked="0"/>
    </xf>
    <xf numFmtId="2" fontId="5" fillId="0" borderId="2" xfId="3" applyNumberFormat="1" applyFont="1" applyBorder="1" applyAlignment="1">
      <alignment horizontal="center"/>
    </xf>
    <xf numFmtId="0" fontId="16" fillId="3" borderId="7" xfId="3" applyFont="1" applyFill="1" applyBorder="1" applyAlignment="1" applyProtection="1">
      <alignment horizontal="center" vertical="center"/>
      <protection locked="0"/>
    </xf>
    <xf numFmtId="0" fontId="5" fillId="3" borderId="0" xfId="3" applyFont="1" applyFill="1" applyAlignment="1" applyProtection="1">
      <alignment horizontal="center"/>
      <protection locked="0"/>
    </xf>
    <xf numFmtId="0" fontId="0" fillId="4" borderId="3" xfId="0" applyFill="1" applyBorder="1"/>
    <xf numFmtId="0" fontId="45" fillId="5" borderId="0" xfId="3" applyFont="1" applyFill="1" applyAlignment="1" applyProtection="1">
      <alignment horizontal="center"/>
      <protection locked="0"/>
    </xf>
    <xf numFmtId="0" fontId="2" fillId="3" borderId="0" xfId="3" applyFont="1" applyFill="1" applyAlignment="1" applyProtection="1">
      <alignment vertical="center"/>
      <protection locked="0"/>
    </xf>
    <xf numFmtId="0" fontId="6" fillId="3" borderId="0" xfId="3" applyFont="1" applyFill="1" applyAlignment="1" applyProtection="1">
      <alignment vertical="center"/>
      <protection locked="0"/>
    </xf>
    <xf numFmtId="0" fontId="2" fillId="13" borderId="0" xfId="3" applyFont="1" applyFill="1" applyAlignment="1" applyProtection="1">
      <alignment vertical="center"/>
      <protection locked="0"/>
    </xf>
    <xf numFmtId="0" fontId="6" fillId="13" borderId="0" xfId="3" applyFont="1" applyFill="1" applyAlignment="1" applyProtection="1">
      <alignment vertical="center"/>
      <protection locked="0"/>
    </xf>
    <xf numFmtId="0" fontId="1" fillId="12" borderId="23" xfId="3" applyFont="1" applyFill="1" applyBorder="1" applyAlignment="1" applyProtection="1">
      <alignment horizontal="right" vertical="center"/>
      <protection locked="0"/>
    </xf>
    <xf numFmtId="0" fontId="2" fillId="3" borderId="5" xfId="3" applyFont="1" applyFill="1" applyBorder="1" applyAlignment="1" applyProtection="1">
      <alignment horizontal="right" vertical="center"/>
      <protection locked="0"/>
    </xf>
    <xf numFmtId="0" fontId="6" fillId="3" borderId="5" xfId="3" applyFont="1" applyFill="1" applyBorder="1" applyAlignment="1" applyProtection="1">
      <alignment horizontal="right" vertical="center"/>
      <protection locked="0"/>
    </xf>
    <xf numFmtId="0" fontId="1" fillId="9" borderId="18" xfId="3" applyFont="1" applyFill="1" applyBorder="1" applyAlignment="1" applyProtection="1">
      <alignment horizontal="right" vertical="center"/>
      <protection locked="0"/>
    </xf>
    <xf numFmtId="0" fontId="1" fillId="9" borderId="0" xfId="3" applyFont="1" applyFill="1" applyAlignment="1" applyProtection="1">
      <alignment horizontal="right" vertical="center"/>
      <protection locked="0"/>
    </xf>
    <xf numFmtId="2" fontId="1" fillId="9" borderId="18" xfId="3" applyNumberFormat="1" applyFont="1" applyFill="1" applyBorder="1" applyAlignment="1" applyProtection="1">
      <alignment horizontal="center"/>
      <protection locked="0"/>
    </xf>
    <xf numFmtId="0" fontId="1" fillId="9" borderId="16" xfId="3" applyFont="1" applyFill="1" applyBorder="1" applyAlignment="1" applyProtection="1">
      <alignment horizontal="center" vertical="center"/>
      <protection locked="0"/>
    </xf>
    <xf numFmtId="0" fontId="1" fillId="9" borderId="0" xfId="3" applyFont="1" applyFill="1" applyAlignment="1" applyProtection="1">
      <alignment horizontal="center" vertical="center"/>
      <protection locked="0"/>
    </xf>
    <xf numFmtId="2" fontId="1" fillId="9" borderId="22" xfId="3" applyNumberFormat="1" applyFont="1" applyFill="1" applyBorder="1" applyAlignment="1" applyProtection="1">
      <alignment horizontal="center"/>
      <protection locked="0"/>
    </xf>
    <xf numFmtId="1" fontId="1" fillId="3" borderId="22" xfId="3" applyNumberFormat="1" applyFont="1" applyFill="1" applyBorder="1" applyAlignment="1" applyProtection="1">
      <alignment horizontal="center"/>
      <protection locked="0"/>
    </xf>
    <xf numFmtId="2" fontId="2" fillId="8" borderId="2" xfId="3" applyNumberFormat="1" applyFont="1" applyFill="1" applyBorder="1" applyAlignment="1" applyProtection="1">
      <alignment horizontal="center"/>
      <protection locked="0"/>
    </xf>
    <xf numFmtId="0" fontId="5" fillId="11" borderId="0" xfId="3" applyFont="1" applyFill="1" applyAlignment="1" applyProtection="1">
      <alignment horizontal="center"/>
      <protection locked="0"/>
    </xf>
    <xf numFmtId="1" fontId="1" fillId="3" borderId="7" xfId="3" applyNumberFormat="1" applyFont="1" applyFill="1" applyBorder="1" applyAlignment="1" applyProtection="1">
      <alignment horizontal="center"/>
      <protection locked="0"/>
    </xf>
    <xf numFmtId="1" fontId="1" fillId="3" borderId="23" xfId="3" applyNumberFormat="1" applyFont="1" applyFill="1" applyBorder="1" applyAlignment="1" applyProtection="1">
      <alignment horizontal="center"/>
      <protection locked="0"/>
    </xf>
    <xf numFmtId="2" fontId="1" fillId="9" borderId="15" xfId="3" applyNumberFormat="1" applyFont="1" applyFill="1" applyBorder="1" applyAlignment="1" applyProtection="1">
      <alignment horizontal="left" indent="1"/>
      <protection locked="0"/>
    </xf>
    <xf numFmtId="0" fontId="1" fillId="3" borderId="4" xfId="3" applyFont="1" applyFill="1" applyBorder="1" applyAlignment="1" applyProtection="1">
      <alignment horizontal="center"/>
      <protection locked="0"/>
    </xf>
    <xf numFmtId="2" fontId="2" fillId="8" borderId="2" xfId="3" applyNumberFormat="1" applyFont="1" applyFill="1" applyBorder="1" applyAlignment="1">
      <alignment horizontal="center"/>
    </xf>
    <xf numFmtId="2" fontId="1" fillId="9" borderId="0" xfId="3" applyNumberFormat="1" applyFont="1" applyFill="1" applyAlignment="1">
      <alignment horizontal="center"/>
    </xf>
    <xf numFmtId="2" fontId="1" fillId="9" borderId="22" xfId="3" applyNumberFormat="1" applyFont="1" applyFill="1" applyBorder="1" applyAlignment="1">
      <alignment horizontal="center"/>
    </xf>
    <xf numFmtId="2" fontId="1" fillId="9" borderId="18" xfId="3" applyNumberFormat="1" applyFont="1" applyFill="1" applyBorder="1" applyAlignment="1">
      <alignment horizontal="center"/>
    </xf>
    <xf numFmtId="2" fontId="1" fillId="9" borderId="2" xfId="3" applyNumberFormat="1" applyFont="1" applyFill="1" applyBorder="1" applyAlignment="1">
      <alignment horizontal="center"/>
    </xf>
    <xf numFmtId="1" fontId="1" fillId="3" borderId="2" xfId="3" applyNumberFormat="1" applyFont="1" applyFill="1" applyBorder="1" applyAlignment="1">
      <alignment horizontal="center"/>
    </xf>
    <xf numFmtId="1" fontId="1" fillId="3" borderId="0" xfId="3" applyNumberFormat="1" applyFont="1" applyFill="1" applyAlignment="1">
      <alignment horizontal="center"/>
    </xf>
    <xf numFmtId="1" fontId="1" fillId="3" borderId="22" xfId="3" applyNumberFormat="1" applyFont="1" applyFill="1" applyBorder="1" applyAlignment="1">
      <alignment horizontal="center"/>
    </xf>
    <xf numFmtId="0" fontId="39" fillId="7" borderId="2" xfId="3" applyFont="1" applyFill="1" applyBorder="1"/>
    <xf numFmtId="2" fontId="39" fillId="7" borderId="2" xfId="3" applyNumberFormat="1" applyFont="1" applyFill="1" applyBorder="1" applyAlignment="1">
      <alignment horizontal="right"/>
    </xf>
    <xf numFmtId="0" fontId="39" fillId="4" borderId="2" xfId="3" applyFont="1" applyFill="1" applyBorder="1"/>
    <xf numFmtId="2" fontId="39" fillId="4" borderId="2" xfId="3" applyNumberFormat="1" applyFont="1" applyFill="1" applyBorder="1" applyAlignment="1">
      <alignment horizontal="right"/>
    </xf>
    <xf numFmtId="2" fontId="35" fillId="3" borderId="0" xfId="3" applyNumberFormat="1" applyFont="1" applyFill="1" applyAlignment="1" applyProtection="1">
      <alignment horizontal="center"/>
      <protection locked="0"/>
    </xf>
    <xf numFmtId="2" fontId="6" fillId="7" borderId="2" xfId="3" applyNumberFormat="1" applyFont="1" applyFill="1" applyBorder="1" applyProtection="1">
      <protection locked="0"/>
    </xf>
    <xf numFmtId="2" fontId="6" fillId="0" borderId="2" xfId="3" applyNumberFormat="1" applyFont="1" applyBorder="1" applyProtection="1">
      <protection locked="0"/>
    </xf>
    <xf numFmtId="2" fontId="6" fillId="4" borderId="2" xfId="3" applyNumberFormat="1" applyFont="1" applyFill="1" applyBorder="1" applyProtection="1">
      <protection locked="0"/>
    </xf>
    <xf numFmtId="2" fontId="6" fillId="7" borderId="3" xfId="3" applyNumberFormat="1" applyFont="1" applyFill="1" applyBorder="1" applyProtection="1">
      <protection locked="0"/>
    </xf>
    <xf numFmtId="2" fontId="2" fillId="3" borderId="2" xfId="3" applyNumberFormat="1" applyFont="1" applyFill="1" applyBorder="1" applyProtection="1">
      <protection locked="0"/>
    </xf>
    <xf numFmtId="2" fontId="6" fillId="3" borderId="2" xfId="3" applyNumberFormat="1" applyFont="1" applyFill="1" applyBorder="1" applyProtection="1">
      <protection locked="0"/>
    </xf>
    <xf numFmtId="2" fontId="2" fillId="8" borderId="3" xfId="3" applyNumberFormat="1" applyFont="1" applyFill="1" applyBorder="1" applyProtection="1">
      <protection locked="0"/>
    </xf>
    <xf numFmtId="2" fontId="2" fillId="0" borderId="3" xfId="3" applyNumberFormat="1" applyFont="1" applyBorder="1" applyProtection="1">
      <protection locked="0"/>
    </xf>
    <xf numFmtId="2" fontId="6" fillId="0" borderId="3" xfId="3" applyNumberFormat="1" applyFont="1" applyBorder="1" applyProtection="1">
      <protection locked="0"/>
    </xf>
    <xf numFmtId="2" fontId="2" fillId="12" borderId="5" xfId="3" applyNumberFormat="1" applyFont="1" applyFill="1" applyBorder="1" applyProtection="1">
      <protection locked="0"/>
    </xf>
    <xf numFmtId="2" fontId="2" fillId="3" borderId="5" xfId="3" applyNumberFormat="1" applyFont="1" applyFill="1" applyBorder="1" applyProtection="1">
      <protection locked="0"/>
    </xf>
    <xf numFmtId="2" fontId="6" fillId="3" borderId="4" xfId="3" applyNumberFormat="1" applyFont="1" applyFill="1" applyBorder="1" applyProtection="1">
      <protection locked="0"/>
    </xf>
    <xf numFmtId="2" fontId="6" fillId="3" borderId="5" xfId="3" applyNumberFormat="1" applyFont="1" applyFill="1" applyBorder="1" applyProtection="1">
      <protection locked="0"/>
    </xf>
    <xf numFmtId="2" fontId="1" fillId="12" borderId="2" xfId="3" applyNumberFormat="1" applyFont="1" applyFill="1" applyBorder="1" applyAlignment="1" applyProtection="1">
      <alignment horizontal="left"/>
      <protection locked="0"/>
    </xf>
    <xf numFmtId="2" fontId="6" fillId="3" borderId="2" xfId="3" applyNumberFormat="1" applyFont="1" applyFill="1" applyBorder="1" applyAlignment="1" applyProtection="1">
      <alignment horizontal="center"/>
      <protection locked="0"/>
    </xf>
    <xf numFmtId="2" fontId="2" fillId="3" borderId="2" xfId="3" applyNumberFormat="1" applyFont="1" applyFill="1" applyBorder="1" applyAlignment="1" applyProtection="1">
      <alignment horizontal="center"/>
      <protection locked="0"/>
    </xf>
    <xf numFmtId="2" fontId="6" fillId="3" borderId="3" xfId="3" applyNumberFormat="1" applyFont="1" applyFill="1" applyBorder="1" applyAlignment="1" applyProtection="1">
      <alignment horizontal="center"/>
      <protection locked="0"/>
    </xf>
    <xf numFmtId="0" fontId="10" fillId="0" borderId="16" xfId="0" applyFont="1" applyBorder="1"/>
    <xf numFmtId="2" fontId="35" fillId="3" borderId="7" xfId="3" applyNumberFormat="1" applyFont="1" applyFill="1" applyBorder="1" applyAlignment="1" applyProtection="1">
      <alignment horizontal="center"/>
      <protection locked="0"/>
    </xf>
    <xf numFmtId="2" fontId="35" fillId="21" borderId="0" xfId="3" applyNumberFormat="1" applyFont="1" applyFill="1" applyAlignment="1" applyProtection="1">
      <alignment horizontal="center"/>
      <protection locked="0"/>
    </xf>
    <xf numFmtId="2" fontId="2" fillId="8" borderId="2" xfId="3" applyNumberFormat="1" applyFont="1" applyFill="1" applyBorder="1"/>
    <xf numFmtId="2" fontId="2" fillId="0" borderId="2" xfId="3" applyNumberFormat="1" applyFont="1" applyBorder="1"/>
    <xf numFmtId="2" fontId="2" fillId="3" borderId="2" xfId="3" applyNumberFormat="1" applyFont="1" applyFill="1" applyBorder="1"/>
    <xf numFmtId="2" fontId="6" fillId="3" borderId="2" xfId="3" applyNumberFormat="1" applyFont="1" applyFill="1" applyBorder="1"/>
    <xf numFmtId="2" fontId="2" fillId="3" borderId="2" xfId="3" applyNumberFormat="1" applyFont="1" applyFill="1" applyBorder="1" applyAlignment="1">
      <alignment horizontal="center"/>
    </xf>
    <xf numFmtId="2" fontId="6" fillId="3" borderId="3" xfId="3" applyNumberFormat="1" applyFont="1" applyFill="1" applyBorder="1" applyAlignment="1">
      <alignment horizontal="center"/>
    </xf>
    <xf numFmtId="2" fontId="1" fillId="9" borderId="20" xfId="3" applyNumberFormat="1" applyFont="1" applyFill="1" applyBorder="1" applyProtection="1">
      <protection locked="0"/>
    </xf>
    <xf numFmtId="2" fontId="1" fillId="9" borderId="0" xfId="3" applyNumberFormat="1" applyFont="1" applyFill="1" applyProtection="1">
      <protection locked="0"/>
    </xf>
    <xf numFmtId="2" fontId="1" fillId="3" borderId="10" xfId="3" applyNumberFormat="1" applyFont="1" applyFill="1" applyBorder="1" applyAlignment="1" applyProtection="1">
      <alignment horizontal="left" indent="1"/>
      <protection locked="0"/>
    </xf>
    <xf numFmtId="2" fontId="1" fillId="9" borderId="15" xfId="3" applyNumberFormat="1" applyFont="1" applyFill="1" applyBorder="1" applyAlignment="1">
      <alignment horizontal="center"/>
    </xf>
    <xf numFmtId="0" fontId="11" fillId="5" borderId="17" xfId="3" applyFont="1" applyFill="1" applyBorder="1" applyAlignment="1" applyProtection="1">
      <alignment horizontal="right"/>
      <protection locked="0"/>
    </xf>
    <xf numFmtId="0" fontId="19" fillId="5" borderId="17" xfId="3" applyFont="1" applyFill="1" applyBorder="1" applyAlignment="1" applyProtection="1">
      <alignment horizontal="right"/>
      <protection locked="0"/>
    </xf>
    <xf numFmtId="0" fontId="21" fillId="5" borderId="17" xfId="3" applyFont="1" applyFill="1" applyBorder="1" applyAlignment="1" applyProtection="1">
      <alignment horizontal="right"/>
      <protection locked="0"/>
    </xf>
    <xf numFmtId="0" fontId="20" fillId="5" borderId="17" xfId="3" applyFont="1" applyFill="1" applyBorder="1" applyAlignment="1" applyProtection="1">
      <alignment horizontal="right"/>
      <protection locked="0"/>
    </xf>
    <xf numFmtId="0" fontId="20" fillId="5" borderId="3" xfId="3" applyFont="1" applyFill="1" applyBorder="1" applyAlignment="1" applyProtection="1">
      <alignment horizontal="right"/>
      <protection locked="0"/>
    </xf>
    <xf numFmtId="0" fontId="1" fillId="20" borderId="4" xfId="3" applyFont="1" applyFill="1" applyBorder="1" applyAlignment="1">
      <alignment horizontal="center"/>
    </xf>
    <xf numFmtId="0" fontId="1" fillId="9" borderId="3" xfId="3" applyFont="1" applyFill="1" applyBorder="1" applyAlignment="1">
      <alignment horizontal="center" vertical="top"/>
    </xf>
    <xf numFmtId="0" fontId="1" fillId="9" borderId="5" xfId="3" applyFont="1" applyFill="1" applyBorder="1" applyAlignment="1">
      <alignment horizontal="center" vertical="top"/>
    </xf>
    <xf numFmtId="0" fontId="1" fillId="20" borderId="3" xfId="3" applyFont="1" applyFill="1" applyBorder="1" applyAlignment="1">
      <alignment horizontal="center"/>
    </xf>
    <xf numFmtId="0" fontId="1" fillId="20" borderId="5" xfId="3" applyFont="1" applyFill="1" applyBorder="1" applyAlignment="1">
      <alignment horizontal="center"/>
    </xf>
    <xf numFmtId="0" fontId="1" fillId="3" borderId="16" xfId="3" applyFont="1" applyFill="1" applyBorder="1" applyAlignment="1" applyProtection="1">
      <alignment horizontal="center"/>
      <protection locked="0"/>
    </xf>
    <xf numFmtId="0" fontId="1" fillId="3" borderId="6" xfId="3" applyFont="1" applyFill="1" applyBorder="1" applyAlignment="1" applyProtection="1">
      <alignment horizontal="left"/>
      <protection locked="0"/>
    </xf>
    <xf numFmtId="0" fontId="1" fillId="0" borderId="0" xfId="3" applyFont="1" applyProtection="1">
      <protection locked="0"/>
    </xf>
    <xf numFmtId="0" fontId="1" fillId="3" borderId="23" xfId="3" applyFont="1" applyFill="1" applyBorder="1" applyAlignment="1" applyProtection="1">
      <alignment horizontal="left"/>
      <protection locked="0"/>
    </xf>
    <xf numFmtId="0" fontId="1" fillId="3" borderId="15" xfId="3" applyFont="1" applyFill="1" applyBorder="1" applyAlignment="1" applyProtection="1">
      <alignment horizontal="center"/>
      <protection locked="0"/>
    </xf>
    <xf numFmtId="0" fontId="1" fillId="3" borderId="15" xfId="3" applyFont="1" applyFill="1" applyBorder="1" applyAlignment="1" applyProtection="1">
      <alignment horizontal="right"/>
      <protection locked="0"/>
    </xf>
    <xf numFmtId="0" fontId="1" fillId="3" borderId="5" xfId="3" applyFont="1" applyFill="1" applyBorder="1" applyProtection="1">
      <protection locked="0"/>
    </xf>
    <xf numFmtId="0" fontId="0" fillId="18" borderId="2" xfId="0" applyFill="1" applyBorder="1" applyAlignment="1">
      <alignment horizontal="right"/>
    </xf>
    <xf numFmtId="0" fontId="5" fillId="18" borderId="2" xfId="3" applyFont="1" applyFill="1" applyBorder="1" applyAlignment="1">
      <alignment horizontal="left"/>
    </xf>
    <xf numFmtId="2" fontId="5" fillId="18" borderId="2" xfId="3" applyNumberFormat="1" applyFont="1" applyFill="1" applyBorder="1" applyAlignment="1">
      <alignment horizontal="left"/>
    </xf>
    <xf numFmtId="0" fontId="23" fillId="18" borderId="3" xfId="3" applyFont="1" applyFill="1" applyBorder="1" applyAlignment="1">
      <alignment horizontal="left"/>
    </xf>
    <xf numFmtId="0" fontId="5" fillId="0" borderId="2" xfId="3" applyFont="1" applyBorder="1" applyAlignment="1">
      <alignment horizontal="left"/>
    </xf>
    <xf numFmtId="2" fontId="5" fillId="0" borderId="2" xfId="3" applyNumberFormat="1" applyFont="1" applyBorder="1" applyAlignment="1">
      <alignment horizontal="left"/>
    </xf>
    <xf numFmtId="0" fontId="23" fillId="0" borderId="3" xfId="3" applyFont="1" applyBorder="1" applyAlignment="1">
      <alignment horizontal="left"/>
    </xf>
    <xf numFmtId="0" fontId="48" fillId="3" borderId="5" xfId="3" applyFont="1" applyFill="1" applyBorder="1" applyProtection="1">
      <protection locked="0"/>
    </xf>
    <xf numFmtId="0" fontId="1" fillId="17" borderId="18" xfId="3" applyFont="1" applyFill="1" applyBorder="1" applyProtection="1">
      <protection locked="0"/>
    </xf>
    <xf numFmtId="0" fontId="0" fillId="18" borderId="10" xfId="0" applyFill="1" applyBorder="1" applyAlignment="1">
      <alignment horizontal="right"/>
    </xf>
    <xf numFmtId="0" fontId="5" fillId="18" borderId="10" xfId="3" applyFont="1" applyFill="1" applyBorder="1" applyAlignment="1">
      <alignment horizontal="left"/>
    </xf>
    <xf numFmtId="2" fontId="5" fillId="18" borderId="10" xfId="3" applyNumberFormat="1" applyFont="1" applyFill="1" applyBorder="1" applyAlignment="1">
      <alignment horizontal="left"/>
    </xf>
    <xf numFmtId="0" fontId="23" fillId="18" borderId="17" xfId="3" applyFont="1" applyFill="1" applyBorder="1" applyAlignment="1">
      <alignment horizontal="left"/>
    </xf>
    <xf numFmtId="0" fontId="6" fillId="0" borderId="0" xfId="3" applyFont="1" applyProtection="1">
      <protection locked="0"/>
    </xf>
    <xf numFmtId="0" fontId="39" fillId="18" borderId="15" xfId="3" applyFont="1" applyFill="1" applyBorder="1"/>
    <xf numFmtId="2" fontId="39" fillId="18" borderId="15" xfId="3" applyNumberFormat="1" applyFont="1" applyFill="1" applyBorder="1" applyAlignment="1">
      <alignment horizontal="right"/>
    </xf>
    <xf numFmtId="2" fontId="6" fillId="22" borderId="2" xfId="3" applyNumberFormat="1" applyFont="1" applyFill="1" applyBorder="1" applyAlignment="1" applyProtection="1">
      <alignment horizontal="right"/>
      <protection locked="0"/>
    </xf>
    <xf numFmtId="0" fontId="6" fillId="0" borderId="2" xfId="3" applyFont="1" applyBorder="1" applyAlignment="1" applyProtection="1">
      <alignment horizontal="left"/>
      <protection locked="0"/>
    </xf>
    <xf numFmtId="2" fontId="6" fillId="0" borderId="2" xfId="3" applyNumberFormat="1" applyFont="1" applyBorder="1" applyAlignment="1" applyProtection="1">
      <alignment horizontal="right"/>
      <protection locked="0"/>
    </xf>
    <xf numFmtId="0" fontId="6" fillId="0" borderId="0" xfId="3" applyFont="1" applyAlignment="1" applyProtection="1">
      <alignment horizontal="left"/>
      <protection locked="0"/>
    </xf>
    <xf numFmtId="0" fontId="1" fillId="0" borderId="0" xfId="3" applyFont="1" applyAlignment="1" applyProtection="1">
      <alignment horizontal="left"/>
      <protection locked="0"/>
    </xf>
    <xf numFmtId="0" fontId="1" fillId="0" borderId="0" xfId="3" applyFont="1" applyAlignment="1" applyProtection="1">
      <alignment horizontal="right"/>
      <protection locked="0"/>
    </xf>
    <xf numFmtId="0" fontId="6" fillId="0" borderId="0" xfId="3" applyFont="1" applyAlignment="1" applyProtection="1">
      <alignment horizontal="right"/>
      <protection locked="0"/>
    </xf>
    <xf numFmtId="2" fontId="1" fillId="0" borderId="0" xfId="3" applyNumberFormat="1" applyFont="1" applyAlignment="1" applyProtection="1">
      <alignment horizontal="right"/>
      <protection locked="0"/>
    </xf>
    <xf numFmtId="0" fontId="1" fillId="3" borderId="64" xfId="3" applyFont="1" applyFill="1" applyBorder="1" applyAlignment="1" applyProtection="1">
      <alignment horizontal="center"/>
      <protection locked="0"/>
    </xf>
    <xf numFmtId="0" fontId="1" fillId="20" borderId="62" xfId="3" applyFont="1" applyFill="1" applyBorder="1" applyAlignment="1">
      <alignment horizontal="center"/>
    </xf>
    <xf numFmtId="0" fontId="1" fillId="20" borderId="63" xfId="3" applyFont="1" applyFill="1" applyBorder="1" applyAlignment="1">
      <alignment horizontal="center"/>
    </xf>
    <xf numFmtId="0" fontId="1" fillId="3" borderId="3" xfId="3" applyFont="1" applyFill="1" applyBorder="1" applyAlignment="1">
      <alignment horizontal="center" vertical="center"/>
    </xf>
    <xf numFmtId="0" fontId="1" fillId="3" borderId="5" xfId="3" applyFont="1" applyFill="1" applyBorder="1" applyAlignment="1">
      <alignment horizontal="center" vertical="center"/>
    </xf>
    <xf numFmtId="0" fontId="5" fillId="6" borderId="3" xfId="3" applyFont="1" applyFill="1" applyBorder="1" applyAlignment="1" applyProtection="1">
      <alignment horizontal="center"/>
      <protection locked="0"/>
    </xf>
    <xf numFmtId="0" fontId="5" fillId="6" borderId="4" xfId="3" applyFont="1" applyFill="1" applyBorder="1" applyAlignment="1" applyProtection="1">
      <alignment horizontal="center"/>
      <protection locked="0"/>
    </xf>
    <xf numFmtId="2" fontId="6" fillId="22" borderId="2" xfId="3" applyNumberFormat="1" applyFont="1" applyFill="1" applyBorder="1" applyAlignment="1" applyProtection="1">
      <alignment horizontal="left"/>
      <protection locked="0"/>
    </xf>
    <xf numFmtId="0" fontId="39" fillId="7" borderId="15" xfId="3" applyFont="1" applyFill="1" applyBorder="1"/>
    <xf numFmtId="2" fontId="39" fillId="7" borderId="15" xfId="3" applyNumberFormat="1" applyFont="1" applyFill="1" applyBorder="1" applyAlignment="1">
      <alignment horizontal="right"/>
    </xf>
    <xf numFmtId="2" fontId="5" fillId="15" borderId="3" xfId="3" applyNumberFormat="1" applyFont="1" applyFill="1" applyBorder="1" applyAlignment="1" applyProtection="1">
      <alignment horizontal="center"/>
      <protection locked="0"/>
    </xf>
    <xf numFmtId="2" fontId="5" fillId="15" borderId="4" xfId="3" applyNumberFormat="1" applyFont="1" applyFill="1" applyBorder="1" applyAlignment="1" applyProtection="1">
      <alignment horizontal="center"/>
      <protection locked="0"/>
    </xf>
    <xf numFmtId="2" fontId="5" fillId="11" borderId="17" xfId="3" applyNumberFormat="1" applyFont="1" applyFill="1" applyBorder="1" applyAlignment="1" applyProtection="1">
      <alignment horizontal="center"/>
      <protection locked="0"/>
    </xf>
    <xf numFmtId="2" fontId="5" fillId="11" borderId="16" xfId="3" applyNumberFormat="1" applyFont="1" applyFill="1" applyBorder="1" applyAlignment="1" applyProtection="1">
      <alignment horizontal="center"/>
      <protection locked="0"/>
    </xf>
    <xf numFmtId="0" fontId="5" fillId="11" borderId="6" xfId="3" applyFont="1" applyFill="1" applyBorder="1" applyAlignment="1" applyProtection="1">
      <alignment horizontal="center"/>
      <protection locked="0"/>
    </xf>
    <xf numFmtId="0" fontId="5" fillId="11" borderId="7" xfId="3" applyFont="1" applyFill="1" applyBorder="1" applyAlignment="1" applyProtection="1">
      <alignment horizontal="center"/>
      <protection locked="0"/>
    </xf>
    <xf numFmtId="0" fontId="51" fillId="0" borderId="2" xfId="0" applyFont="1" applyBorder="1"/>
    <xf numFmtId="0" fontId="51" fillId="0" borderId="2" xfId="0" applyFont="1" applyBorder="1" applyAlignment="1">
      <alignment horizontal="right"/>
    </xf>
    <xf numFmtId="166" fontId="51" fillId="0" borderId="2" xfId="0" applyNumberFormat="1" applyFont="1" applyBorder="1" applyAlignment="1">
      <alignment horizontal="right"/>
    </xf>
    <xf numFmtId="167" fontId="51" fillId="0" borderId="0" xfId="0" applyNumberFormat="1" applyFont="1" applyAlignment="1">
      <alignment horizontal="right"/>
    </xf>
    <xf numFmtId="0" fontId="37" fillId="5" borderId="3" xfId="3" applyFont="1" applyFill="1" applyBorder="1" applyProtection="1">
      <protection locked="0"/>
    </xf>
    <xf numFmtId="0" fontId="52" fillId="5" borderId="17" xfId="3" applyFont="1" applyFill="1" applyBorder="1" applyProtection="1">
      <protection locked="0"/>
    </xf>
    <xf numFmtId="0" fontId="52" fillId="5" borderId="3" xfId="3" applyFont="1" applyFill="1" applyBorder="1" applyProtection="1">
      <protection locked="0"/>
    </xf>
    <xf numFmtId="0" fontId="53" fillId="5" borderId="17" xfId="3" applyFont="1" applyFill="1" applyBorder="1" applyProtection="1">
      <protection locked="0"/>
    </xf>
    <xf numFmtId="0" fontId="53" fillId="5" borderId="3" xfId="3" applyFont="1" applyFill="1" applyBorder="1" applyProtection="1">
      <protection locked="0"/>
    </xf>
    <xf numFmtId="0" fontId="54" fillId="5" borderId="17" xfId="3" applyFont="1" applyFill="1" applyBorder="1" applyProtection="1">
      <protection locked="0"/>
    </xf>
    <xf numFmtId="0" fontId="55" fillId="5" borderId="17" xfId="3" applyFont="1" applyFill="1" applyBorder="1" applyProtection="1">
      <protection locked="0"/>
    </xf>
    <xf numFmtId="0" fontId="55" fillId="5" borderId="3" xfId="3" applyFont="1" applyFill="1" applyBorder="1" applyProtection="1">
      <protection locked="0"/>
    </xf>
    <xf numFmtId="0" fontId="56" fillId="5" borderId="17" xfId="3" applyFont="1" applyFill="1" applyBorder="1" applyProtection="1">
      <protection locked="0"/>
    </xf>
    <xf numFmtId="0" fontId="54" fillId="5" borderId="17" xfId="3" applyFont="1" applyFill="1" applyBorder="1" applyAlignment="1" applyProtection="1">
      <alignment horizontal="right"/>
      <protection locked="0"/>
    </xf>
    <xf numFmtId="0" fontId="55" fillId="5" borderId="17" xfId="3" applyFont="1" applyFill="1" applyBorder="1" applyAlignment="1" applyProtection="1">
      <alignment horizontal="right"/>
      <protection locked="0"/>
    </xf>
    <xf numFmtId="0" fontId="55" fillId="5" borderId="3" xfId="3" applyFont="1" applyFill="1" applyBorder="1" applyAlignment="1" applyProtection="1">
      <alignment horizontal="right"/>
      <protection locked="0"/>
    </xf>
    <xf numFmtId="0" fontId="1" fillId="3" borderId="1" xfId="3" applyFont="1" applyFill="1" applyBorder="1" applyProtection="1">
      <protection locked="0"/>
    </xf>
    <xf numFmtId="0" fontId="3" fillId="0" borderId="0" xfId="3" applyFont="1" applyProtection="1">
      <protection locked="0"/>
    </xf>
    <xf numFmtId="0" fontId="30" fillId="0" borderId="0" xfId="3" applyFont="1" applyProtection="1">
      <protection locked="0"/>
    </xf>
    <xf numFmtId="0" fontId="6" fillId="0" borderId="2" xfId="3" applyFont="1" applyBorder="1" applyAlignment="1" applyProtection="1">
      <alignment horizontal="left" wrapText="1"/>
      <protection locked="0"/>
    </xf>
    <xf numFmtId="2" fontId="6" fillId="0" borderId="2" xfId="3" applyNumberFormat="1" applyFont="1" applyBorder="1" applyAlignment="1" applyProtection="1">
      <alignment horizontal="right" wrapText="1"/>
      <protection locked="0"/>
    </xf>
    <xf numFmtId="0" fontId="6" fillId="22" borderId="2" xfId="3" applyFont="1" applyFill="1" applyBorder="1" applyAlignment="1" applyProtection="1">
      <alignment horizontal="left"/>
      <protection locked="0"/>
    </xf>
    <xf numFmtId="0" fontId="58" fillId="0" borderId="0" xfId="0" applyFont="1"/>
    <xf numFmtId="0" fontId="0" fillId="3" borderId="0" xfId="0" applyFill="1" applyAlignment="1">
      <alignment horizontal="center"/>
    </xf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1" fillId="3" borderId="0" xfId="0" applyFont="1" applyFill="1" applyAlignment="1">
      <alignment horizontal="left" vertical="top"/>
    </xf>
    <xf numFmtId="0" fontId="5" fillId="3" borderId="3" xfId="0" applyFont="1" applyFill="1" applyBorder="1"/>
    <xf numFmtId="0" fontId="5" fillId="0" borderId="3" xfId="0" applyFont="1" applyBorder="1"/>
    <xf numFmtId="0" fontId="0" fillId="3" borderId="15" xfId="0" applyFill="1" applyBorder="1"/>
    <xf numFmtId="0" fontId="0" fillId="21" borderId="2" xfId="0" applyFill="1" applyBorder="1"/>
    <xf numFmtId="0" fontId="1" fillId="21" borderId="0" xfId="0" applyFont="1" applyFill="1" applyAlignment="1">
      <alignment horizontal="center"/>
    </xf>
    <xf numFmtId="49" fontId="0" fillId="0" borderId="0" xfId="0" applyNumberFormat="1" applyAlignment="1">
      <alignment horizontal="left" vertical="top"/>
    </xf>
    <xf numFmtId="0" fontId="1" fillId="3" borderId="0" xfId="0" applyFont="1" applyFill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right" wrapText="1"/>
    </xf>
    <xf numFmtId="0" fontId="5" fillId="4" borderId="3" xfId="0" applyFont="1" applyFill="1" applyBorder="1" applyAlignment="1" applyProtection="1">
      <alignment horizontal="center" vertical="center"/>
      <protection locked="0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 applyProtection="1">
      <alignment horizontal="center" vertical="center"/>
      <protection locked="0"/>
    </xf>
    <xf numFmtId="0" fontId="1" fillId="6" borderId="2" xfId="0" applyFont="1" applyFill="1" applyBorder="1" applyAlignment="1">
      <alignment horizontal="center"/>
    </xf>
    <xf numFmtId="2" fontId="0" fillId="4" borderId="3" xfId="0" applyNumberFormat="1" applyFill="1" applyBorder="1" applyAlignment="1">
      <alignment horizontal="right"/>
    </xf>
    <xf numFmtId="2" fontId="0" fillId="4" borderId="5" xfId="0" applyNumberFormat="1" applyFill="1" applyBorder="1" applyAlignment="1">
      <alignment horizontal="right"/>
    </xf>
    <xf numFmtId="0" fontId="1" fillId="3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2" fontId="0" fillId="7" borderId="2" xfId="0" applyNumberFormat="1" applyFill="1" applyBorder="1" applyAlignment="1">
      <alignment horizontal="right"/>
    </xf>
    <xf numFmtId="0" fontId="10" fillId="0" borderId="1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2" fillId="4" borderId="3" xfId="0" applyFont="1" applyFill="1" applyBorder="1" applyAlignment="1" applyProtection="1">
      <alignment horizontal="right"/>
      <protection locked="0"/>
    </xf>
    <xf numFmtId="0" fontId="2" fillId="4" borderId="5" xfId="0" applyFont="1" applyFill="1" applyBorder="1" applyAlignment="1" applyProtection="1">
      <alignment horizontal="right"/>
      <protection locked="0"/>
    </xf>
    <xf numFmtId="0" fontId="2" fillId="4" borderId="3" xfId="0" applyFont="1" applyFill="1" applyBorder="1" applyAlignment="1">
      <alignment horizontal="left" vertical="top"/>
    </xf>
    <xf numFmtId="0" fontId="2" fillId="4" borderId="4" xfId="0" applyFont="1" applyFill="1" applyBorder="1" applyAlignment="1">
      <alignment horizontal="left" vertical="top"/>
    </xf>
    <xf numFmtId="0" fontId="2" fillId="4" borderId="5" xfId="0" applyFont="1" applyFill="1" applyBorder="1" applyAlignment="1">
      <alignment horizontal="left" vertical="top"/>
    </xf>
    <xf numFmtId="0" fontId="6" fillId="4" borderId="3" xfId="0" applyFont="1" applyFill="1" applyBorder="1" applyAlignment="1">
      <alignment horizontal="left"/>
    </xf>
    <xf numFmtId="0" fontId="6" fillId="4" borderId="4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left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6" borderId="3" xfId="0" applyFont="1" applyFill="1" applyBorder="1" applyAlignment="1" applyProtection="1">
      <alignment horizontal="center" vertical="center"/>
      <protection locked="0"/>
    </xf>
    <xf numFmtId="0" fontId="1" fillId="6" borderId="4" xfId="0" applyFont="1" applyFill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0" fontId="2" fillId="4" borderId="3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center" vertical="top"/>
    </xf>
    <xf numFmtId="0" fontId="2" fillId="3" borderId="5" xfId="0" applyFont="1" applyFill="1" applyBorder="1" applyAlignment="1">
      <alignment horizontal="center" vertical="top"/>
    </xf>
    <xf numFmtId="0" fontId="1" fillId="3" borderId="15" xfId="0" applyFont="1" applyFill="1" applyBorder="1" applyAlignment="1">
      <alignment horizontal="center"/>
    </xf>
    <xf numFmtId="0" fontId="10" fillId="4" borderId="3" xfId="0" applyFont="1" applyFill="1" applyBorder="1" applyAlignment="1" applyProtection="1">
      <alignment horizontal="center"/>
      <protection locked="0"/>
    </xf>
    <xf numFmtId="0" fontId="10" fillId="4" borderId="4" xfId="0" applyFont="1" applyFill="1" applyBorder="1" applyAlignment="1" applyProtection="1">
      <alignment horizontal="center"/>
      <protection locked="0"/>
    </xf>
    <xf numFmtId="0" fontId="10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>
      <alignment horizontal="right"/>
    </xf>
    <xf numFmtId="0" fontId="2" fillId="4" borderId="5" xfId="0" applyFont="1" applyFill="1" applyBorder="1" applyAlignment="1">
      <alignment horizontal="right"/>
    </xf>
    <xf numFmtId="0" fontId="1" fillId="6" borderId="20" xfId="3" applyFont="1" applyFill="1" applyBorder="1" applyAlignment="1" applyProtection="1">
      <alignment horizontal="center"/>
      <protection locked="0"/>
    </xf>
    <xf numFmtId="0" fontId="1" fillId="6" borderId="0" xfId="3" applyFont="1" applyFill="1" applyAlignment="1" applyProtection="1">
      <alignment horizontal="center"/>
      <protection locked="0"/>
    </xf>
    <xf numFmtId="0" fontId="1" fillId="3" borderId="2" xfId="0" applyFont="1" applyFill="1" applyBorder="1" applyAlignment="1">
      <alignment horizontal="center"/>
    </xf>
    <xf numFmtId="0" fontId="16" fillId="3" borderId="17" xfId="3" applyFont="1" applyFill="1" applyBorder="1" applyAlignment="1">
      <alignment horizontal="center" vertical="center"/>
    </xf>
    <xf numFmtId="0" fontId="16" fillId="3" borderId="16" xfId="3" applyFont="1" applyFill="1" applyBorder="1" applyAlignment="1">
      <alignment horizontal="center" vertical="center"/>
    </xf>
    <xf numFmtId="0" fontId="16" fillId="3" borderId="18" xfId="3" applyFont="1" applyFill="1" applyBorder="1" applyAlignment="1">
      <alignment horizontal="center" vertical="center"/>
    </xf>
    <xf numFmtId="0" fontId="16" fillId="3" borderId="20" xfId="3" applyFont="1" applyFill="1" applyBorder="1" applyAlignment="1">
      <alignment horizontal="center" vertical="center"/>
    </xf>
    <xf numFmtId="0" fontId="16" fillId="3" borderId="0" xfId="3" applyFont="1" applyFill="1" applyAlignment="1">
      <alignment horizontal="center" vertical="center"/>
    </xf>
    <xf numFmtId="0" fontId="16" fillId="3" borderId="22" xfId="3" applyFont="1" applyFill="1" applyBorder="1" applyAlignment="1">
      <alignment horizontal="center" vertical="center"/>
    </xf>
    <xf numFmtId="0" fontId="16" fillId="3" borderId="2" xfId="3" applyFont="1" applyFill="1" applyBorder="1" applyAlignment="1">
      <alignment horizontal="center" vertical="center"/>
    </xf>
    <xf numFmtId="0" fontId="1" fillId="9" borderId="20" xfId="3" applyFont="1" applyFill="1" applyBorder="1" applyAlignment="1">
      <alignment horizontal="center" vertical="center"/>
    </xf>
    <xf numFmtId="0" fontId="1" fillId="9" borderId="0" xfId="3" applyFont="1" applyFill="1" applyAlignment="1">
      <alignment horizontal="center" vertical="center"/>
    </xf>
    <xf numFmtId="0" fontId="1" fillId="9" borderId="24" xfId="3" applyFont="1" applyFill="1" applyBorder="1" applyAlignment="1">
      <alignment horizontal="center" vertical="center"/>
    </xf>
    <xf numFmtId="0" fontId="1" fillId="9" borderId="26" xfId="3" applyFont="1" applyFill="1" applyBorder="1" applyAlignment="1">
      <alignment horizontal="center" vertical="center"/>
    </xf>
    <xf numFmtId="0" fontId="1" fillId="9" borderId="27" xfId="3" applyFont="1" applyFill="1" applyBorder="1" applyAlignment="1">
      <alignment horizontal="center" vertical="center"/>
    </xf>
    <xf numFmtId="0" fontId="1" fillId="9" borderId="28" xfId="3" applyFont="1" applyFill="1" applyBorder="1" applyAlignment="1">
      <alignment horizontal="center" vertical="center"/>
    </xf>
    <xf numFmtId="0" fontId="1" fillId="9" borderId="25" xfId="3" applyFont="1" applyFill="1" applyBorder="1" applyAlignment="1">
      <alignment horizontal="center" vertical="center"/>
    </xf>
    <xf numFmtId="0" fontId="1" fillId="9" borderId="22" xfId="3" applyFont="1" applyFill="1" applyBorder="1" applyAlignment="1">
      <alignment horizontal="center" vertical="center"/>
    </xf>
    <xf numFmtId="0" fontId="1" fillId="9" borderId="29" xfId="3" applyFont="1" applyFill="1" applyBorder="1" applyAlignment="1">
      <alignment horizontal="center" vertical="center"/>
    </xf>
    <xf numFmtId="0" fontId="1" fillId="9" borderId="30" xfId="3" applyFont="1" applyFill="1" applyBorder="1" applyAlignment="1">
      <alignment horizontal="center" vertical="center"/>
    </xf>
    <xf numFmtId="0" fontId="1" fillId="9" borderId="37" xfId="3" applyFont="1" applyFill="1" applyBorder="1" applyAlignment="1">
      <alignment horizontal="center" vertical="center"/>
    </xf>
    <xf numFmtId="0" fontId="1" fillId="9" borderId="38" xfId="3" applyFont="1" applyFill="1" applyBorder="1" applyAlignment="1">
      <alignment horizontal="center" vertical="center"/>
    </xf>
    <xf numFmtId="0" fontId="1" fillId="9" borderId="39" xfId="3" applyFont="1" applyFill="1" applyBorder="1" applyAlignment="1">
      <alignment horizontal="center" vertical="center"/>
    </xf>
    <xf numFmtId="0" fontId="5" fillId="11" borderId="2" xfId="3" applyFont="1" applyFill="1" applyBorder="1" applyAlignment="1">
      <alignment horizontal="center"/>
    </xf>
    <xf numFmtId="0" fontId="1" fillId="9" borderId="40" xfId="3" applyFont="1" applyFill="1" applyBorder="1" applyAlignment="1">
      <alignment horizontal="center" vertical="center"/>
    </xf>
    <xf numFmtId="0" fontId="1" fillId="9" borderId="41" xfId="3" applyFont="1" applyFill="1" applyBorder="1" applyAlignment="1">
      <alignment horizontal="center" vertical="center"/>
    </xf>
    <xf numFmtId="0" fontId="1" fillId="9" borderId="42" xfId="3" applyFont="1" applyFill="1" applyBorder="1" applyAlignment="1">
      <alignment horizontal="center" vertical="center"/>
    </xf>
    <xf numFmtId="0" fontId="1" fillId="9" borderId="45" xfId="3" applyFont="1" applyFill="1" applyBorder="1" applyAlignment="1">
      <alignment horizontal="center" vertical="center"/>
    </xf>
    <xf numFmtId="0" fontId="1" fillId="9" borderId="46" xfId="3" applyFont="1" applyFill="1" applyBorder="1" applyAlignment="1">
      <alignment horizontal="center" vertical="center"/>
    </xf>
    <xf numFmtId="0" fontId="1" fillId="9" borderId="47" xfId="3" applyFont="1" applyFill="1" applyBorder="1" applyAlignment="1">
      <alignment horizontal="center" vertical="center"/>
    </xf>
    <xf numFmtId="0" fontId="1" fillId="9" borderId="43" xfId="3" applyFont="1" applyFill="1" applyBorder="1" applyAlignment="1">
      <alignment horizontal="center" vertical="center"/>
    </xf>
    <xf numFmtId="0" fontId="1" fillId="9" borderId="44" xfId="3" applyFont="1" applyFill="1" applyBorder="1" applyAlignment="1">
      <alignment horizontal="center" vertical="center"/>
    </xf>
    <xf numFmtId="0" fontId="1" fillId="9" borderId="48" xfId="3" applyFont="1" applyFill="1" applyBorder="1" applyAlignment="1">
      <alignment horizontal="center" vertical="center"/>
    </xf>
    <xf numFmtId="0" fontId="1" fillId="9" borderId="49" xfId="3" applyFont="1" applyFill="1" applyBorder="1" applyAlignment="1">
      <alignment horizontal="center" vertical="center"/>
    </xf>
    <xf numFmtId="0" fontId="1" fillId="9" borderId="20" xfId="3" applyFont="1" applyFill="1" applyBorder="1" applyAlignment="1">
      <alignment horizontal="left" indent="1"/>
    </xf>
    <xf numFmtId="0" fontId="1" fillId="9" borderId="0" xfId="3" applyFont="1" applyFill="1" applyAlignment="1">
      <alignment horizontal="left" indent="1"/>
    </xf>
    <xf numFmtId="0" fontId="1" fillId="9" borderId="58" xfId="3" applyFont="1" applyFill="1" applyBorder="1" applyAlignment="1">
      <alignment horizontal="left" indent="1"/>
    </xf>
    <xf numFmtId="0" fontId="1" fillId="9" borderId="50" xfId="3" applyFont="1" applyFill="1" applyBorder="1" applyAlignment="1">
      <alignment horizontal="left" indent="1"/>
    </xf>
    <xf numFmtId="0" fontId="1" fillId="9" borderId="51" xfId="3" applyFont="1" applyFill="1" applyBorder="1" applyAlignment="1">
      <alignment horizontal="left" indent="1"/>
    </xf>
    <xf numFmtId="0" fontId="1" fillId="9" borderId="52" xfId="3" applyFont="1" applyFill="1" applyBorder="1" applyAlignment="1">
      <alignment horizontal="left" indent="1"/>
    </xf>
    <xf numFmtId="0" fontId="1" fillId="9" borderId="37" xfId="3" applyFont="1" applyFill="1" applyBorder="1" applyAlignment="1">
      <alignment horizontal="left" indent="1"/>
    </xf>
    <xf numFmtId="0" fontId="1" fillId="9" borderId="38" xfId="3" applyFont="1" applyFill="1" applyBorder="1" applyAlignment="1">
      <alignment horizontal="left" indent="1"/>
    </xf>
    <xf numFmtId="0" fontId="1" fillId="9" borderId="53" xfId="3" applyFont="1" applyFill="1" applyBorder="1" applyAlignment="1">
      <alignment horizontal="left" indent="1"/>
    </xf>
    <xf numFmtId="0" fontId="1" fillId="3" borderId="6" xfId="3" applyFont="1" applyFill="1" applyBorder="1" applyAlignment="1">
      <alignment horizontal="left" indent="1"/>
    </xf>
    <xf numFmtId="0" fontId="1" fillId="3" borderId="7" xfId="3" applyFont="1" applyFill="1" applyBorder="1" applyAlignment="1">
      <alignment horizontal="left" indent="1"/>
    </xf>
    <xf numFmtId="0" fontId="1" fillId="3" borderId="0" xfId="3" applyFont="1" applyFill="1" applyAlignment="1">
      <alignment horizontal="left" indent="1"/>
    </xf>
    <xf numFmtId="0" fontId="1" fillId="9" borderId="0" xfId="3" applyFont="1" applyFill="1" applyAlignment="1">
      <alignment horizontal="left" vertical="top" indent="1"/>
    </xf>
    <xf numFmtId="0" fontId="5" fillId="11" borderId="20" xfId="3" applyFont="1" applyFill="1" applyBorder="1" applyAlignment="1">
      <alignment horizontal="center"/>
    </xf>
    <xf numFmtId="0" fontId="5" fillId="11" borderId="0" xfId="3" applyFont="1" applyFill="1" applyAlignment="1">
      <alignment horizontal="center"/>
    </xf>
    <xf numFmtId="0" fontId="5" fillId="11" borderId="22" xfId="3" applyFont="1" applyFill="1" applyBorder="1" applyAlignment="1">
      <alignment horizontal="center"/>
    </xf>
    <xf numFmtId="0" fontId="2" fillId="4" borderId="3" xfId="3" applyFont="1" applyFill="1" applyBorder="1" applyAlignment="1">
      <alignment horizontal="center"/>
    </xf>
    <xf numFmtId="0" fontId="2" fillId="4" borderId="5" xfId="3" applyFont="1" applyFill="1" applyBorder="1" applyAlignment="1">
      <alignment horizontal="center"/>
    </xf>
    <xf numFmtId="1" fontId="2" fillId="4" borderId="3" xfId="3" applyNumberFormat="1" applyFont="1" applyFill="1" applyBorder="1" applyAlignment="1">
      <alignment horizontal="center"/>
    </xf>
    <xf numFmtId="1" fontId="2" fillId="4" borderId="5" xfId="3" applyNumberFormat="1" applyFont="1" applyFill="1" applyBorder="1" applyAlignment="1">
      <alignment horizontal="center"/>
    </xf>
    <xf numFmtId="0" fontId="16" fillId="6" borderId="7" xfId="3" applyFont="1" applyFill="1" applyBorder="1" applyAlignment="1">
      <alignment horizontal="center" vertical="center"/>
    </xf>
    <xf numFmtId="0" fontId="16" fillId="6" borderId="23" xfId="3" applyFont="1" applyFill="1" applyBorder="1" applyAlignment="1">
      <alignment horizontal="center" vertical="center"/>
    </xf>
    <xf numFmtId="0" fontId="1" fillId="9" borderId="10" xfId="3" applyFont="1" applyFill="1" applyBorder="1" applyAlignment="1">
      <alignment horizontal="center" vertical="center"/>
    </xf>
    <xf numFmtId="0" fontId="1" fillId="3" borderId="6" xfId="3" applyFont="1" applyFill="1" applyBorder="1" applyAlignment="1">
      <alignment horizontal="center" vertical="center"/>
    </xf>
    <xf numFmtId="0" fontId="1" fillId="3" borderId="7" xfId="3" applyFont="1" applyFill="1" applyBorder="1" applyAlignment="1">
      <alignment horizontal="center" vertical="center"/>
    </xf>
    <xf numFmtId="0" fontId="1" fillId="20" borderId="3" xfId="3" applyFont="1" applyFill="1" applyBorder="1" applyAlignment="1" applyProtection="1">
      <alignment horizontal="center"/>
      <protection locked="0"/>
    </xf>
    <xf numFmtId="0" fontId="1" fillId="20" borderId="5" xfId="3" applyFont="1" applyFill="1" applyBorder="1" applyAlignment="1" applyProtection="1">
      <alignment horizontal="center"/>
      <protection locked="0"/>
    </xf>
    <xf numFmtId="0" fontId="1" fillId="3" borderId="3" xfId="3" applyFont="1" applyFill="1" applyBorder="1" applyAlignment="1">
      <alignment horizontal="center" vertical="center"/>
    </xf>
    <xf numFmtId="0" fontId="1" fillId="3" borderId="5" xfId="3" applyFont="1" applyFill="1" applyBorder="1" applyAlignment="1">
      <alignment horizontal="center" vertical="center"/>
    </xf>
    <xf numFmtId="0" fontId="2" fillId="8" borderId="2" xfId="3" applyFont="1" applyFill="1" applyBorder="1" applyAlignment="1">
      <alignment horizontal="center" vertical="center"/>
    </xf>
    <xf numFmtId="0" fontId="2" fillId="4" borderId="2" xfId="3" applyFont="1" applyFill="1" applyBorder="1" applyAlignment="1">
      <alignment horizontal="center"/>
    </xf>
    <xf numFmtId="0" fontId="2" fillId="8" borderId="3" xfId="3" applyFont="1" applyFill="1" applyBorder="1" applyAlignment="1">
      <alignment horizontal="center" vertical="center"/>
    </xf>
    <xf numFmtId="0" fontId="2" fillId="8" borderId="5" xfId="3" applyFont="1" applyFill="1" applyBorder="1" applyAlignment="1">
      <alignment horizontal="center" vertical="center"/>
    </xf>
    <xf numFmtId="1" fontId="6" fillId="4" borderId="2" xfId="3" applyNumberFormat="1" applyFont="1" applyFill="1" applyBorder="1" applyAlignment="1">
      <alignment horizontal="center"/>
    </xf>
    <xf numFmtId="0" fontId="1" fillId="3" borderId="17" xfId="3" applyFont="1" applyFill="1" applyBorder="1" applyAlignment="1">
      <alignment horizontal="center" vertical="center"/>
    </xf>
    <xf numFmtId="0" fontId="1" fillId="3" borderId="16" xfId="3" applyFont="1" applyFill="1" applyBorder="1" applyAlignment="1">
      <alignment horizontal="center" vertical="center"/>
    </xf>
    <xf numFmtId="1" fontId="6" fillId="4" borderId="3" xfId="3" applyNumberFormat="1" applyFont="1" applyFill="1" applyBorder="1" applyAlignment="1">
      <alignment horizontal="center"/>
    </xf>
    <xf numFmtId="1" fontId="6" fillId="4" borderId="5" xfId="3" applyNumberFormat="1" applyFont="1" applyFill="1" applyBorder="1" applyAlignment="1">
      <alignment horizontal="center"/>
    </xf>
    <xf numFmtId="0" fontId="35" fillId="3" borderId="0" xfId="3" applyFont="1" applyFill="1" applyAlignment="1" applyProtection="1">
      <alignment horizontal="right"/>
      <protection locked="0"/>
    </xf>
    <xf numFmtId="2" fontId="35" fillId="3" borderId="16" xfId="3" applyNumberFormat="1" applyFont="1" applyFill="1" applyBorder="1" applyAlignment="1" applyProtection="1">
      <alignment horizontal="center"/>
      <protection locked="0"/>
    </xf>
    <xf numFmtId="2" fontId="1" fillId="9" borderId="56" xfId="3" applyNumberFormat="1" applyFont="1" applyFill="1" applyBorder="1" applyAlignment="1" applyProtection="1">
      <alignment horizontal="left" indent="1"/>
      <protection locked="0"/>
    </xf>
    <xf numFmtId="2" fontId="1" fillId="9" borderId="57" xfId="3" applyNumberFormat="1" applyFont="1" applyFill="1" applyBorder="1" applyAlignment="1" applyProtection="1">
      <alignment horizontal="left" indent="1"/>
      <protection locked="0"/>
    </xf>
    <xf numFmtId="2" fontId="1" fillId="9" borderId="50" xfId="3" applyNumberFormat="1" applyFont="1" applyFill="1" applyBorder="1" applyAlignment="1" applyProtection="1">
      <alignment horizontal="left" indent="1"/>
      <protection locked="0"/>
    </xf>
    <xf numFmtId="2" fontId="1" fillId="9" borderId="51" xfId="3" applyNumberFormat="1" applyFont="1" applyFill="1" applyBorder="1" applyAlignment="1" applyProtection="1">
      <alignment horizontal="left" indent="1"/>
      <protection locked="0"/>
    </xf>
    <xf numFmtId="2" fontId="1" fillId="9" borderId="66" xfId="3" applyNumberFormat="1" applyFont="1" applyFill="1" applyBorder="1" applyAlignment="1" applyProtection="1">
      <alignment horizontal="left" indent="1"/>
      <protection locked="0"/>
    </xf>
    <xf numFmtId="2" fontId="1" fillId="9" borderId="67" xfId="3" applyNumberFormat="1" applyFont="1" applyFill="1" applyBorder="1" applyAlignment="1" applyProtection="1">
      <alignment horizontal="left" indent="1"/>
      <protection locked="0"/>
    </xf>
    <xf numFmtId="2" fontId="1" fillId="9" borderId="37" xfId="3" applyNumberFormat="1" applyFont="1" applyFill="1" applyBorder="1" applyAlignment="1" applyProtection="1">
      <alignment horizontal="left" indent="1"/>
      <protection locked="0"/>
    </xf>
    <xf numFmtId="2" fontId="1" fillId="9" borderId="38" xfId="3" applyNumberFormat="1" applyFont="1" applyFill="1" applyBorder="1" applyAlignment="1" applyProtection="1">
      <alignment horizontal="left" indent="1"/>
      <protection locked="0"/>
    </xf>
    <xf numFmtId="2" fontId="1" fillId="9" borderId="65" xfId="3" applyNumberFormat="1" applyFont="1" applyFill="1" applyBorder="1" applyAlignment="1" applyProtection="1">
      <alignment horizontal="left" indent="1"/>
      <protection locked="0"/>
    </xf>
    <xf numFmtId="2" fontId="1" fillId="9" borderId="20" xfId="3" applyNumberFormat="1" applyFont="1" applyFill="1" applyBorder="1" applyAlignment="1" applyProtection="1">
      <alignment horizontal="left" indent="1"/>
      <protection locked="0"/>
    </xf>
    <xf numFmtId="2" fontId="1" fillId="9" borderId="0" xfId="3" applyNumberFormat="1" applyFont="1" applyFill="1" applyAlignment="1" applyProtection="1">
      <alignment horizontal="left" indent="1"/>
      <protection locked="0"/>
    </xf>
    <xf numFmtId="2" fontId="5" fillId="15" borderId="3" xfId="3" applyNumberFormat="1" applyFont="1" applyFill="1" applyBorder="1" applyAlignment="1" applyProtection="1">
      <alignment horizontal="center"/>
      <protection locked="0"/>
    </xf>
    <xf numFmtId="2" fontId="5" fillId="15" borderId="4" xfId="3" applyNumberFormat="1" applyFont="1" applyFill="1" applyBorder="1" applyAlignment="1" applyProtection="1">
      <alignment horizontal="center"/>
      <protection locked="0"/>
    </xf>
    <xf numFmtId="2" fontId="5" fillId="11" borderId="17" xfId="3" applyNumberFormat="1" applyFont="1" applyFill="1" applyBorder="1" applyAlignment="1" applyProtection="1">
      <alignment horizontal="center"/>
      <protection locked="0"/>
    </xf>
    <xf numFmtId="2" fontId="5" fillId="11" borderId="16" xfId="3" applyNumberFormat="1" applyFont="1" applyFill="1" applyBorder="1" applyAlignment="1" applyProtection="1">
      <alignment horizontal="center"/>
      <protection locked="0"/>
    </xf>
    <xf numFmtId="0" fontId="16" fillId="3" borderId="20" xfId="3" applyFont="1" applyFill="1" applyBorder="1" applyAlignment="1" applyProtection="1">
      <alignment horizontal="center" vertical="center"/>
      <protection locked="0"/>
    </xf>
    <xf numFmtId="0" fontId="16" fillId="3" borderId="0" xfId="3" applyFont="1" applyFill="1" applyAlignment="1" applyProtection="1">
      <alignment horizontal="center" vertical="center"/>
      <protection locked="0"/>
    </xf>
    <xf numFmtId="0" fontId="5" fillId="11" borderId="6" xfId="3" applyFont="1" applyFill="1" applyBorder="1" applyAlignment="1" applyProtection="1">
      <alignment horizontal="center"/>
      <protection locked="0"/>
    </xf>
    <xf numFmtId="0" fontId="5" fillId="11" borderId="7" xfId="3" applyFont="1" applyFill="1" applyBorder="1" applyAlignment="1" applyProtection="1">
      <alignment horizontal="center"/>
      <protection locked="0"/>
    </xf>
    <xf numFmtId="2" fontId="1" fillId="9" borderId="22" xfId="3" applyNumberFormat="1" applyFont="1" applyFill="1" applyBorder="1" applyAlignment="1" applyProtection="1">
      <alignment horizontal="left" indent="1"/>
      <protection locked="0"/>
    </xf>
    <xf numFmtId="0" fontId="1" fillId="9" borderId="17" xfId="3" applyFont="1" applyFill="1" applyBorder="1" applyAlignment="1" applyProtection="1">
      <alignment horizontal="center" vertical="center"/>
      <protection locked="0"/>
    </xf>
    <xf numFmtId="0" fontId="1" fillId="9" borderId="16" xfId="3" applyFont="1" applyFill="1" applyBorder="1" applyAlignment="1" applyProtection="1">
      <alignment horizontal="center" vertical="center"/>
      <protection locked="0"/>
    </xf>
    <xf numFmtId="0" fontId="1" fillId="9" borderId="18" xfId="3" applyFont="1" applyFill="1" applyBorder="1" applyAlignment="1" applyProtection="1">
      <alignment horizontal="center" vertical="center"/>
      <protection locked="0"/>
    </xf>
    <xf numFmtId="0" fontId="1" fillId="9" borderId="6" xfId="3" applyFont="1" applyFill="1" applyBorder="1" applyAlignment="1" applyProtection="1">
      <alignment horizontal="center" vertical="center"/>
      <protection locked="0"/>
    </xf>
    <xf numFmtId="0" fontId="1" fillId="9" borderId="7" xfId="3" applyFont="1" applyFill="1" applyBorder="1" applyAlignment="1" applyProtection="1">
      <alignment horizontal="center" vertical="center"/>
      <protection locked="0"/>
    </xf>
    <xf numFmtId="0" fontId="1" fillId="9" borderId="23" xfId="3" applyFont="1" applyFill="1" applyBorder="1" applyAlignment="1" applyProtection="1">
      <alignment horizontal="center" vertical="center"/>
      <protection locked="0"/>
    </xf>
    <xf numFmtId="0" fontId="1" fillId="9" borderId="20" xfId="3" applyFont="1" applyFill="1" applyBorder="1" applyAlignment="1" applyProtection="1">
      <alignment horizontal="center" vertical="center"/>
      <protection locked="0"/>
    </xf>
    <xf numFmtId="0" fontId="1" fillId="9" borderId="0" xfId="3" applyFont="1" applyFill="1" applyAlignment="1" applyProtection="1">
      <alignment horizontal="center" vertical="center"/>
      <protection locked="0"/>
    </xf>
    <xf numFmtId="0" fontId="1" fillId="9" borderId="22" xfId="3" applyFont="1" applyFill="1" applyBorder="1" applyAlignment="1" applyProtection="1">
      <alignment horizontal="center" vertical="center"/>
      <protection locked="0"/>
    </xf>
    <xf numFmtId="0" fontId="5" fillId="11" borderId="20" xfId="3" applyFont="1" applyFill="1" applyBorder="1" applyAlignment="1" applyProtection="1">
      <alignment horizontal="center"/>
      <protection locked="0"/>
    </xf>
    <xf numFmtId="0" fontId="5" fillId="11" borderId="0" xfId="3" applyFont="1" applyFill="1" applyAlignment="1" applyProtection="1">
      <alignment horizontal="center"/>
      <protection locked="0"/>
    </xf>
    <xf numFmtId="2" fontId="1" fillId="3" borderId="6" xfId="3" applyNumberFormat="1" applyFont="1" applyFill="1" applyBorder="1" applyAlignment="1" applyProtection="1">
      <alignment horizontal="left" indent="1"/>
      <protection locked="0"/>
    </xf>
    <xf numFmtId="2" fontId="1" fillId="3" borderId="7" xfId="3" applyNumberFormat="1" applyFont="1" applyFill="1" applyBorder="1" applyAlignment="1" applyProtection="1">
      <alignment horizontal="left" indent="1"/>
      <protection locked="0"/>
    </xf>
    <xf numFmtId="2" fontId="1" fillId="9" borderId="20" xfId="3" applyNumberFormat="1" applyFont="1" applyFill="1" applyBorder="1" applyAlignment="1" applyProtection="1">
      <alignment horizontal="center"/>
      <protection locked="0"/>
    </xf>
    <xf numFmtId="2" fontId="1" fillId="9" borderId="0" xfId="3" applyNumberFormat="1" applyFont="1" applyFill="1" applyAlignment="1" applyProtection="1">
      <alignment horizontal="center"/>
      <protection locked="0"/>
    </xf>
    <xf numFmtId="2" fontId="1" fillId="9" borderId="22" xfId="3" applyNumberFormat="1" applyFont="1" applyFill="1" applyBorder="1" applyAlignment="1" applyProtection="1">
      <alignment horizontal="center"/>
      <protection locked="0"/>
    </xf>
    <xf numFmtId="1" fontId="1" fillId="3" borderId="20" xfId="3" applyNumberFormat="1" applyFont="1" applyFill="1" applyBorder="1" applyAlignment="1" applyProtection="1">
      <alignment horizontal="center"/>
      <protection locked="0"/>
    </xf>
    <xf numFmtId="1" fontId="1" fillId="3" borderId="0" xfId="3" applyNumberFormat="1" applyFont="1" applyFill="1" applyAlignment="1" applyProtection="1">
      <alignment horizontal="center"/>
      <protection locked="0"/>
    </xf>
    <xf numFmtId="1" fontId="1" fillId="3" borderId="22" xfId="3" applyNumberFormat="1" applyFont="1" applyFill="1" applyBorder="1" applyAlignment="1" applyProtection="1">
      <alignment horizontal="center"/>
      <protection locked="0"/>
    </xf>
    <xf numFmtId="2" fontId="1" fillId="9" borderId="17" xfId="3" applyNumberFormat="1" applyFont="1" applyFill="1" applyBorder="1" applyAlignment="1" applyProtection="1">
      <alignment horizontal="center"/>
      <protection locked="0"/>
    </xf>
    <xf numFmtId="2" fontId="1" fillId="9" borderId="16" xfId="3" applyNumberFormat="1" applyFont="1" applyFill="1" applyBorder="1" applyAlignment="1" applyProtection="1">
      <alignment horizontal="center"/>
      <protection locked="0"/>
    </xf>
    <xf numFmtId="2" fontId="1" fillId="9" borderId="18" xfId="3" applyNumberFormat="1" applyFont="1" applyFill="1" applyBorder="1" applyAlignment="1" applyProtection="1">
      <alignment horizontal="center"/>
      <protection locked="0"/>
    </xf>
    <xf numFmtId="2" fontId="1" fillId="9" borderId="6" xfId="3" applyNumberFormat="1" applyFont="1" applyFill="1" applyBorder="1" applyAlignment="1" applyProtection="1">
      <alignment horizontal="left" indent="1"/>
      <protection locked="0"/>
    </xf>
    <xf numFmtId="2" fontId="1" fillId="9" borderId="23" xfId="3" applyNumberFormat="1" applyFont="1" applyFill="1" applyBorder="1" applyAlignment="1" applyProtection="1">
      <alignment horizontal="left" indent="1"/>
      <protection locked="0"/>
    </xf>
    <xf numFmtId="2" fontId="1" fillId="9" borderId="17" xfId="3" applyNumberFormat="1" applyFont="1" applyFill="1" applyBorder="1" applyAlignment="1" applyProtection="1">
      <alignment horizontal="left" indent="1"/>
      <protection locked="0"/>
    </xf>
    <xf numFmtId="2" fontId="1" fillId="9" borderId="18" xfId="3" applyNumberFormat="1" applyFont="1" applyFill="1" applyBorder="1" applyAlignment="1" applyProtection="1">
      <alignment horizontal="left" indent="1"/>
      <protection locked="0"/>
    </xf>
    <xf numFmtId="1" fontId="1" fillId="3" borderId="6" xfId="3" applyNumberFormat="1" applyFont="1" applyFill="1" applyBorder="1" applyAlignment="1" applyProtection="1">
      <alignment horizontal="center"/>
      <protection locked="0"/>
    </xf>
    <xf numFmtId="1" fontId="1" fillId="3" borderId="7" xfId="3" applyNumberFormat="1" applyFont="1" applyFill="1" applyBorder="1" applyAlignment="1" applyProtection="1">
      <alignment horizontal="center"/>
      <protection locked="0"/>
    </xf>
    <xf numFmtId="1" fontId="1" fillId="3" borderId="23" xfId="3" applyNumberFormat="1" applyFont="1" applyFill="1" applyBorder="1" applyAlignment="1" applyProtection="1">
      <alignment horizontal="center"/>
      <protection locked="0"/>
    </xf>
    <xf numFmtId="2" fontId="35" fillId="3" borderId="0" xfId="3" applyNumberFormat="1" applyFont="1" applyFill="1" applyAlignment="1" applyProtection="1">
      <alignment horizontal="center"/>
      <protection locked="0"/>
    </xf>
    <xf numFmtId="0" fontId="1" fillId="3" borderId="0" xfId="3" applyFont="1" applyFill="1" applyAlignment="1" applyProtection="1">
      <alignment horizontal="center" vertical="center"/>
      <protection locked="0"/>
    </xf>
    <xf numFmtId="0" fontId="1" fillId="3" borderId="24" xfId="3" applyFont="1" applyFill="1" applyBorder="1" applyAlignment="1" applyProtection="1">
      <alignment horizontal="center" vertical="center"/>
      <protection locked="0"/>
    </xf>
    <xf numFmtId="0" fontId="1" fillId="3" borderId="20" xfId="3" applyFont="1" applyFill="1" applyBorder="1" applyAlignment="1" applyProtection="1">
      <alignment horizontal="center" vertical="center"/>
      <protection locked="0"/>
    </xf>
    <xf numFmtId="0" fontId="1" fillId="3" borderId="25" xfId="3" applyFont="1" applyFill="1" applyBorder="1" applyAlignment="1" applyProtection="1">
      <alignment horizontal="center" vertical="center"/>
      <protection locked="0"/>
    </xf>
    <xf numFmtId="0" fontId="35" fillId="3" borderId="0" xfId="3" applyFont="1" applyFill="1" applyAlignment="1" applyProtection="1">
      <alignment horizontal="center"/>
      <protection locked="0"/>
    </xf>
    <xf numFmtId="2" fontId="1" fillId="9" borderId="16" xfId="3" applyNumberFormat="1" applyFont="1" applyFill="1" applyBorder="1" applyAlignment="1">
      <alignment horizontal="center"/>
    </xf>
    <xf numFmtId="2" fontId="1" fillId="9" borderId="18" xfId="3" applyNumberFormat="1" applyFont="1" applyFill="1" applyBorder="1" applyAlignment="1">
      <alignment horizontal="center"/>
    </xf>
    <xf numFmtId="0" fontId="1" fillId="9" borderId="60" xfId="3" applyFont="1" applyFill="1" applyBorder="1" applyAlignment="1" applyProtection="1">
      <alignment horizontal="center" vertical="center"/>
      <protection locked="0"/>
    </xf>
    <xf numFmtId="0" fontId="1" fillId="9" borderId="24" xfId="3" applyFont="1" applyFill="1" applyBorder="1" applyAlignment="1" applyProtection="1">
      <alignment horizontal="center" vertical="center"/>
      <protection locked="0"/>
    </xf>
    <xf numFmtId="0" fontId="1" fillId="9" borderId="25" xfId="3" applyFont="1" applyFill="1" applyBorder="1" applyAlignment="1" applyProtection="1">
      <alignment horizontal="center" vertical="center"/>
      <protection locked="0"/>
    </xf>
    <xf numFmtId="2" fontId="2" fillId="8" borderId="2" xfId="3" applyNumberFormat="1" applyFont="1" applyFill="1" applyBorder="1" applyAlignment="1" applyProtection="1">
      <alignment horizontal="center"/>
      <protection locked="0"/>
    </xf>
    <xf numFmtId="2" fontId="1" fillId="9" borderId="20" xfId="3" applyNumberFormat="1" applyFont="1" applyFill="1" applyBorder="1" applyAlignment="1" applyProtection="1">
      <alignment horizontal="right" indent="1"/>
      <protection locked="0"/>
    </xf>
    <xf numFmtId="2" fontId="1" fillId="9" borderId="0" xfId="3" applyNumberFormat="1" applyFont="1" applyFill="1" applyAlignment="1" applyProtection="1">
      <alignment horizontal="right" indent="1"/>
      <protection locked="0"/>
    </xf>
    <xf numFmtId="2" fontId="2" fillId="0" borderId="2" xfId="3" applyNumberFormat="1" applyFont="1" applyBorder="1" applyAlignment="1" applyProtection="1">
      <alignment horizontal="center"/>
      <protection locked="0"/>
    </xf>
    <xf numFmtId="2" fontId="6" fillId="7" borderId="2" xfId="3" applyNumberFormat="1" applyFont="1" applyFill="1" applyBorder="1" applyAlignment="1" applyProtection="1">
      <alignment horizontal="center"/>
      <protection locked="0"/>
    </xf>
    <xf numFmtId="0" fontId="5" fillId="15" borderId="16" xfId="3" applyFont="1" applyFill="1" applyBorder="1" applyAlignment="1" applyProtection="1">
      <alignment horizontal="center"/>
      <protection locked="0"/>
    </xf>
    <xf numFmtId="2" fontId="1" fillId="9" borderId="6" xfId="3" applyNumberFormat="1" applyFont="1" applyFill="1" applyBorder="1" applyAlignment="1" applyProtection="1">
      <alignment horizontal="right"/>
      <protection locked="0"/>
    </xf>
    <xf numFmtId="2" fontId="1" fillId="9" borderId="23" xfId="3" applyNumberFormat="1" applyFont="1" applyFill="1" applyBorder="1" applyAlignment="1" applyProtection="1">
      <alignment horizontal="right"/>
      <protection locked="0"/>
    </xf>
    <xf numFmtId="2" fontId="1" fillId="9" borderId="20" xfId="3" applyNumberFormat="1" applyFont="1" applyFill="1" applyBorder="1" applyAlignment="1" applyProtection="1">
      <alignment horizontal="right"/>
      <protection locked="0"/>
    </xf>
    <xf numFmtId="2" fontId="1" fillId="9" borderId="0" xfId="3" applyNumberFormat="1" applyFont="1" applyFill="1" applyAlignment="1" applyProtection="1">
      <alignment horizontal="right"/>
      <protection locked="0"/>
    </xf>
    <xf numFmtId="0" fontId="5" fillId="11" borderId="23" xfId="3" applyFont="1" applyFill="1" applyBorder="1" applyAlignment="1" applyProtection="1">
      <alignment horizontal="center"/>
      <protection locked="0"/>
    </xf>
    <xf numFmtId="0" fontId="1" fillId="3" borderId="17" xfId="3" applyFont="1" applyFill="1" applyBorder="1" applyAlignment="1" applyProtection="1">
      <alignment horizontal="center" vertical="center"/>
      <protection locked="0"/>
    </xf>
    <xf numFmtId="0" fontId="1" fillId="3" borderId="16" xfId="3" applyFont="1" applyFill="1" applyBorder="1" applyAlignment="1" applyProtection="1">
      <alignment horizontal="center" vertical="center"/>
      <protection locked="0"/>
    </xf>
    <xf numFmtId="0" fontId="1" fillId="3" borderId="18" xfId="3" applyFont="1" applyFill="1" applyBorder="1" applyAlignment="1" applyProtection="1">
      <alignment horizontal="center" vertical="center"/>
      <protection locked="0"/>
    </xf>
    <xf numFmtId="0" fontId="1" fillId="3" borderId="22" xfId="3" applyFont="1" applyFill="1" applyBorder="1" applyAlignment="1" applyProtection="1">
      <alignment horizontal="center" vertical="center"/>
      <protection locked="0"/>
    </xf>
    <xf numFmtId="0" fontId="39" fillId="3" borderId="0" xfId="3" applyFont="1" applyFill="1" applyAlignment="1" applyProtection="1">
      <alignment horizontal="center" vertical="center"/>
      <protection locked="0"/>
    </xf>
    <xf numFmtId="0" fontId="39" fillId="3" borderId="24" xfId="3" applyFont="1" applyFill="1" applyBorder="1" applyAlignment="1" applyProtection="1">
      <alignment horizontal="center" vertical="center"/>
      <protection locked="0"/>
    </xf>
    <xf numFmtId="0" fontId="1" fillId="3" borderId="4" xfId="3" applyFont="1" applyFill="1" applyBorder="1" applyAlignment="1" applyProtection="1">
      <alignment horizontal="center"/>
      <protection locked="0"/>
    </xf>
    <xf numFmtId="2" fontId="6" fillId="0" borderId="2" xfId="3" applyNumberFormat="1" applyFont="1" applyBorder="1" applyAlignment="1" applyProtection="1">
      <alignment horizontal="center"/>
      <protection locked="0"/>
    </xf>
    <xf numFmtId="0" fontId="35" fillId="3" borderId="7" xfId="3" applyFont="1" applyFill="1" applyBorder="1" applyAlignment="1" applyProtection="1">
      <alignment horizontal="right"/>
      <protection locked="0"/>
    </xf>
    <xf numFmtId="2" fontId="35" fillId="21" borderId="4" xfId="3" applyNumberFormat="1" applyFont="1" applyFill="1" applyBorder="1" applyAlignment="1" applyProtection="1">
      <alignment horizontal="center"/>
      <protection locked="0"/>
    </xf>
    <xf numFmtId="2" fontId="35" fillId="21" borderId="5" xfId="3" applyNumberFormat="1" applyFont="1" applyFill="1" applyBorder="1" applyAlignment="1" applyProtection="1">
      <alignment horizontal="center"/>
      <protection locked="0"/>
    </xf>
    <xf numFmtId="0" fontId="35" fillId="21" borderId="0" xfId="3" applyFont="1" applyFill="1" applyAlignment="1" applyProtection="1">
      <alignment horizontal="right"/>
      <protection locked="0"/>
    </xf>
    <xf numFmtId="2" fontId="35" fillId="21" borderId="16" xfId="3" applyNumberFormat="1" applyFont="1" applyFill="1" applyBorder="1" applyAlignment="1" applyProtection="1">
      <alignment horizontal="center"/>
      <protection locked="0"/>
    </xf>
    <xf numFmtId="1" fontId="1" fillId="3" borderId="20" xfId="3" applyNumberFormat="1" applyFont="1" applyFill="1" applyBorder="1" applyAlignment="1">
      <alignment horizontal="center"/>
    </xf>
    <xf numFmtId="1" fontId="1" fillId="3" borderId="0" xfId="3" applyNumberFormat="1" applyFont="1" applyFill="1" applyAlignment="1">
      <alignment horizontal="center"/>
    </xf>
    <xf numFmtId="1" fontId="1" fillId="3" borderId="22" xfId="3" applyNumberFormat="1" applyFont="1" applyFill="1" applyBorder="1" applyAlignment="1">
      <alignment horizontal="center"/>
    </xf>
    <xf numFmtId="1" fontId="1" fillId="3" borderId="2" xfId="3" applyNumberFormat="1" applyFont="1" applyFill="1" applyBorder="1" applyAlignment="1">
      <alignment horizontal="center"/>
    </xf>
    <xf numFmtId="1" fontId="1" fillId="3" borderId="2" xfId="3" applyNumberFormat="1" applyFont="1" applyFill="1" applyBorder="1" applyAlignment="1" applyProtection="1">
      <alignment horizontal="center"/>
      <protection locked="0"/>
    </xf>
    <xf numFmtId="2" fontId="1" fillId="9" borderId="20" xfId="3" applyNumberFormat="1" applyFont="1" applyFill="1" applyBorder="1" applyAlignment="1">
      <alignment horizontal="center"/>
    </xf>
    <xf numFmtId="2" fontId="1" fillId="9" borderId="0" xfId="3" applyNumberFormat="1" applyFont="1" applyFill="1" applyAlignment="1">
      <alignment horizontal="center"/>
    </xf>
    <xf numFmtId="2" fontId="1" fillId="9" borderId="22" xfId="3" applyNumberFormat="1" applyFont="1" applyFill="1" applyBorder="1" applyAlignment="1">
      <alignment horizontal="center"/>
    </xf>
    <xf numFmtId="2" fontId="1" fillId="9" borderId="2" xfId="3" applyNumberFormat="1" applyFont="1" applyFill="1" applyBorder="1" applyAlignment="1">
      <alignment horizontal="center"/>
    </xf>
    <xf numFmtId="2" fontId="1" fillId="9" borderId="2" xfId="3" applyNumberFormat="1" applyFont="1" applyFill="1" applyBorder="1" applyAlignment="1" applyProtection="1">
      <alignment horizontal="center"/>
      <protection locked="0"/>
    </xf>
    <xf numFmtId="2" fontId="1" fillId="9" borderId="17" xfId="3" applyNumberFormat="1" applyFont="1" applyFill="1" applyBorder="1" applyAlignment="1">
      <alignment horizontal="center"/>
    </xf>
    <xf numFmtId="2" fontId="5" fillId="11" borderId="3" xfId="3" applyNumberFormat="1" applyFont="1" applyFill="1" applyBorder="1" applyAlignment="1" applyProtection="1">
      <alignment horizontal="center"/>
      <protection locked="0"/>
    </xf>
    <xf numFmtId="2" fontId="5" fillId="11" borderId="4" xfId="3" applyNumberFormat="1" applyFont="1" applyFill="1" applyBorder="1" applyAlignment="1" applyProtection="1">
      <alignment horizontal="center"/>
      <protection locked="0"/>
    </xf>
    <xf numFmtId="2" fontId="6" fillId="4" borderId="2" xfId="3" applyNumberFormat="1" applyFont="1" applyFill="1" applyBorder="1" applyAlignment="1" applyProtection="1">
      <alignment horizontal="center"/>
      <protection locked="0"/>
    </xf>
    <xf numFmtId="2" fontId="1" fillId="3" borderId="2" xfId="3" applyNumberFormat="1" applyFont="1" applyFill="1" applyBorder="1" applyAlignment="1" applyProtection="1">
      <alignment horizontal="left" indent="1"/>
      <protection locked="0"/>
    </xf>
    <xf numFmtId="1" fontId="1" fillId="3" borderId="3" xfId="3" applyNumberFormat="1" applyFont="1" applyFill="1" applyBorder="1" applyAlignment="1" applyProtection="1">
      <alignment horizontal="center"/>
      <protection locked="0"/>
    </xf>
    <xf numFmtId="1" fontId="1" fillId="3" borderId="4" xfId="3" applyNumberFormat="1" applyFont="1" applyFill="1" applyBorder="1" applyAlignment="1" applyProtection="1">
      <alignment horizontal="center"/>
      <protection locked="0"/>
    </xf>
    <xf numFmtId="1" fontId="1" fillId="3" borderId="5" xfId="3" applyNumberFormat="1" applyFont="1" applyFill="1" applyBorder="1" applyAlignment="1" applyProtection="1">
      <alignment horizontal="center"/>
      <protection locked="0"/>
    </xf>
    <xf numFmtId="2" fontId="35" fillId="3" borderId="4" xfId="3" applyNumberFormat="1" applyFont="1" applyFill="1" applyBorder="1" applyAlignment="1" applyProtection="1">
      <alignment horizontal="center"/>
      <protection locked="0"/>
    </xf>
    <xf numFmtId="0" fontId="16" fillId="3" borderId="6" xfId="3" applyFont="1" applyFill="1" applyBorder="1" applyAlignment="1" applyProtection="1">
      <alignment horizontal="center" vertical="center"/>
      <protection locked="0"/>
    </xf>
    <xf numFmtId="0" fontId="16" fillId="3" borderId="7" xfId="3" applyFont="1" applyFill="1" applyBorder="1" applyAlignment="1" applyProtection="1">
      <alignment horizontal="center" vertical="center"/>
      <protection locked="0"/>
    </xf>
    <xf numFmtId="2" fontId="35" fillId="3" borderId="5" xfId="3" applyNumberFormat="1" applyFont="1" applyFill="1" applyBorder="1" applyAlignment="1" applyProtection="1">
      <alignment horizontal="center"/>
      <protection locked="0"/>
    </xf>
    <xf numFmtId="1" fontId="1" fillId="3" borderId="3" xfId="3" applyNumberFormat="1" applyFont="1" applyFill="1" applyBorder="1" applyAlignment="1">
      <alignment horizontal="center"/>
    </xf>
    <xf numFmtId="1" fontId="1" fillId="3" borderId="4" xfId="3" applyNumberFormat="1" applyFont="1" applyFill="1" applyBorder="1" applyAlignment="1">
      <alignment horizontal="center"/>
    </xf>
    <xf numFmtId="1" fontId="1" fillId="3" borderId="5" xfId="3" applyNumberFormat="1" applyFont="1" applyFill="1" applyBorder="1" applyAlignment="1">
      <alignment horizontal="center"/>
    </xf>
    <xf numFmtId="2" fontId="1" fillId="9" borderId="3" xfId="3" applyNumberFormat="1" applyFont="1" applyFill="1" applyBorder="1" applyAlignment="1">
      <alignment horizontal="center"/>
    </xf>
    <xf numFmtId="2" fontId="1" fillId="9" borderId="4" xfId="3" applyNumberFormat="1" applyFont="1" applyFill="1" applyBorder="1" applyAlignment="1">
      <alignment horizontal="center"/>
    </xf>
    <xf numFmtId="2" fontId="1" fillId="9" borderId="5" xfId="3" applyNumberFormat="1" applyFont="1" applyFill="1" applyBorder="1" applyAlignment="1">
      <alignment horizontal="center"/>
    </xf>
    <xf numFmtId="2" fontId="1" fillId="9" borderId="6" xfId="3" applyNumberFormat="1" applyFont="1" applyFill="1" applyBorder="1" applyAlignment="1">
      <alignment horizontal="center"/>
    </xf>
    <xf numFmtId="2" fontId="1" fillId="9" borderId="7" xfId="3" applyNumberFormat="1" applyFont="1" applyFill="1" applyBorder="1" applyAlignment="1">
      <alignment horizontal="center"/>
    </xf>
    <xf numFmtId="2" fontId="1" fillId="9" borderId="23" xfId="3" applyNumberFormat="1" applyFont="1" applyFill="1" applyBorder="1" applyAlignment="1">
      <alignment horizontal="center"/>
    </xf>
    <xf numFmtId="0" fontId="5" fillId="15" borderId="3" xfId="3" applyFont="1" applyFill="1" applyBorder="1" applyAlignment="1" applyProtection="1">
      <alignment horizontal="center"/>
      <protection locked="0"/>
    </xf>
    <xf numFmtId="0" fontId="5" fillId="15" borderId="4" xfId="3" applyFont="1" applyFill="1" applyBorder="1" applyAlignment="1" applyProtection="1">
      <alignment horizontal="center"/>
      <protection locked="0"/>
    </xf>
    <xf numFmtId="0" fontId="5" fillId="15" borderId="5" xfId="3" applyFont="1" applyFill="1" applyBorder="1" applyAlignment="1" applyProtection="1">
      <alignment horizontal="center"/>
      <protection locked="0"/>
    </xf>
    <xf numFmtId="0" fontId="2" fillId="0" borderId="3" xfId="3" applyFont="1" applyBorder="1" applyAlignment="1" applyProtection="1">
      <alignment horizontal="center" vertical="center"/>
      <protection locked="0"/>
    </xf>
    <xf numFmtId="0" fontId="2" fillId="0" borderId="4" xfId="3" applyFont="1" applyBorder="1" applyAlignment="1" applyProtection="1">
      <alignment horizontal="center" vertical="center"/>
      <protection locked="0"/>
    </xf>
    <xf numFmtId="0" fontId="6" fillId="0" borderId="3" xfId="3" applyFont="1" applyBorder="1" applyAlignment="1" applyProtection="1">
      <alignment horizontal="center" vertical="center"/>
      <protection locked="0"/>
    </xf>
    <xf numFmtId="0" fontId="6" fillId="0" borderId="4" xfId="3" applyFont="1" applyBorder="1" applyAlignment="1" applyProtection="1">
      <alignment horizontal="center" vertical="center"/>
      <protection locked="0"/>
    </xf>
    <xf numFmtId="0" fontId="2" fillId="8" borderId="6" xfId="3" applyFont="1" applyFill="1" applyBorder="1" applyAlignment="1" applyProtection="1">
      <alignment horizontal="center" vertical="center"/>
      <protection locked="0"/>
    </xf>
    <xf numFmtId="0" fontId="2" fillId="8" borderId="7" xfId="3" applyFont="1" applyFill="1" applyBorder="1" applyAlignment="1" applyProtection="1">
      <alignment horizontal="center" vertical="center"/>
      <protection locked="0"/>
    </xf>
    <xf numFmtId="0" fontId="5" fillId="3" borderId="0" xfId="3" applyFont="1" applyFill="1" applyAlignment="1" applyProtection="1">
      <alignment horizontal="center"/>
      <protection locked="0"/>
    </xf>
    <xf numFmtId="0" fontId="1" fillId="3" borderId="10" xfId="3" applyFont="1" applyFill="1" applyBorder="1" applyAlignment="1" applyProtection="1">
      <alignment horizontal="center" vertical="center" textRotation="255"/>
      <protection locked="0"/>
    </xf>
    <xf numFmtId="0" fontId="1" fillId="3" borderId="11" xfId="3" applyFont="1" applyFill="1" applyBorder="1" applyAlignment="1" applyProtection="1">
      <alignment horizontal="center" vertical="center" textRotation="255"/>
      <protection locked="0"/>
    </xf>
    <xf numFmtId="0" fontId="1" fillId="3" borderId="15" xfId="3" applyFont="1" applyFill="1" applyBorder="1" applyAlignment="1" applyProtection="1">
      <alignment horizontal="center" vertical="center" textRotation="255"/>
      <protection locked="0"/>
    </xf>
    <xf numFmtId="0" fontId="16" fillId="3" borderId="22" xfId="3" applyFont="1" applyFill="1" applyBorder="1" applyAlignment="1" applyProtection="1">
      <alignment horizontal="center" vertical="center"/>
      <protection locked="0"/>
    </xf>
    <xf numFmtId="0" fontId="5" fillId="6" borderId="3" xfId="3" applyFont="1" applyFill="1" applyBorder="1" applyAlignment="1">
      <alignment horizontal="center"/>
    </xf>
    <xf numFmtId="0" fontId="5" fillId="6" borderId="5" xfId="3" applyFont="1" applyFill="1" applyBorder="1" applyAlignment="1">
      <alignment horizontal="center"/>
    </xf>
    <xf numFmtId="0" fontId="3" fillId="4" borderId="0" xfId="3" applyFont="1" applyFill="1" applyAlignment="1">
      <alignment horizontal="center"/>
    </xf>
  </cellXfs>
  <cellStyles count="7">
    <cellStyle name="Hyperlink" xfId="1" builtinId="8"/>
    <cellStyle name="Hyperlink 2" xfId="6" xr:uid="{00000000-0005-0000-0000-000001000000}"/>
    <cellStyle name="Normal" xfId="0" builtinId="0"/>
    <cellStyle name="Normal 2" xfId="3" xr:uid="{00000000-0005-0000-0000-000003000000}"/>
    <cellStyle name="Normal 3" xfId="4" xr:uid="{00000000-0005-0000-0000-000004000000}"/>
    <cellStyle name="Normal 4" xfId="5" xr:uid="{00000000-0005-0000-0000-000005000000}"/>
    <cellStyle name="Normal 5" xfId="2" xr:uid="{00000000-0005-0000-0000-000006000000}"/>
  </cellStyles>
  <dxfs count="409"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color theme="0"/>
      </font>
      <numFmt numFmtId="30" formatCode="@"/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DDDDD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DDDDD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DDDDD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DDDDD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DDDDD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DDDDD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rgb="FFDDDDD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DDDDD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DDDDDD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vertAlign val="baseline"/>
        <sz val="11"/>
        <name val="Calibri"/>
        <scheme val="minor"/>
      </font>
      <fill>
        <patternFill>
          <bgColor theme="1"/>
        </patternFill>
      </fill>
      <alignment horizontal="left" vertical="bottom" textRotation="0" wrapText="0" indent="0" justifyLastLine="0" shrinkToFit="0" readingOrder="0"/>
      <protection locked="0" hidden="0"/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/>
        <i val="0"/>
        <color rgb="FF972F2C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numFmt numFmtId="30" formatCode="@"/>
      <fill>
        <patternFill>
          <bgColor theme="1" tint="0.499984740745262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ill>
        <patternFill patternType="solid">
          <fgColor indexed="64"/>
          <bgColor theme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&quot;$&quot;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theme="0" tint="-0.14996795556505021"/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fgColor theme="0" tint="-0.14981536301767021"/>
          <bgColor theme="3" tint="0.79998168889431442"/>
        </patternFill>
      </fill>
    </dxf>
    <dxf>
      <font>
        <color auto="1"/>
      </font>
      <fill>
        <patternFill patternType="solid">
          <fgColor theme="1"/>
          <bgColor theme="0" tint="-0.14996795556505021"/>
        </patternFill>
      </fill>
    </dxf>
    <dxf>
      <font>
        <b/>
        <i val="0"/>
        <color theme="0"/>
      </font>
      <fill>
        <gradientFill degree="270">
          <stop position="0">
            <color theme="3" tint="-0.49803155613879818"/>
          </stop>
          <stop position="1">
            <color theme="1"/>
          </stop>
        </gradientFill>
      </fill>
    </dxf>
    <dxf>
      <font>
        <b/>
        <i val="0"/>
        <color theme="0"/>
      </font>
      <fill>
        <gradientFill degree="270">
          <stop position="0">
            <color theme="1"/>
          </stop>
          <stop position="1">
            <color theme="3" tint="-0.49803155613879818"/>
          </stop>
        </gradientFill>
      </fill>
      <border>
        <left/>
        <right/>
        <top style="medium">
          <color theme="1"/>
        </top>
        <bottom/>
        <vertical/>
      </border>
    </dxf>
    <dxf>
      <font>
        <b/>
        <color theme="0"/>
      </font>
      <fill>
        <gradientFill degree="90">
          <stop position="0">
            <color theme="1"/>
          </stop>
          <stop position="1">
            <color theme="3" tint="-0.49803155613879818"/>
          </stop>
        </gradientFill>
      </fill>
      <border>
        <bottom style="medium">
          <color theme="1"/>
        </bottom>
        <vertical/>
      </border>
    </dxf>
    <dxf>
      <font>
        <color theme="1"/>
      </font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0" tint="-0.24994659260841701"/>
        </vertical>
        <horizontal style="thin">
          <color theme="1"/>
        </horizontal>
      </border>
    </dxf>
    <dxf>
      <fill>
        <patternFill>
          <bgColor rgb="FFDDDDDD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/>
        </patternFill>
      </fill>
    </dxf>
  </dxfs>
  <tableStyles count="3" defaultTableStyle="SLayer" defaultPivotStyle="PivotStyleLight16">
    <tableStyle name="SLayer" pivot="0" count="4" xr9:uid="{00000000-0011-0000-FFFF-FFFF00000000}">
      <tableStyleElement type="wholeTable" dxfId="408"/>
      <tableStyleElement type="headerRow" dxfId="407"/>
      <tableStyleElement type="firstColumn" dxfId="406"/>
      <tableStyleElement type="firstRowStripe" dxfId="405"/>
    </tableStyle>
    <tableStyle name="Table Style 1" pivot="0" count="0" xr9:uid="{00000000-0011-0000-FFFF-FFFF01000000}"/>
    <tableStyle name="TableStyleMedium15 2" pivot="0" count="8" xr9:uid="{00000000-0011-0000-FFFF-FFFF02000000}">
      <tableStyleElement type="wholeTable" dxfId="404"/>
      <tableStyleElement type="headerRow" dxfId="403"/>
      <tableStyleElement type="totalRow" dxfId="402"/>
      <tableStyleElement type="firstColumn" dxfId="401"/>
      <tableStyleElement type="lastColumn" dxfId="400"/>
      <tableStyleElement type="firstRowStripe" dxfId="399"/>
      <tableStyleElement type="secondRowStripe" dxfId="398"/>
      <tableStyleElement type="firstColumnStripe" dxfId="397"/>
    </tableStyle>
  </tableStyles>
  <colors>
    <mruColors>
      <color rgb="FFEAEAEA"/>
      <color rgb="FFDDDDDD"/>
      <color rgb="FF000000"/>
      <color rgb="FFFFFFFF"/>
      <color rgb="FF972F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List" dx="16" fmlaRange="'Saved Layouts'!$A$2:$A$8" multiSel="7" sel="0" seltype="extended" val="0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18</xdr:row>
          <xdr:rowOff>106680</xdr:rowOff>
        </xdr:from>
        <xdr:to>
          <xdr:col>5</xdr:col>
          <xdr:colOff>243840</xdr:colOff>
          <xdr:row>19</xdr:row>
          <xdr:rowOff>121920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5362575</xdr:colOff>
          <xdr:row>5</xdr:row>
          <xdr:rowOff>85725</xdr:rowOff>
        </xdr:from>
        <xdr:to>
          <xdr:col>15</xdr:col>
          <xdr:colOff>400050</xdr:colOff>
          <xdr:row>11</xdr:row>
          <xdr:rowOff>38100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GrpSpPr/>
          </xdr:nvGrpSpPr>
          <xdr:grpSpPr>
            <a:xfrm>
              <a:off x="12418695" y="1007745"/>
              <a:ext cx="4867275" cy="1049655"/>
              <a:chOff x="7448551" y="1019175"/>
              <a:chExt cx="4591050" cy="1095375"/>
            </a:xfrm>
          </xdr:grpSpPr>
          <xdr:sp macro="" textlink="">
            <xdr:nvSpPr>
              <xdr:cNvPr id="21521" name="Button 17" descr="Clear Config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C00-000011540000}"/>
                  </a:ext>
                </a:extLst>
              </xdr:cNvPr>
              <xdr:cNvSpPr/>
            </xdr:nvSpPr>
            <xdr:spPr bwMode="auto">
              <a:xfrm>
                <a:off x="7648575" y="1685924"/>
                <a:ext cx="4219575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Clear Config &amp; Start Over</a:t>
                </a:r>
              </a:p>
            </xdr:txBody>
          </xdr:sp>
          <xdr:sp macro="" textlink="">
            <xdr:nvSpPr>
              <xdr:cNvPr id="21708" name="Group Box 204" hidden="1">
                <a:extLst>
                  <a:ext uri="{63B3BB69-23CF-44E3-9099-C40C66FF867C}">
                    <a14:compatExt spid="_x0000_s21708"/>
                  </a:ext>
                  <a:ext uri="{FF2B5EF4-FFF2-40B4-BE49-F238E27FC236}">
                    <a16:creationId xmlns:a16="http://schemas.microsoft.com/office/drawing/2014/main" id="{00000000-0008-0000-0C00-0000CC540000}"/>
                  </a:ext>
                </a:extLst>
              </xdr:cNvPr>
              <xdr:cNvSpPr/>
            </xdr:nvSpPr>
            <xdr:spPr bwMode="auto">
              <a:xfrm>
                <a:off x="7448551" y="1019175"/>
                <a:ext cx="4591050" cy="10953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Utilities</a:t>
                </a:r>
              </a:p>
            </xdr:txBody>
          </xdr:sp>
          <xdr:sp macro="" textlink="">
            <xdr:nvSpPr>
              <xdr:cNvPr id="21715" name="Button 211" descr="&#10;" hidden="1">
                <a:extLst>
                  <a:ext uri="{63B3BB69-23CF-44E3-9099-C40C66FF867C}">
                    <a14:compatExt spid="_x0000_s21715"/>
                  </a:ext>
                  <a:ext uri="{FF2B5EF4-FFF2-40B4-BE49-F238E27FC236}">
                    <a16:creationId xmlns:a16="http://schemas.microsoft.com/office/drawing/2014/main" id="{00000000-0008-0000-0C00-0000D3540000}"/>
                  </a:ext>
                </a:extLst>
              </xdr:cNvPr>
              <xdr:cNvSpPr/>
            </xdr:nvSpPr>
            <xdr:spPr bwMode="auto">
              <a:xfrm>
                <a:off x="7639050" y="1247774"/>
                <a:ext cx="4219575" cy="2285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Copy These Values to Server List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588789</xdr:colOff>
          <xdr:row>17</xdr:row>
          <xdr:rowOff>165736</xdr:rowOff>
        </xdr:from>
        <xdr:to>
          <xdr:col>15</xdr:col>
          <xdr:colOff>76344</xdr:colOff>
          <xdr:row>58</xdr:row>
          <xdr:rowOff>11428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GrpSpPr/>
          </xdr:nvGrpSpPr>
          <xdr:grpSpPr>
            <a:xfrm>
              <a:off x="7644909" y="3282316"/>
              <a:ext cx="9317355" cy="7366632"/>
              <a:chOff x="12544496" y="2514601"/>
              <a:chExt cx="4581525" cy="1562103"/>
            </a:xfrm>
          </xdr:grpSpPr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00000000-0008-0000-0C00-000002000000}"/>
                  </a:ext>
                </a:extLst>
              </xdr:cNvPr>
              <xdr:cNvGrpSpPr/>
            </xdr:nvGrpSpPr>
            <xdr:grpSpPr>
              <a:xfrm>
                <a:off x="12544496" y="2514601"/>
                <a:ext cx="4581525" cy="1562103"/>
                <a:chOff x="12954071" y="2733676"/>
                <a:chExt cx="4591050" cy="1562103"/>
              </a:xfrm>
            </xdr:grpSpPr>
            <xdr:sp macro="" textlink="">
              <xdr:nvSpPr>
                <xdr:cNvPr id="21719" name="Button 215" descr="Clear Config" hidden="1">
                  <a:extLst>
                    <a:ext uri="{63B3BB69-23CF-44E3-9099-C40C66FF867C}">
                      <a14:compatExt spid="_x0000_s21719"/>
                    </a:ext>
                    <a:ext uri="{FF2B5EF4-FFF2-40B4-BE49-F238E27FC236}">
                      <a16:creationId xmlns:a16="http://schemas.microsoft.com/office/drawing/2014/main" id="{00000000-0008-0000-0C00-0000D7540000}"/>
                    </a:ext>
                  </a:extLst>
                </xdr:cNvPr>
                <xdr:cNvSpPr/>
              </xdr:nvSpPr>
              <xdr:spPr bwMode="auto">
                <a:xfrm>
                  <a:off x="13077825" y="2933701"/>
                  <a:ext cx="1895475" cy="2000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US" sz="11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1U - X10SLH-LNT6+</a:t>
                  </a:r>
                </a:p>
              </xdr:txBody>
            </xdr:sp>
            <xdr:sp macro="" textlink="">
              <xdr:nvSpPr>
                <xdr:cNvPr id="21720" name="Group Box 216" hidden="1">
                  <a:extLst>
                    <a:ext uri="{63B3BB69-23CF-44E3-9099-C40C66FF867C}">
                      <a14:compatExt spid="_x0000_s21720"/>
                    </a:ext>
                    <a:ext uri="{FF2B5EF4-FFF2-40B4-BE49-F238E27FC236}">
                      <a16:creationId xmlns:a16="http://schemas.microsoft.com/office/drawing/2014/main" id="{00000000-0008-0000-0C00-0000D8540000}"/>
                    </a:ext>
                  </a:extLst>
                </xdr:cNvPr>
                <xdr:cNvSpPr/>
              </xdr:nvSpPr>
              <xdr:spPr bwMode="auto">
                <a:xfrm>
                  <a:off x="12954071" y="2733676"/>
                  <a:ext cx="4591050" cy="156210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none" lIns="27432" tIns="22860" rIns="0" bIns="0" anchor="t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Presets</a:t>
                  </a:r>
                </a:p>
              </xdr:txBody>
            </xdr:sp>
            <xdr:sp macro="" textlink="">
              <xdr:nvSpPr>
                <xdr:cNvPr id="21721" name="Button 217" descr="&#10;" hidden="1">
                  <a:extLst>
                    <a:ext uri="{63B3BB69-23CF-44E3-9099-C40C66FF867C}">
                      <a14:compatExt spid="_x0000_s21721"/>
                    </a:ext>
                    <a:ext uri="{FF2B5EF4-FFF2-40B4-BE49-F238E27FC236}">
                      <a16:creationId xmlns:a16="http://schemas.microsoft.com/office/drawing/2014/main" id="{00000000-0008-0000-0C00-0000D9540000}"/>
                    </a:ext>
                  </a:extLst>
                </xdr:cNvPr>
                <xdr:cNvSpPr/>
              </xdr:nvSpPr>
              <xdr:spPr bwMode="auto">
                <a:xfrm>
                  <a:off x="15535275" y="2933700"/>
                  <a:ext cx="1895475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US" sz="11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2U - X10DRU-i+</a:t>
                  </a:r>
                </a:p>
              </xdr:txBody>
            </xdr:sp>
            <xdr:sp macro="" textlink="">
              <xdr:nvSpPr>
                <xdr:cNvPr id="21722" name="Button 218" descr="Clear Config" hidden="1">
                  <a:extLst>
                    <a:ext uri="{63B3BB69-23CF-44E3-9099-C40C66FF867C}">
                      <a14:compatExt spid="_x0000_s21722"/>
                    </a:ext>
                    <a:ext uri="{FF2B5EF4-FFF2-40B4-BE49-F238E27FC236}">
                      <a16:creationId xmlns:a16="http://schemas.microsoft.com/office/drawing/2014/main" id="{00000000-0008-0000-0C00-0000DA540000}"/>
                    </a:ext>
                  </a:extLst>
                </xdr:cNvPr>
                <xdr:cNvSpPr/>
              </xdr:nvSpPr>
              <xdr:spPr bwMode="auto">
                <a:xfrm>
                  <a:off x="13096875" y="3400425"/>
                  <a:ext cx="1895475" cy="2000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US" sz="11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1U - X10DRU-i+</a:t>
                  </a:r>
                </a:p>
              </xdr:txBody>
            </xdr:sp>
            <xdr:sp macro="" textlink="">
              <xdr:nvSpPr>
                <xdr:cNvPr id="21723" name="Button 219" descr="&#10;" hidden="1">
                  <a:extLst>
                    <a:ext uri="{63B3BB69-23CF-44E3-9099-C40C66FF867C}">
                      <a14:compatExt spid="_x0000_s21723"/>
                    </a:ext>
                    <a:ext uri="{FF2B5EF4-FFF2-40B4-BE49-F238E27FC236}">
                      <a16:creationId xmlns:a16="http://schemas.microsoft.com/office/drawing/2014/main" id="{00000000-0008-0000-0C00-0000DB540000}"/>
                    </a:ext>
                  </a:extLst>
                </xdr:cNvPr>
                <xdr:cNvSpPr/>
              </xdr:nvSpPr>
              <xdr:spPr bwMode="auto">
                <a:xfrm>
                  <a:off x="15535275" y="3390899"/>
                  <a:ext cx="1895475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US" sz="11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4U - X10DRI-T4+</a:t>
                  </a:r>
                </a:p>
              </xdr:txBody>
            </xdr:sp>
          </xdr:grpSp>
          <xdr:sp macro="" textlink="">
            <xdr:nvSpPr>
              <xdr:cNvPr id="21725" name="Button 221" descr="&#10;" hidden="1">
                <a:extLst>
                  <a:ext uri="{63B3BB69-23CF-44E3-9099-C40C66FF867C}">
                    <a14:compatExt spid="_x0000_s21725"/>
                  </a:ext>
                  <a:ext uri="{FF2B5EF4-FFF2-40B4-BE49-F238E27FC236}">
                    <a16:creationId xmlns:a16="http://schemas.microsoft.com/office/drawing/2014/main" id="{00000000-0008-0000-0C00-0000DD540000}"/>
                  </a:ext>
                </a:extLst>
              </xdr:cNvPr>
              <xdr:cNvSpPr/>
            </xdr:nvSpPr>
            <xdr:spPr bwMode="auto">
              <a:xfrm>
                <a:off x="12696825" y="3657601"/>
                <a:ext cx="18954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4U - X10QBI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</xdr:colOff>
          <xdr:row>20</xdr:row>
          <xdr:rowOff>38100</xdr:rowOff>
        </xdr:from>
        <xdr:to>
          <xdr:col>16</xdr:col>
          <xdr:colOff>563880</xdr:colOff>
          <xdr:row>21</xdr:row>
          <xdr:rowOff>68580</xdr:rowOff>
        </xdr:to>
        <xdr:sp macro="" textlink="">
          <xdr:nvSpPr>
            <xdr:cNvPr id="21730" name="Button 226" descr="&#10;" hidden="1">
              <a:extLst>
                <a:ext uri="{63B3BB69-23CF-44E3-9099-C40C66FF867C}">
                  <a14:compatExt spid="_x0000_s21730"/>
                </a:ext>
                <a:ext uri="{FF2B5EF4-FFF2-40B4-BE49-F238E27FC236}">
                  <a16:creationId xmlns:a16="http://schemas.microsoft.com/office/drawing/2014/main" id="{00000000-0008-0000-0C00-0000E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4U - X10QBI for SAP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6</xdr:row>
          <xdr:rowOff>123825</xdr:rowOff>
        </xdr:from>
        <xdr:to>
          <xdr:col>17</xdr:col>
          <xdr:colOff>38100</xdr:colOff>
          <xdr:row>12</xdr:row>
          <xdr:rowOff>76200</xdr:rowOff>
        </xdr:to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C00-00000F000000}"/>
                </a:ext>
              </a:extLst>
            </xdr:cNvPr>
            <xdr:cNvGrpSpPr/>
          </xdr:nvGrpSpPr>
          <xdr:grpSpPr>
            <a:xfrm>
              <a:off x="13462635" y="1228725"/>
              <a:ext cx="4726305" cy="1049655"/>
              <a:chOff x="7448543" y="1019175"/>
              <a:chExt cx="4591050" cy="1095375"/>
            </a:xfrm>
          </xdr:grpSpPr>
          <xdr:sp macro="" textlink="">
            <xdr:nvSpPr>
              <xdr:cNvPr id="21731" name="Button 227" descr="Clear Config" hidden="1">
                <a:extLst>
                  <a:ext uri="{63B3BB69-23CF-44E3-9099-C40C66FF867C}">
                    <a14:compatExt spid="_x0000_s21731"/>
                  </a:ext>
                  <a:ext uri="{FF2B5EF4-FFF2-40B4-BE49-F238E27FC236}">
                    <a16:creationId xmlns:a16="http://schemas.microsoft.com/office/drawing/2014/main" id="{00000000-0008-0000-0C00-0000E3540000}"/>
                  </a:ext>
                </a:extLst>
              </xdr:cNvPr>
              <xdr:cNvSpPr/>
            </xdr:nvSpPr>
            <xdr:spPr bwMode="auto">
              <a:xfrm>
                <a:off x="7648575" y="1685924"/>
                <a:ext cx="4219575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Clear Config &amp; Start Over</a:t>
                </a:r>
              </a:p>
            </xdr:txBody>
          </xdr:sp>
          <xdr:sp macro="" textlink="">
            <xdr:nvSpPr>
              <xdr:cNvPr id="21732" name="Group Box 228" hidden="1">
                <a:extLst>
                  <a:ext uri="{63B3BB69-23CF-44E3-9099-C40C66FF867C}">
                    <a14:compatExt spid="_x0000_s21732"/>
                  </a:ext>
                  <a:ext uri="{FF2B5EF4-FFF2-40B4-BE49-F238E27FC236}">
                    <a16:creationId xmlns:a16="http://schemas.microsoft.com/office/drawing/2014/main" id="{00000000-0008-0000-0C00-0000E4540000}"/>
                  </a:ext>
                </a:extLst>
              </xdr:cNvPr>
              <xdr:cNvSpPr/>
            </xdr:nvSpPr>
            <xdr:spPr bwMode="auto">
              <a:xfrm>
                <a:off x="7448543" y="1019175"/>
                <a:ext cx="4591050" cy="10953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Utilities</a:t>
                </a:r>
              </a:p>
            </xdr:txBody>
          </xdr:sp>
          <xdr:sp macro="" textlink="">
            <xdr:nvSpPr>
              <xdr:cNvPr id="21733" name="Button 229" descr="&#10;" hidden="1">
                <a:extLst>
                  <a:ext uri="{63B3BB69-23CF-44E3-9099-C40C66FF867C}">
                    <a14:compatExt spid="_x0000_s21733"/>
                  </a:ext>
                  <a:ext uri="{FF2B5EF4-FFF2-40B4-BE49-F238E27FC236}">
                    <a16:creationId xmlns:a16="http://schemas.microsoft.com/office/drawing/2014/main" id="{00000000-0008-0000-0C00-0000E5540000}"/>
                  </a:ext>
                </a:extLst>
              </xdr:cNvPr>
              <xdr:cNvSpPr/>
            </xdr:nvSpPr>
            <xdr:spPr bwMode="auto">
              <a:xfrm>
                <a:off x="7639050" y="1247774"/>
                <a:ext cx="4219575" cy="2285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Copy These Values to Server List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160020</xdr:colOff>
          <xdr:row>16</xdr:row>
          <xdr:rowOff>0</xdr:rowOff>
        </xdr:from>
        <xdr:to>
          <xdr:col>12</xdr:col>
          <xdr:colOff>175260</xdr:colOff>
          <xdr:row>17</xdr:row>
          <xdr:rowOff>7620</xdr:rowOff>
        </xdr:to>
        <xdr:sp macro="" textlink="">
          <xdr:nvSpPr>
            <xdr:cNvPr id="21734" name="Button 230" descr="Clear Config" hidden="1">
              <a:extLst>
                <a:ext uri="{63B3BB69-23CF-44E3-9099-C40C66FF867C}">
                  <a14:compatExt spid="_x0000_s21734"/>
                </a:ext>
                <a:ext uri="{FF2B5EF4-FFF2-40B4-BE49-F238E27FC236}">
                  <a16:creationId xmlns:a16="http://schemas.microsoft.com/office/drawing/2014/main" id="{00000000-0008-0000-0C00-0000E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1U - X10SLH-LNT6+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</xdr:colOff>
          <xdr:row>15</xdr:row>
          <xdr:rowOff>0</xdr:rowOff>
        </xdr:from>
        <xdr:to>
          <xdr:col>17</xdr:col>
          <xdr:colOff>30480</xdr:colOff>
          <xdr:row>37</xdr:row>
          <xdr:rowOff>99060</xdr:rowOff>
        </xdr:to>
        <xdr:sp macro="" textlink="">
          <xdr:nvSpPr>
            <xdr:cNvPr id="21735" name="Group Box 231" hidden="1">
              <a:extLst>
                <a:ext uri="{63B3BB69-23CF-44E3-9099-C40C66FF867C}">
                  <a14:compatExt spid="_x0000_s21735"/>
                </a:ext>
                <a:ext uri="{FF2B5EF4-FFF2-40B4-BE49-F238E27FC236}">
                  <a16:creationId xmlns:a16="http://schemas.microsoft.com/office/drawing/2014/main" id="{00000000-0008-0000-0C00-0000E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Presets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182880</xdr:colOff>
          <xdr:row>18</xdr:row>
          <xdr:rowOff>76200</xdr:rowOff>
        </xdr:from>
        <xdr:to>
          <xdr:col>12</xdr:col>
          <xdr:colOff>190500</xdr:colOff>
          <xdr:row>19</xdr:row>
          <xdr:rowOff>106680</xdr:rowOff>
        </xdr:to>
        <xdr:sp macro="" textlink="">
          <xdr:nvSpPr>
            <xdr:cNvPr id="21736" name="Button 232" descr="&#10;" hidden="1">
              <a:extLst>
                <a:ext uri="{63B3BB69-23CF-44E3-9099-C40C66FF867C}">
                  <a14:compatExt spid="_x0000_s21736"/>
                </a:ext>
                <a:ext uri="{FF2B5EF4-FFF2-40B4-BE49-F238E27FC236}">
                  <a16:creationId xmlns:a16="http://schemas.microsoft.com/office/drawing/2014/main" id="{00000000-0008-0000-0C00-0000E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2U - X10DRU-i+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160020</xdr:colOff>
          <xdr:row>16</xdr:row>
          <xdr:rowOff>7620</xdr:rowOff>
        </xdr:from>
        <xdr:to>
          <xdr:col>16</xdr:col>
          <xdr:colOff>617220</xdr:colOff>
          <xdr:row>17</xdr:row>
          <xdr:rowOff>22860</xdr:rowOff>
        </xdr:to>
        <xdr:sp macro="" textlink="">
          <xdr:nvSpPr>
            <xdr:cNvPr id="21737" name="Button 233" descr="Clear Config" hidden="1">
              <a:extLst>
                <a:ext uri="{63B3BB69-23CF-44E3-9099-C40C66FF867C}">
                  <a14:compatExt spid="_x0000_s21737"/>
                </a:ext>
                <a:ext uri="{FF2B5EF4-FFF2-40B4-BE49-F238E27FC236}">
                  <a16:creationId xmlns:a16="http://schemas.microsoft.com/office/drawing/2014/main" id="{00000000-0008-0000-0C00-0000E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1U - X10DRU-i+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152400</xdr:colOff>
          <xdr:row>18</xdr:row>
          <xdr:rowOff>76200</xdr:rowOff>
        </xdr:from>
        <xdr:to>
          <xdr:col>16</xdr:col>
          <xdr:colOff>609600</xdr:colOff>
          <xdr:row>19</xdr:row>
          <xdr:rowOff>106680</xdr:rowOff>
        </xdr:to>
        <xdr:sp macro="" textlink="">
          <xdr:nvSpPr>
            <xdr:cNvPr id="21738" name="Button 234" descr="&#10;" hidden="1">
              <a:extLst>
                <a:ext uri="{63B3BB69-23CF-44E3-9099-C40C66FF867C}">
                  <a14:compatExt spid="_x0000_s21738"/>
                </a:ext>
                <a:ext uri="{FF2B5EF4-FFF2-40B4-BE49-F238E27FC236}">
                  <a16:creationId xmlns:a16="http://schemas.microsoft.com/office/drawing/2014/main" id="{00000000-0008-0000-0C00-0000E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4U - X10DRI-T4+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20</xdr:row>
          <xdr:rowOff>144780</xdr:rowOff>
        </xdr:from>
        <xdr:to>
          <xdr:col>12</xdr:col>
          <xdr:colOff>213360</xdr:colOff>
          <xdr:row>21</xdr:row>
          <xdr:rowOff>152400</xdr:rowOff>
        </xdr:to>
        <xdr:sp macro="" textlink="">
          <xdr:nvSpPr>
            <xdr:cNvPr id="21739" name="Button 235" descr="Clear Config" hidden="1">
              <a:extLst>
                <a:ext uri="{63B3BB69-23CF-44E3-9099-C40C66FF867C}">
                  <a14:compatExt spid="_x0000_s21739"/>
                </a:ext>
                <a:ext uri="{FF2B5EF4-FFF2-40B4-BE49-F238E27FC236}">
                  <a16:creationId xmlns:a16="http://schemas.microsoft.com/office/drawing/2014/main" id="{00000000-0008-0000-0C00-0000E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4U - X10QBI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160020</xdr:colOff>
          <xdr:row>20</xdr:row>
          <xdr:rowOff>144780</xdr:rowOff>
        </xdr:from>
        <xdr:to>
          <xdr:col>16</xdr:col>
          <xdr:colOff>632460</xdr:colOff>
          <xdr:row>21</xdr:row>
          <xdr:rowOff>152400</xdr:rowOff>
        </xdr:to>
        <xdr:sp macro="" textlink="">
          <xdr:nvSpPr>
            <xdr:cNvPr id="21740" name="Button 236" descr="Clear Config" hidden="1">
              <a:extLst>
                <a:ext uri="{63B3BB69-23CF-44E3-9099-C40C66FF867C}">
                  <a14:compatExt spid="_x0000_s21740"/>
                </a:ext>
                <a:ext uri="{FF2B5EF4-FFF2-40B4-BE49-F238E27FC236}">
                  <a16:creationId xmlns:a16="http://schemas.microsoft.com/office/drawing/2014/main" id="{00000000-0008-0000-0C00-0000E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4U - X10QRI - SAP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23</xdr:row>
          <xdr:rowOff>198120</xdr:rowOff>
        </xdr:from>
        <xdr:to>
          <xdr:col>12</xdr:col>
          <xdr:colOff>213360</xdr:colOff>
          <xdr:row>25</xdr:row>
          <xdr:rowOff>7620</xdr:rowOff>
        </xdr:to>
        <xdr:sp macro="" textlink="">
          <xdr:nvSpPr>
            <xdr:cNvPr id="21745" name="Button 241" descr="Clear Config" hidden="1">
              <a:extLst>
                <a:ext uri="{63B3BB69-23CF-44E3-9099-C40C66FF867C}">
                  <a14:compatExt spid="_x0000_s21745"/>
                </a:ext>
                <a:ext uri="{FF2B5EF4-FFF2-40B4-BE49-F238E27FC236}">
                  <a16:creationId xmlns:a16="http://schemas.microsoft.com/office/drawing/2014/main" id="{00000000-0008-0000-0C00-0000F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2U - Habanero - 32GB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198120</xdr:colOff>
          <xdr:row>26</xdr:row>
          <xdr:rowOff>99060</xdr:rowOff>
        </xdr:from>
        <xdr:to>
          <xdr:col>12</xdr:col>
          <xdr:colOff>220980</xdr:colOff>
          <xdr:row>27</xdr:row>
          <xdr:rowOff>114300</xdr:rowOff>
        </xdr:to>
        <xdr:sp macro="" textlink="">
          <xdr:nvSpPr>
            <xdr:cNvPr id="21747" name="Button 243" descr="Clear Config" hidden="1">
              <a:extLst>
                <a:ext uri="{63B3BB69-23CF-44E3-9099-C40C66FF867C}">
                  <a14:compatExt spid="_x0000_s21747"/>
                </a:ext>
                <a:ext uri="{FF2B5EF4-FFF2-40B4-BE49-F238E27FC236}">
                  <a16:creationId xmlns:a16="http://schemas.microsoft.com/office/drawing/2014/main" id="{00000000-0008-0000-0C00-0000F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2U - Habanero - 512GB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121920</xdr:colOff>
          <xdr:row>24</xdr:row>
          <xdr:rowOff>7620</xdr:rowOff>
        </xdr:from>
        <xdr:to>
          <xdr:col>16</xdr:col>
          <xdr:colOff>594360</xdr:colOff>
          <xdr:row>25</xdr:row>
          <xdr:rowOff>30480</xdr:rowOff>
        </xdr:to>
        <xdr:sp macro="" textlink="">
          <xdr:nvSpPr>
            <xdr:cNvPr id="21748" name="Button 244" descr="Clear Config" hidden="1">
              <a:extLst>
                <a:ext uri="{63B3BB69-23CF-44E3-9099-C40C66FF867C}">
                  <a14:compatExt spid="_x0000_s21748"/>
                </a:ext>
                <a:ext uri="{FF2B5EF4-FFF2-40B4-BE49-F238E27FC236}">
                  <a16:creationId xmlns:a16="http://schemas.microsoft.com/office/drawing/2014/main" id="{00000000-0008-0000-0C00-0000F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2U - Habanero - 256GB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144780</xdr:colOff>
          <xdr:row>26</xdr:row>
          <xdr:rowOff>106680</xdr:rowOff>
        </xdr:from>
        <xdr:to>
          <xdr:col>16</xdr:col>
          <xdr:colOff>609600</xdr:colOff>
          <xdr:row>27</xdr:row>
          <xdr:rowOff>114300</xdr:rowOff>
        </xdr:to>
        <xdr:sp macro="" textlink="">
          <xdr:nvSpPr>
            <xdr:cNvPr id="21749" name="Button 245" descr="Clear Config" hidden="1">
              <a:extLst>
                <a:ext uri="{63B3BB69-23CF-44E3-9099-C40C66FF867C}">
                  <a14:compatExt spid="_x0000_s21749"/>
                </a:ext>
                <a:ext uri="{FF2B5EF4-FFF2-40B4-BE49-F238E27FC236}">
                  <a16:creationId xmlns:a16="http://schemas.microsoft.com/office/drawing/2014/main" id="{00000000-0008-0000-0C00-0000F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2U - Habanero - 512GB - SSD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257175</xdr:colOff>
      <xdr:row>22</xdr:row>
      <xdr:rowOff>157936</xdr:rowOff>
    </xdr:from>
    <xdr:to>
      <xdr:col>16</xdr:col>
      <xdr:colOff>581025</xdr:colOff>
      <xdr:row>23</xdr:row>
      <xdr:rowOff>541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13325475" y="4348936"/>
          <a:ext cx="4219575" cy="4263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9</xdr:col>
      <xdr:colOff>276225</xdr:colOff>
      <xdr:row>28</xdr:row>
      <xdr:rowOff>157936</xdr:rowOff>
    </xdr:from>
    <xdr:to>
      <xdr:col>16</xdr:col>
      <xdr:colOff>600075</xdr:colOff>
      <xdr:row>29</xdr:row>
      <xdr:rowOff>10066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 txBox="1"/>
      </xdr:nvSpPr>
      <xdr:spPr>
        <a:xfrm>
          <a:off x="13344525" y="5510986"/>
          <a:ext cx="4219575" cy="4263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30</xdr:row>
          <xdr:rowOff>22860</xdr:rowOff>
        </xdr:from>
        <xdr:to>
          <xdr:col>12</xdr:col>
          <xdr:colOff>251460</xdr:colOff>
          <xdr:row>31</xdr:row>
          <xdr:rowOff>30480</xdr:rowOff>
        </xdr:to>
        <xdr:sp macro="" textlink="">
          <xdr:nvSpPr>
            <xdr:cNvPr id="21765" name="Button 261" descr="Clear Config" hidden="1">
              <a:extLst>
                <a:ext uri="{63B3BB69-23CF-44E3-9099-C40C66FF867C}">
                  <a14:compatExt spid="_x0000_s21765"/>
                </a:ext>
                <a:ext uri="{FF2B5EF4-FFF2-40B4-BE49-F238E27FC236}">
                  <a16:creationId xmlns:a16="http://schemas.microsoft.com/office/drawing/2014/main" id="{00000000-0008-0000-0C00-000005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1U - Local Disk - 64GB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144780</xdr:colOff>
          <xdr:row>30</xdr:row>
          <xdr:rowOff>22860</xdr:rowOff>
        </xdr:from>
        <xdr:to>
          <xdr:col>16</xdr:col>
          <xdr:colOff>609600</xdr:colOff>
          <xdr:row>31</xdr:row>
          <xdr:rowOff>30480</xdr:rowOff>
        </xdr:to>
        <xdr:sp macro="" textlink="">
          <xdr:nvSpPr>
            <xdr:cNvPr id="21767" name="Button 263" descr="Clear Config" hidden="1">
              <a:extLst>
                <a:ext uri="{63B3BB69-23CF-44E3-9099-C40C66FF867C}">
                  <a14:compatExt spid="_x0000_s21767"/>
                </a:ext>
                <a:ext uri="{FF2B5EF4-FFF2-40B4-BE49-F238E27FC236}">
                  <a16:creationId xmlns:a16="http://schemas.microsoft.com/office/drawing/2014/main" id="{00000000-0008-0000-0C00-000007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1U - Local Disk - 128GB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251460</xdr:colOff>
          <xdr:row>32</xdr:row>
          <xdr:rowOff>99060</xdr:rowOff>
        </xdr:from>
        <xdr:to>
          <xdr:col>12</xdr:col>
          <xdr:colOff>266700</xdr:colOff>
          <xdr:row>33</xdr:row>
          <xdr:rowOff>106680</xdr:rowOff>
        </xdr:to>
        <xdr:sp macro="" textlink="">
          <xdr:nvSpPr>
            <xdr:cNvPr id="21768" name="Button 264" descr="Clear Config" hidden="1">
              <a:extLst>
                <a:ext uri="{63B3BB69-23CF-44E3-9099-C40C66FF867C}">
                  <a14:compatExt spid="_x0000_s21768"/>
                </a:ext>
                <a:ext uri="{FF2B5EF4-FFF2-40B4-BE49-F238E27FC236}">
                  <a16:creationId xmlns:a16="http://schemas.microsoft.com/office/drawing/2014/main" id="{00000000-0008-0000-0C00-000008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1U - Local Disk - 256GB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152400</xdr:colOff>
          <xdr:row>32</xdr:row>
          <xdr:rowOff>114300</xdr:rowOff>
        </xdr:from>
        <xdr:to>
          <xdr:col>16</xdr:col>
          <xdr:colOff>617220</xdr:colOff>
          <xdr:row>33</xdr:row>
          <xdr:rowOff>121920</xdr:rowOff>
        </xdr:to>
        <xdr:sp macro="" textlink="">
          <xdr:nvSpPr>
            <xdr:cNvPr id="21769" name="Button 265" descr="Clear Config" hidden="1">
              <a:extLst>
                <a:ext uri="{63B3BB69-23CF-44E3-9099-C40C66FF867C}">
                  <a14:compatExt spid="_x0000_s21769"/>
                </a:ext>
                <a:ext uri="{FF2B5EF4-FFF2-40B4-BE49-F238E27FC236}">
                  <a16:creationId xmlns:a16="http://schemas.microsoft.com/office/drawing/2014/main" id="{00000000-0008-0000-0C00-000009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1U - Local Disk - 512GB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236220</xdr:colOff>
          <xdr:row>35</xdr:row>
          <xdr:rowOff>0</xdr:rowOff>
        </xdr:from>
        <xdr:to>
          <xdr:col>12</xdr:col>
          <xdr:colOff>259080</xdr:colOff>
          <xdr:row>36</xdr:row>
          <xdr:rowOff>7620</xdr:rowOff>
        </xdr:to>
        <xdr:sp macro="" textlink="">
          <xdr:nvSpPr>
            <xdr:cNvPr id="21775" name="Button 271" descr="Clear Config" hidden="1">
              <a:extLst>
                <a:ext uri="{63B3BB69-23CF-44E3-9099-C40C66FF867C}">
                  <a14:compatExt spid="_x0000_s21775"/>
                </a:ext>
                <a:ext uri="{FF2B5EF4-FFF2-40B4-BE49-F238E27FC236}">
                  <a16:creationId xmlns:a16="http://schemas.microsoft.com/office/drawing/2014/main" id="{00000000-0008-0000-0C00-00000F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1U - Local Disk - 512GB - 1.7TB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7620</xdr:rowOff>
        </xdr:from>
        <xdr:to>
          <xdr:col>12</xdr:col>
          <xdr:colOff>723900</xdr:colOff>
          <xdr:row>35</xdr:row>
          <xdr:rowOff>7620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1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New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7620</xdr:rowOff>
        </xdr:from>
        <xdr:to>
          <xdr:col>12</xdr:col>
          <xdr:colOff>723900</xdr:colOff>
          <xdr:row>17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1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Original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32</xdr:row>
          <xdr:rowOff>160020</xdr:rowOff>
        </xdr:from>
        <xdr:to>
          <xdr:col>32</xdr:col>
          <xdr:colOff>0</xdr:colOff>
          <xdr:row>33</xdr:row>
          <xdr:rowOff>175260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1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Old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34</xdr:row>
          <xdr:rowOff>144780</xdr:rowOff>
        </xdr:from>
        <xdr:to>
          <xdr:col>31</xdr:col>
          <xdr:colOff>594360</xdr:colOff>
          <xdr:row>35</xdr:row>
          <xdr:rowOff>182880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1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New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45</xdr:row>
          <xdr:rowOff>7620</xdr:rowOff>
        </xdr:from>
        <xdr:to>
          <xdr:col>26</xdr:col>
          <xdr:colOff>723900</xdr:colOff>
          <xdr:row>46</xdr:row>
          <xdr:rowOff>7620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1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New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60960</xdr:colOff>
          <xdr:row>1</xdr:row>
          <xdr:rowOff>121920</xdr:rowOff>
        </xdr:from>
        <xdr:to>
          <xdr:col>31</xdr:col>
          <xdr:colOff>426720</xdr:colOff>
          <xdr:row>13</xdr:row>
          <xdr:rowOff>76200</xdr:rowOff>
        </xdr:to>
        <xdr:sp macro="" textlink="">
          <xdr:nvSpPr>
            <xdr:cNvPr id="2124" name="LBoxSavedLayouts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1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83820</xdr:colOff>
          <xdr:row>0</xdr:row>
          <xdr:rowOff>175260</xdr:rowOff>
        </xdr:from>
        <xdr:to>
          <xdr:col>32</xdr:col>
          <xdr:colOff>114300</xdr:colOff>
          <xdr:row>21</xdr:row>
          <xdr:rowOff>83820</xdr:rowOff>
        </xdr:to>
        <xdr:sp macro="" textlink="">
          <xdr:nvSpPr>
            <xdr:cNvPr id="2126" name="Group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1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Saved Layouts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601980</xdr:colOff>
          <xdr:row>16</xdr:row>
          <xdr:rowOff>160020</xdr:rowOff>
        </xdr:from>
        <xdr:to>
          <xdr:col>32</xdr:col>
          <xdr:colOff>7620</xdr:colOff>
          <xdr:row>18</xdr:row>
          <xdr:rowOff>38100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1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7620</xdr:rowOff>
        </xdr:from>
        <xdr:to>
          <xdr:col>26</xdr:col>
          <xdr:colOff>723900</xdr:colOff>
          <xdr:row>17</xdr:row>
          <xdr:rowOff>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1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Original Layout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175260</xdr:colOff>
          <xdr:row>48</xdr:row>
          <xdr:rowOff>190500</xdr:rowOff>
        </xdr:from>
        <xdr:to>
          <xdr:col>24</xdr:col>
          <xdr:colOff>68580</xdr:colOff>
          <xdr:row>50</xdr:row>
          <xdr:rowOff>114300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12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 Power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175260</xdr:colOff>
          <xdr:row>48</xdr:row>
          <xdr:rowOff>190500</xdr:rowOff>
        </xdr:from>
        <xdr:to>
          <xdr:col>24</xdr:col>
          <xdr:colOff>68580</xdr:colOff>
          <xdr:row>50</xdr:row>
          <xdr:rowOff>114300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13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 Power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190500</xdr:colOff>
          <xdr:row>49</xdr:row>
          <xdr:rowOff>0</xdr:rowOff>
        </xdr:from>
        <xdr:to>
          <xdr:col>46</xdr:col>
          <xdr:colOff>411480</xdr:colOff>
          <xdr:row>50</xdr:row>
          <xdr:rowOff>114300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 Power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48</xdr:row>
          <xdr:rowOff>182880</xdr:rowOff>
        </xdr:from>
        <xdr:to>
          <xdr:col>42</xdr:col>
          <xdr:colOff>45720</xdr:colOff>
          <xdr:row>50</xdr:row>
          <xdr:rowOff>45720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15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 Power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48</xdr:row>
          <xdr:rowOff>182880</xdr:rowOff>
        </xdr:from>
        <xdr:to>
          <xdr:col>42</xdr:col>
          <xdr:colOff>45720</xdr:colOff>
          <xdr:row>50</xdr:row>
          <xdr:rowOff>45720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6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 Power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mwhite/AppData/Local/Microsoft/Windows/Temporary%20Internet%20Files/Content.Outlook/U4UR7NVM/Rack%20Power%20Calculator%20(Autosave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er Chassis"/>
      <sheetName val="Rack Layout"/>
      <sheetName val="Cal"/>
      <sheetName val="Printer Friendly"/>
    </sheetNames>
    <sheetDataSet>
      <sheetData sheetId="0">
        <row r="3">
          <cell r="A3" t="str">
            <v>1U | X9SCI-LN4F+ | Xeon 1270 V2 | 32GB</v>
          </cell>
        </row>
        <row r="4">
          <cell r="A4" t="str">
            <v>2U | X9DRI-LN4F+ | Dual Xeon 2690 V2 | 128GB</v>
          </cell>
        </row>
        <row r="5">
          <cell r="A5" t="str">
            <v>3U | X9DRI-LN4F+ | Dual Xeon 2690 V2 | 128GB</v>
          </cell>
        </row>
        <row r="6">
          <cell r="A6" t="str">
            <v>4U | X9DRI-LN4F+ | Dual Xeon 2650 V2 | 256GB</v>
          </cell>
        </row>
        <row r="7">
          <cell r="A7" t="str">
            <v>1U | X9DRI-LN4F+ | Dual Xeon 2650 | 128GB | SAN</v>
          </cell>
        </row>
        <row r="8">
          <cell r="A8" t="str">
            <v>1U | X9DRI-LN4F+ | Dual Xeon 2650 | 128GB | Local Storage</v>
          </cell>
        </row>
        <row r="9">
          <cell r="A9" t="str">
            <v>1U | X9DRI-LN4F+ | Dual Xeon 2650 | 256GB | SAN</v>
          </cell>
        </row>
        <row r="10">
          <cell r="A10" t="str">
            <v>1U | X9DRI-LN4F+ | Dual Xeon 2650 | 256GB | Local Storage</v>
          </cell>
        </row>
        <row r="11">
          <cell r="A11" t="str">
            <v>1U | X8DTU-F | Dual Xeon 5620 | 192GB | SAN</v>
          </cell>
        </row>
        <row r="12">
          <cell r="A12" t="str">
            <v>3U | X9DRI-LN4F+ | Dual Xeon E5-2650 V2 | 128GB</v>
          </cell>
        </row>
        <row r="13">
          <cell r="A13" t="str">
            <v>2U | X8SIT-F | 4x Single Xeon 3450 | 96GB</v>
          </cell>
        </row>
        <row r="14">
          <cell r="A14" t="str">
            <v>3U | X9DRI-LN4F+_R1.2a | Dual Xeon E5-2620 | 64GB | Dual Tesla K10</v>
          </cell>
        </row>
        <row r="15">
          <cell r="A15" t="str">
            <v>3U | X9DRI-LN4F+_R1.2a | Dual Xeon E5-2620 | 64GB | Dual Tesla K10s</v>
          </cell>
        </row>
        <row r="16">
          <cell r="A16" t="str">
            <v>3U | X9DRI-LN4F+_R1.2a | Dual Xeon E5-2620 | 64GB |Single Tesla K10</v>
          </cell>
        </row>
        <row r="17">
          <cell r="A17" t="str">
            <v>3U | X9DRI-LN4F+_R1.2a | Dual Xeon E5-2620 | 64GB |Single Tesla K10s</v>
          </cell>
        </row>
      </sheetData>
      <sheetData sheetId="1" refreshError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Motherboard_Models" displayName="Motherboard_Models" ref="A1:C37" totalsRowShown="0">
  <autoFilter ref="A1:C37" xr:uid="{00000000-0009-0000-0100-00000E000000}"/>
  <sortState xmlns:xlrd2="http://schemas.microsoft.com/office/spreadsheetml/2017/richdata2" ref="A2:C19">
    <sortCondition ref="A1:A14"/>
  </sortState>
  <tableColumns count="3">
    <tableColumn id="1" xr3:uid="{00000000-0010-0000-0000-000001000000}" name="Part"/>
    <tableColumn id="2" xr3:uid="{00000000-0010-0000-0000-000002000000}" name="Power (W)"/>
    <tableColumn id="3" xr3:uid="{00000000-0010-0000-0000-000003000000}" name="Nickname (Create Name for chassis compatibility)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1000000}" name="Procs_Models" displayName="Procs_Models" ref="A1:G78" totalsRowShown="0" dataDxfId="396">
  <autoFilter ref="A1:G78" xr:uid="{00000000-0009-0000-0100-00000F000000}"/>
  <tableColumns count="7">
    <tableColumn id="1" xr3:uid="{00000000-0010-0000-0100-000001000000}" name="Part" dataDxfId="395"/>
    <tableColumn id="2" xr3:uid="{00000000-0010-0000-0100-000002000000}" name="Spec" dataDxfId="394"/>
    <tableColumn id="6" xr3:uid="{00000000-0010-0000-0100-000006000000}" name="Minimum" dataDxfId="393"/>
    <tableColumn id="5" xr3:uid="{00000000-0010-0000-0100-000005000000}" name="Maximum" dataDxfId="392"/>
    <tableColumn id="3" xr3:uid="{00000000-0010-0000-0100-000003000000}" name="Cores" dataDxfId="391"/>
    <tableColumn id="4" xr3:uid="{00000000-0010-0000-0100-000004000000}" name="GHz" dataDxfId="390"/>
    <tableColumn id="7" xr3:uid="{00000000-0010-0000-0100-000007000000}" name="Cost" dataDxfId="38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2000000}" name="Socket_Count_Conversions" displayName="Socket_Count_Conversions" ref="H1:J7" totalsRowShown="0">
  <autoFilter ref="H1:J7" xr:uid="{00000000-0009-0000-0100-000018000000}"/>
  <sortState xmlns:xlrd2="http://schemas.microsoft.com/office/spreadsheetml/2017/richdata2" ref="H2:J7">
    <sortCondition ref="H1:H7"/>
  </sortState>
  <tableColumns count="3">
    <tableColumn id="1" xr3:uid="{00000000-0010-0000-0200-000001000000}" name="Translate"/>
    <tableColumn id="2" xr3:uid="{00000000-0010-0000-0200-000002000000}" name="Word" dataDxfId="388"/>
    <tableColumn id="3" xr3:uid="{00000000-0010-0000-0200-000003000000}" name="x" dataDxfId="38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RAM" displayName="RAM" ref="A1:D19" totalsRowShown="0" dataDxfId="386">
  <autoFilter ref="A1:D19" xr:uid="{00000000-0009-0000-0100-000005000000}"/>
  <tableColumns count="4">
    <tableColumn id="1" xr3:uid="{00000000-0010-0000-0300-000001000000}" name="Part" dataDxfId="385"/>
    <tableColumn id="4" xr3:uid="{00000000-0010-0000-0300-000004000000}" name="Minimum" dataDxfId="384"/>
    <tableColumn id="2" xr3:uid="{00000000-0010-0000-0300-000002000000}" name="Maximum Power (W)" dataDxfId="383"/>
    <tableColumn id="3" xr3:uid="{00000000-0010-0000-0300-000003000000}" name="Numerical value for RAM" dataDxfId="382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Generic" displayName="Generic" ref="A1:B3" totalsRowShown="0" dataDxfId="381">
  <autoFilter ref="A1:B3" xr:uid="{00000000-0009-0000-0100-00000C000000}"/>
  <tableColumns count="2">
    <tableColumn id="1" xr3:uid="{00000000-0010-0000-0400-000001000000}" name="Part" dataDxfId="380"/>
    <tableColumn id="2" xr3:uid="{00000000-0010-0000-0400-000002000000}" name="Power (W)" dataDxfId="379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RAIDController" displayName="RAIDController" ref="A1:C13" totalsRowShown="0">
  <autoFilter ref="A1:C13" xr:uid="{00000000-0009-0000-0100-000007000000}"/>
  <sortState xmlns:xlrd2="http://schemas.microsoft.com/office/spreadsheetml/2017/richdata2" ref="A2:C8">
    <sortCondition ref="A3"/>
  </sortState>
  <tableColumns count="3">
    <tableColumn id="1" xr3:uid="{00000000-0010-0000-0500-000001000000}" name="Part" dataDxfId="378"/>
    <tableColumn id="3" xr3:uid="{00000000-0010-0000-0500-000003000000}" name="Minimum Power" dataDxfId="377"/>
    <tableColumn id="2" xr3:uid="{00000000-0010-0000-0500-000002000000}" name="Power (W)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6000000}" name="Fan" displayName="Fan" ref="A1:C6" totalsRowShown="0" dataDxfId="376">
  <autoFilter ref="A1:C6" xr:uid="{00000000-0009-0000-0100-000012000000}"/>
  <tableColumns count="3">
    <tableColumn id="1" xr3:uid="{00000000-0010-0000-0600-000001000000}" name="Part" dataDxfId="375"/>
    <tableColumn id="3" xr3:uid="{00000000-0010-0000-0600-000003000000}" name="Part Name" dataDxfId="374"/>
    <tableColumn id="2" xr3:uid="{00000000-0010-0000-0600-000002000000}" name="Power (W)" dataDxfId="373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Backplanes" displayName="Backplanes" ref="A1:D10" totalsRowShown="0" dataDxfId="372">
  <autoFilter ref="A1:D10" xr:uid="{00000000-0009-0000-0100-000008000000}"/>
  <tableColumns count="4">
    <tableColumn id="1" xr3:uid="{00000000-0010-0000-0700-000001000000}" name="Part" dataDxfId="371"/>
    <tableColumn id="2" xr3:uid="{00000000-0010-0000-0700-000002000000}" name="Power (W)" dataDxfId="370"/>
    <tableColumn id="3" xr3:uid="{00000000-0010-0000-0700-000003000000}" name="# of PSUs" dataDxfId="369"/>
    <tableColumn id="4" xr3:uid="{00000000-0010-0000-0700-000004000000}" name="Us" dataDxfId="368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HardDrive" displayName="HardDrive" ref="A1:C15" totalsRowShown="0" dataDxfId="367">
  <autoFilter ref="A1:C15" xr:uid="{00000000-0009-0000-0100-000009000000}"/>
  <tableColumns count="3">
    <tableColumn id="1" xr3:uid="{00000000-0010-0000-0800-000001000000}" name="Part" dataDxfId="366"/>
    <tableColumn id="3" xr3:uid="{00000000-0010-0000-0800-000003000000}" name="Minimum" dataDxfId="365"/>
    <tableColumn id="2" xr3:uid="{00000000-0010-0000-0800-000002000000}" name="Power (W)" dataDxfId="364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NIC" displayName="NIC" ref="A1:C5" totalsRowShown="0" dataDxfId="363">
  <autoFilter ref="A1:C5" xr:uid="{00000000-0009-0000-0100-00000A000000}"/>
  <tableColumns count="3">
    <tableColumn id="1" xr3:uid="{00000000-0010-0000-0900-000001000000}" name="Part" dataDxfId="362"/>
    <tableColumn id="3" xr3:uid="{00000000-0010-0000-0900-000003000000}" name="Minimum" dataDxfId="361"/>
    <tableColumn id="2" xr3:uid="{00000000-0010-0000-0900-000002000000}" name="Max Power (W)" dataDxfId="360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B000000}" name="Chassis_Models" displayName="Chassis_Models" ref="B1:M20" totalsRowShown="0" headerRowDxfId="359" dataDxfId="358" tableBorderDxfId="357">
  <autoFilter ref="B1:M20" xr:uid="{00000000-0009-0000-0100-000001000000}"/>
  <tableColumns count="12">
    <tableColumn id="1" xr3:uid="{00000000-0010-0000-0B00-000001000000}" name="Part" dataDxfId="356"/>
    <tableColumn id="2" xr3:uid="{00000000-0010-0000-0B00-000002000000}" name="Power (W)" dataDxfId="355"/>
    <tableColumn id="3" xr3:uid="{00000000-0010-0000-0B00-000003000000}" name="Generic" dataDxfId="354"/>
    <tableColumn id="4" xr3:uid="{00000000-0010-0000-0B00-000004000000}" name="Front Fans" dataDxfId="353"/>
    <tableColumn id="8" xr3:uid="{00000000-0010-0000-0B00-000008000000}" name="# of Fans" dataDxfId="352"/>
    <tableColumn id="5" xr3:uid="{00000000-0010-0000-0B00-000005000000}" name="Mid Fans" dataDxfId="351"/>
    <tableColumn id="9" xr3:uid="{00000000-0010-0000-0B00-000009000000}" name="# of Fans2" dataDxfId="350"/>
    <tableColumn id="6" xr3:uid="{00000000-0010-0000-0B00-000006000000}" name="Backplane" dataDxfId="349"/>
    <tableColumn id="7" xr3:uid="{00000000-0010-0000-0B00-000007000000}" name="# of Backplanes" dataDxfId="348"/>
    <tableColumn id="11" xr3:uid="{00000000-0010-0000-0B00-00000B000000}" name="# of Generic" dataDxfId="347"/>
    <tableColumn id="10" xr3:uid="{00000000-0010-0000-0B00-00000A000000}" name="Shorter Name" dataDxfId="346"/>
    <tableColumn id="13" xr3:uid="{00000000-0010-0000-0B00-00000D000000}" name="Number of Drives" dataDxfId="345"/>
  </tableColumns>
  <tableStyleInfo name="TableStyleMedium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A000000}" name="GPU" displayName="GPU" ref="A1:D11" totalsRowShown="0" headerRowDxfId="344" dataDxfId="343">
  <autoFilter ref="A1:D11" xr:uid="{00000000-0009-0000-0100-00001F000000}"/>
  <tableColumns count="4">
    <tableColumn id="1" xr3:uid="{00000000-0010-0000-0A00-000001000000}" name="Part" dataDxfId="342"/>
    <tableColumn id="3" xr3:uid="{00000000-0010-0000-0A00-000003000000}" name="Idle Power (W)" dataDxfId="341"/>
    <tableColumn id="4" xr3:uid="{00000000-0010-0000-0A00-000004000000}" name="Highest Reached" dataDxfId="340"/>
    <tableColumn id="2" xr3:uid="{00000000-0010-0000-0A00-000002000000}" name="Power (W)" dataDxfId="339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hrottle_Presets" displayName="Throttle_Presets" ref="B33:F38" headerRowCount="0" totalsRowShown="0" headerRowDxfId="337" headerRowBorderDxfId="336" tableBorderDxfId="335" totalsRowBorderDxfId="334">
  <tableColumns count="5">
    <tableColumn id="1" xr3:uid="{00000000-0010-0000-0C00-000001000000}" name="Load" headerRowDxfId="333" dataDxfId="332"/>
    <tableColumn id="3" xr3:uid="{00000000-0010-0000-0C00-000003000000}" name="Column3" headerRowDxfId="331" dataDxfId="330"/>
    <tableColumn id="2" xr3:uid="{00000000-0010-0000-0C00-000002000000}" name="Column2" headerRowDxfId="329" dataDxfId="328"/>
    <tableColumn id="4" xr3:uid="{00000000-0010-0000-0C00-000004000000}" name="Column4" headerRowDxfId="327" dataDxfId="326"/>
    <tableColumn id="5" xr3:uid="{00000000-0010-0000-0C00-000005000000}" name="Column5" headerRowDxfId="325" dataDxfId="324"/>
  </tableColumns>
  <tableStyleInfo name="TableStyleMedium1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Server_Configs" displayName="Server_Configs" ref="A2:J50" totalsRowShown="0" headerRowDxfId="312" dataDxfId="311" dataCellStyle="Normal 2">
  <autoFilter ref="A2:J50" xr:uid="{00000000-0009-0000-0100-000004000000}"/>
  <sortState xmlns:xlrd2="http://schemas.microsoft.com/office/spreadsheetml/2017/richdata2" ref="A3:W14">
    <sortCondition descending="1" ref="A1:A13"/>
  </sortState>
  <tableColumns count="10">
    <tableColumn id="1" xr3:uid="{00000000-0010-0000-0D00-000001000000}" name="Server Type / CPU Usage" dataDxfId="310" dataCellStyle="Normal 2"/>
    <tableColumn id="2" xr3:uid="{00000000-0010-0000-0D00-000002000000}" name="Amps" dataDxfId="309" dataCellStyle="Normal 2"/>
    <tableColumn id="3" xr3:uid="{00000000-0010-0000-0D00-000003000000}" name="Watts" dataDxfId="308" dataCellStyle="Normal 2"/>
    <tableColumn id="4" xr3:uid="{00000000-0010-0000-0D00-000004000000}" name="PSUs Used" dataDxfId="307" dataCellStyle="Normal 2"/>
    <tableColumn id="6" xr3:uid="{00000000-0010-0000-0D00-000006000000}" name="CPUs" dataDxfId="306" dataCellStyle="Normal 2"/>
    <tableColumn id="8" xr3:uid="{00000000-0010-0000-0D00-000008000000}" name="Cores " dataDxfId="305" dataCellStyle="Normal 2"/>
    <tableColumn id="9" xr3:uid="{00000000-0010-0000-0D00-000009000000}" name="GHz" dataDxfId="304" dataCellStyle="Normal 2"/>
    <tableColumn id="13" xr3:uid="{00000000-0010-0000-0D00-00000D000000}" name="RAM" dataDxfId="303" dataCellStyle="Normal 2"/>
    <tableColumn id="11" xr3:uid="{00000000-0010-0000-0D00-00000B000000}" name="GPUs" dataDxfId="302" dataCellStyle="Normal 2"/>
    <tableColumn id="5" xr3:uid="{00000000-0010-0000-0D00-000005000000}" name="Units" dataDxfId="301" dataCellStyle="Normal 2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ProcCalcs" displayName="ProcCalcs" ref="B3:E6" totalsRowShown="0" headerRowDxfId="300" headerRowBorderDxfId="299" tableBorderDxfId="298" totalsRowBorderDxfId="297">
  <autoFilter ref="B3:E6" xr:uid="{00000000-0009-0000-0100-000014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E00-000001000000}" name="XX %"/>
    <tableColumn id="2" xr3:uid="{00000000-0010-0000-0E00-000002000000}" name=" (Pmax)" dataDxfId="296"/>
    <tableColumn id="3" xr3:uid="{00000000-0010-0000-0E00-000003000000}" name="(Pmin )" dataDxfId="295"/>
    <tableColumn id="4" xr3:uid="{00000000-0010-0000-0E00-000004000000}" name="W @ XX %" dataDxfId="294">
      <calculatedColumnFormula>(C4-D4)*(B4/100)+D4</calculatedColumnFormula>
    </tableColumn>
  </tableColumns>
  <tableStyleInfo name="Table Style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GPUCalcs" displayName="GPUCalcs" ref="B9:E12" totalsRowShown="0" headerRowDxfId="293" headerRowBorderDxfId="292" tableBorderDxfId="291" totalsRowBorderDxfId="290">
  <tableColumns count="4">
    <tableColumn id="1" xr3:uid="{00000000-0010-0000-0F00-000001000000}" name="XX %"/>
    <tableColumn id="2" xr3:uid="{00000000-0010-0000-0F00-000002000000}" name=" (Pmax)"/>
    <tableColumn id="3" xr3:uid="{00000000-0010-0000-0F00-000003000000}" name="(Pmin )"/>
    <tableColumn id="4" xr3:uid="{00000000-0010-0000-0F00-000004000000}" name="W @ XX %">
      <calculatedColumnFormula>(C10-D10)*(B10/100)+D10</calculatedColumnFormula>
    </tableColumn>
  </tableColumns>
  <tableStyleInfo name="Table Style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0000000}" name="Table61" displayName="Table61" ref="P3:R47" totalsRowShown="0" headerRowDxfId="288" dataDxfId="287">
  <tableColumns count="3">
    <tableColumn id="1" xr3:uid="{00000000-0010-0000-1000-000001000000}" name="0" dataDxfId="286"/>
    <tableColumn id="2" xr3:uid="{00000000-0010-0000-1000-000002000000}" name="Singles" dataDxfId="285">
      <calculatedColumnFormula>IF('Rack Layout'!F3=1, 'Rack Layout'!D3, "N/A")</calculatedColumnFormula>
    </tableColumn>
    <tableColumn id="3" xr3:uid="{00000000-0010-0000-1000-000003000000}" name="Duals" dataDxfId="284">
      <calculatedColumnFormula>IF(OR('Rack Layout'!F3=2,'Rack Layout'!F3=3,'Rack Layout'!F3=4),'Rack Layout'!D3/2,"N/A")</calculatedColumnFormula>
    </tableColumn>
  </tableColumns>
  <tableStyleInfo name="TableStyleMedium15" showFirstColumn="1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1000000}" name="Table6214" displayName="Table6214" ref="T3:V47" headerRowDxfId="283" dataDxfId="282" totalsRowDxfId="281">
  <tableColumns count="3">
    <tableColumn id="1" xr3:uid="{00000000-0010-0000-1100-000001000000}" name="0" totalsRowLabel="Total" dataDxfId="280" totalsRowDxfId="279"/>
    <tableColumn id="2" xr3:uid="{00000000-0010-0000-1100-000002000000}" name="Singles" dataDxfId="278" totalsRowDxfId="277">
      <calculatedColumnFormula>IF('Rack Layout'!T3=1, 'Rack Layout'!R3, "N/A")</calculatedColumnFormula>
    </tableColumn>
    <tableColumn id="3" xr3:uid="{00000000-0010-0000-1100-000003000000}" name="Duals" totalsRowFunction="count" dataDxfId="276" totalsRowDxfId="275">
      <calculatedColumnFormula>IF(OR('Rack Layout'!T3=2,'Rack Layout'!T3=3,'Rack Layout'!T3=4),'Rack Layout'!R3/2,"N/A")</calculatedColumnFormula>
    </tableColumn>
  </tableColumns>
  <tableStyleInfo name="TableStyleMedium15" showFirstColumn="1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2000000}" name="New_Layout" displayName="New_Layout" ref="O2:X47" headerRowDxfId="251" dataDxfId="250" totalsRowDxfId="249">
  <tableColumns count="10">
    <tableColumn id="1" xr3:uid="{00000000-0010-0000-1200-000001000000}" name="Slot" totalsRowLabel="Total" dataDxfId="248" totalsRowDxfId="247" dataCellStyle="Normal 2"/>
    <tableColumn id="2" xr3:uid="{00000000-0010-0000-1200-000002000000}" name="Proc / Chassis" totalsRowFunction="custom" dataDxfId="246" totalsRowDxfId="245" dataCellStyle="Normal 2">
      <calculatedColumnFormula>Old_Layout[[#This Row],[Proc / Chassis]]</calculatedColumnFormula>
      <totalsRowFormula>'Rack Layout'!$A3:$J47</totalsRowFormula>
    </tableColumn>
    <tableColumn id="3" xr3:uid="{00000000-0010-0000-1200-000003000000}" name="Watts*" dataDxfId="244" totalsRowDxfId="243" dataCellStyle="Normal 2">
      <calculatedColumnFormula>IF(ISNUMBER(VLOOKUP(P3,Server_Configs[],3,FALSE)), VLOOKUP(P3,Server_Configs[],3,FALSE), "N/A")</calculatedColumnFormula>
    </tableColumn>
    <tableColumn id="4" xr3:uid="{00000000-0010-0000-1200-000004000000}" name="Amps" dataDxfId="242" totalsRowDxfId="241" dataCellStyle="Normal 2">
      <calculatedColumnFormula>IF(ISNUMBER(Q3), VLOOKUP(P3,Server_Configs[],2,FALSE), "N/A")</calculatedColumnFormula>
    </tableColumn>
    <tableColumn id="5" xr3:uid="{00000000-0010-0000-1200-000005000000}" name="Kw" totalsRowFunction="count" dataDxfId="240" totalsRowDxfId="239" dataCellStyle="Normal 2">
      <calculatedColumnFormula>IF(ISNUMBER('Rack Layout'!$Q3),'Rack Layout'!$R3*208/1000,"N/A")</calculatedColumnFormula>
    </tableColumn>
    <tableColumn id="7" xr3:uid="{00000000-0010-0000-1200-000007000000}" name="PSUs" dataDxfId="238" totalsRowDxfId="237" dataCellStyle="Normal 2">
      <calculatedColumnFormula>IF(ISNUMBER(S3), VLOOKUP(P3,Server_Configs[],4,FALSE), "N/A")</calculatedColumnFormula>
    </tableColumn>
    <tableColumn id="6" xr3:uid="{00000000-0010-0000-1200-000006000000}" name="Cores" dataDxfId="236" totalsRowDxfId="235" dataCellStyle="Normal 2">
      <calculatedColumnFormula>IF(ISNUMBER(VLOOKUP(P3,Server_Configs[],6,FALSE)), VLOOKUP(P3,Server_Configs[],6,FALSE), "N/A")</calculatedColumnFormula>
    </tableColumn>
    <tableColumn id="8" xr3:uid="{00000000-0010-0000-1200-000008000000}" name="RAM" dataDxfId="234" totalsRowDxfId="233" dataCellStyle="Normal 2">
      <calculatedColumnFormula>IF(ISNUMBER(VLOOKUP(P3,Server_Configs[],8,FALSE)), VLOOKUP(P3,Server_Configs[],8,FALSE), "N/A")</calculatedColumnFormula>
    </tableColumn>
    <tableColumn id="9" xr3:uid="{00000000-0010-0000-1200-000009000000}" name="GPUs" dataDxfId="232" totalsRowDxfId="231" dataCellStyle="Normal 2">
      <calculatedColumnFormula>IF(ISNUMBER(VLOOKUP(P3,Server_Configs[],9,FALSE)), VLOOKUP(P3,Server_Configs[],9,FALSE), "N/A")</calculatedColumnFormula>
    </tableColumn>
    <tableColumn id="11" xr3:uid="{00000000-0010-0000-1200-00000B000000}" name="Units" dataDxfId="230" totalsRowDxfId="229" dataCellStyle="Normal 2">
      <calculatedColumnFormula>IF(ISNUMBER(VLOOKUP(P3,Server_Configs[],10,FALSE)), VLOOKUP(P3,Server_Configs[],10,FALSE), "N/A")</calculatedColumnFormula>
    </tableColumn>
  </tableColumns>
  <tableStyleInfo name="TableStyleMedium15" showFirstColumn="1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3000000}" name="Old_Layout" displayName="Old_Layout" ref="A2:J47" totalsRowShown="0" headerRowDxfId="228" headerRowBorderDxfId="227" tableBorderDxfId="226" totalsRowBorderDxfId="225">
  <autoFilter ref="A2:J47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1300-000001000000}" name="Slot" dataDxfId="224" dataCellStyle="Normal 2"/>
    <tableColumn id="2" xr3:uid="{00000000-0010-0000-1300-000002000000}" name="Proc / Chassis" dataDxfId="223"/>
    <tableColumn id="3" xr3:uid="{00000000-0010-0000-1300-000003000000}" name="Watts*" dataDxfId="222" dataCellStyle="Normal 2">
      <calculatedColumnFormula>IF(ISNUMBER(VLOOKUP(B3,Server_Configs[],3,FALSE)), VLOOKUP(B3,Server_Configs[],3,FALSE), "N/A")</calculatedColumnFormula>
    </tableColumn>
    <tableColumn id="4" xr3:uid="{00000000-0010-0000-1300-000004000000}" name="Amps" dataDxfId="221" dataCellStyle="Normal 2">
      <calculatedColumnFormula>IF(ISNUMBER(C3), VLOOKUP(B3,Server_Configs[],2,FALSE), "N/A")</calculatedColumnFormula>
    </tableColumn>
    <tableColumn id="5" xr3:uid="{00000000-0010-0000-1300-000005000000}" name="Kw" dataDxfId="220" dataCellStyle="Normal 2">
      <calculatedColumnFormula>IF(ISNUMBER('Rack Layout'!$C3),'Rack Layout'!$D3*208/1000,"N/A")</calculatedColumnFormula>
    </tableColumn>
    <tableColumn id="6" xr3:uid="{00000000-0010-0000-1300-000006000000}" name="PSUs" dataDxfId="219" dataCellStyle="Normal 2">
      <calculatedColumnFormula>IF(ISNUMBER(E3), VLOOKUP(B3,Server_Configs[],4,FALSE), "N/A")</calculatedColumnFormula>
    </tableColumn>
    <tableColumn id="7" xr3:uid="{00000000-0010-0000-1300-000007000000}" name="Cores" dataDxfId="218" dataCellStyle="Normal 2">
      <calculatedColumnFormula>IF(ISNUMBER(VLOOKUP(B3,Server_Configs[],6,FALSE)), VLOOKUP(B3,Server_Configs[],6,FALSE), "N/A")</calculatedColumnFormula>
    </tableColumn>
    <tableColumn id="8" xr3:uid="{00000000-0010-0000-1300-000008000000}" name="RAM" dataDxfId="217" dataCellStyle="Normal 2">
      <calculatedColumnFormula>IF(ISNUMBER(VLOOKUP(B3,Server_Configs[],8,FALSE)), VLOOKUP(B3,Server_Configs[],8,FALSE), "N/A")</calculatedColumnFormula>
    </tableColumn>
    <tableColumn id="9" xr3:uid="{00000000-0010-0000-1300-000009000000}" name="GPUs" dataDxfId="216" dataCellStyle="Normal 2">
      <calculatedColumnFormula>IF(ISNUMBER(VLOOKUP(B3,Server_Configs[],9,FALSE)), VLOOKUP(B3,Server_Configs[],9,FALSE), "N/A")</calculatedColumnFormula>
    </tableColumn>
    <tableColumn id="10" xr3:uid="{00000000-0010-0000-1300-00000A000000}" name="Units" dataDxfId="215" dataCellStyle="Normal 2">
      <calculatedColumnFormula>IF(ISNUMBER(VLOOKUP(B3,Server_Configs[],10,FALSE)), VLOOKUP(B3,Server_Configs[],10,FALSE), "N/A")</calculatedColumnFormula>
    </tableColumn>
  </tableColumns>
  <tableStyleInfo name="Table Style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4000000}" name="Saved_Layouts" displayName="Saved_Layouts" ref="A1:A8" totalsRowShown="0" headerRowDxfId="2" dataDxfId="1">
  <autoFilter ref="A1:A8" xr:uid="{00000000-0009-0000-0100-000010000000}"/>
  <tableColumns count="1">
    <tableColumn id="1" xr3:uid="{00000000-0010-0000-1400-000001000000}" name="Saved Layout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table" Target="../tables/table1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8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table" Target="../tables/table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table" Target="../tables/table2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4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4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4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4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-0.249977111117893"/>
  </sheetPr>
  <dimension ref="A1:AC61"/>
  <sheetViews>
    <sheetView topLeftCell="C1" workbookViewId="0">
      <selection activeCell="D25" sqref="D25"/>
    </sheetView>
  </sheetViews>
  <sheetFormatPr defaultRowHeight="14.4" x14ac:dyDescent="0.3"/>
  <cols>
    <col min="1" max="1" width="20.33203125" customWidth="1"/>
    <col min="2" max="2" width="12.88671875" bestFit="1" customWidth="1"/>
    <col min="3" max="3" width="16.88671875" customWidth="1"/>
    <col min="4" max="4" width="12" customWidth="1"/>
    <col min="5" max="5" width="10.6640625" customWidth="1"/>
    <col min="6" max="6" width="13.6640625" bestFit="1" customWidth="1"/>
    <col min="7" max="7" width="14.6640625" customWidth="1"/>
    <col min="8" max="8" width="16.21875" customWidth="1"/>
    <col min="9" max="9" width="11.5546875" bestFit="1" customWidth="1"/>
    <col min="10" max="10" width="11.44140625" bestFit="1" customWidth="1"/>
    <col min="11" max="11" width="7" customWidth="1"/>
    <col min="12" max="12" width="8.21875" bestFit="1" customWidth="1"/>
    <col min="13" max="13" width="16" bestFit="1" customWidth="1"/>
    <col min="14" max="15" width="15.77734375" bestFit="1" customWidth="1"/>
    <col min="16" max="16" width="18.77734375" bestFit="1" customWidth="1"/>
    <col min="17" max="17" width="15.77734375" bestFit="1" customWidth="1"/>
    <col min="18" max="18" width="18.77734375" bestFit="1" customWidth="1"/>
    <col min="19" max="19" width="17.6640625" bestFit="1" customWidth="1"/>
    <col min="20" max="21" width="10.6640625" bestFit="1" customWidth="1"/>
    <col min="22" max="23" width="9.88671875" bestFit="1" customWidth="1"/>
    <col min="24" max="25" width="7.77734375" bestFit="1" customWidth="1"/>
    <col min="27" max="27" width="8.109375" bestFit="1" customWidth="1"/>
    <col min="28" max="28" width="8.6640625" bestFit="1" customWidth="1"/>
    <col min="29" max="29" width="7.109375" bestFit="1" customWidth="1"/>
  </cols>
  <sheetData>
    <row r="1" spans="1:29" x14ac:dyDescent="0.3">
      <c r="A1" t="s">
        <v>27</v>
      </c>
      <c r="B1" t="s">
        <v>26</v>
      </c>
      <c r="C1" t="s">
        <v>158</v>
      </c>
      <c r="E1" s="688" t="s">
        <v>159</v>
      </c>
      <c r="F1" s="688"/>
      <c r="G1" s="688"/>
      <c r="H1" s="688"/>
      <c r="I1" s="688"/>
      <c r="J1" s="688"/>
      <c r="K1" s="688"/>
      <c r="L1" s="688"/>
      <c r="M1" s="688"/>
      <c r="N1" s="688"/>
      <c r="O1" s="688"/>
      <c r="P1" s="688"/>
      <c r="Q1" s="688"/>
      <c r="R1" s="688"/>
      <c r="S1" s="688"/>
      <c r="T1" s="688"/>
      <c r="U1" s="688"/>
      <c r="V1" s="688"/>
      <c r="W1" s="688"/>
      <c r="X1" s="688"/>
      <c r="Y1" s="688"/>
      <c r="Z1" s="688"/>
      <c r="AA1" s="688"/>
      <c r="AB1" s="688"/>
      <c r="AC1" s="688"/>
    </row>
    <row r="2" spans="1:29" x14ac:dyDescent="0.3">
      <c r="A2" t="s">
        <v>30</v>
      </c>
      <c r="B2">
        <v>0</v>
      </c>
      <c r="C2" t="s">
        <v>30</v>
      </c>
      <c r="E2" s="11" t="s">
        <v>30</v>
      </c>
      <c r="F2" s="11" t="s">
        <v>52</v>
      </c>
      <c r="G2" s="11" t="s">
        <v>508</v>
      </c>
      <c r="H2" s="11" t="s">
        <v>34</v>
      </c>
      <c r="I2" s="11" t="s">
        <v>23</v>
      </c>
      <c r="J2" s="11" t="s">
        <v>28</v>
      </c>
      <c r="L2" s="11" t="s">
        <v>32</v>
      </c>
      <c r="M2" s="11" t="s">
        <v>32</v>
      </c>
      <c r="N2" s="11" t="s">
        <v>33</v>
      </c>
      <c r="O2" s="11" t="s">
        <v>33</v>
      </c>
      <c r="P2" s="11" t="s">
        <v>0</v>
      </c>
      <c r="Q2" s="11" t="s">
        <v>0</v>
      </c>
      <c r="R2" s="11" t="s">
        <v>96</v>
      </c>
      <c r="S2" s="41" t="s">
        <v>96</v>
      </c>
      <c r="T2" s="8" t="s">
        <v>312</v>
      </c>
      <c r="U2" s="8" t="s">
        <v>312</v>
      </c>
      <c r="V2" s="8" t="s">
        <v>308</v>
      </c>
      <c r="W2" s="8" t="s">
        <v>308</v>
      </c>
      <c r="X2" s="8" t="s">
        <v>528</v>
      </c>
      <c r="Y2" s="8" t="s">
        <v>528</v>
      </c>
      <c r="AA2" s="11" t="s">
        <v>142</v>
      </c>
      <c r="AB2" s="11" t="s">
        <v>73</v>
      </c>
      <c r="AC2" s="11" t="s">
        <v>277</v>
      </c>
    </row>
    <row r="3" spans="1:29" x14ac:dyDescent="0.3">
      <c r="A3" t="s">
        <v>504</v>
      </c>
      <c r="B3">
        <v>20</v>
      </c>
      <c r="C3" t="s">
        <v>505</v>
      </c>
      <c r="E3" s="7">
        <v>0</v>
      </c>
      <c r="F3" s="7">
        <v>2</v>
      </c>
      <c r="G3" s="7">
        <v>2</v>
      </c>
      <c r="H3" s="7">
        <v>2</v>
      </c>
      <c r="I3" s="7">
        <v>2</v>
      </c>
      <c r="J3" s="7">
        <v>2</v>
      </c>
      <c r="L3" s="7">
        <v>3</v>
      </c>
      <c r="M3" s="7">
        <v>6</v>
      </c>
      <c r="N3" s="7">
        <v>3</v>
      </c>
      <c r="O3" s="7">
        <v>6</v>
      </c>
      <c r="P3" s="7">
        <v>4</v>
      </c>
      <c r="Q3" s="7">
        <v>8</v>
      </c>
      <c r="R3" s="7">
        <v>4</v>
      </c>
      <c r="S3" s="7">
        <v>8</v>
      </c>
      <c r="T3" s="7">
        <v>4</v>
      </c>
      <c r="U3" s="7">
        <v>8</v>
      </c>
      <c r="V3" s="7">
        <v>4</v>
      </c>
      <c r="W3" s="7">
        <v>8</v>
      </c>
      <c r="X3" s="7">
        <v>6</v>
      </c>
      <c r="Y3" s="7">
        <v>12</v>
      </c>
      <c r="AA3" s="7">
        <v>8</v>
      </c>
      <c r="AB3" s="7">
        <v>16</v>
      </c>
      <c r="AC3" s="7">
        <v>32</v>
      </c>
    </row>
    <row r="4" spans="1:29" x14ac:dyDescent="0.3">
      <c r="A4" t="s">
        <v>312</v>
      </c>
      <c r="B4">
        <v>30</v>
      </c>
      <c r="C4" t="s">
        <v>293</v>
      </c>
      <c r="E4" s="47"/>
      <c r="F4" s="7">
        <v>4</v>
      </c>
      <c r="G4" s="7">
        <v>4</v>
      </c>
      <c r="H4" s="7">
        <v>4</v>
      </c>
      <c r="I4" s="7">
        <v>4</v>
      </c>
      <c r="J4" s="7">
        <v>4</v>
      </c>
      <c r="L4" s="7">
        <v>6</v>
      </c>
      <c r="M4" s="7">
        <v>12</v>
      </c>
      <c r="N4" s="7">
        <v>6</v>
      </c>
      <c r="O4" s="7">
        <v>12</v>
      </c>
      <c r="P4" s="7">
        <v>8</v>
      </c>
      <c r="Q4" s="7">
        <v>16</v>
      </c>
      <c r="R4" s="7">
        <v>8</v>
      </c>
      <c r="S4" s="7">
        <v>16</v>
      </c>
      <c r="T4" s="7">
        <v>8</v>
      </c>
      <c r="U4" s="7">
        <v>16</v>
      </c>
      <c r="V4" s="7">
        <v>8</v>
      </c>
      <c r="W4" s="7">
        <v>16</v>
      </c>
      <c r="X4" s="7">
        <v>12</v>
      </c>
      <c r="Y4" s="7">
        <v>24</v>
      </c>
      <c r="AA4" s="7">
        <v>12</v>
      </c>
      <c r="AB4" s="7">
        <v>32</v>
      </c>
      <c r="AC4" s="7">
        <v>64</v>
      </c>
    </row>
    <row r="5" spans="1:29" x14ac:dyDescent="0.3">
      <c r="A5" t="s">
        <v>308</v>
      </c>
      <c r="B5">
        <v>20</v>
      </c>
      <c r="C5" t="s">
        <v>296</v>
      </c>
      <c r="E5" s="47"/>
      <c r="F5" s="47"/>
      <c r="G5" s="47"/>
      <c r="H5" s="47"/>
      <c r="I5" s="47"/>
      <c r="J5" s="7">
        <v>6</v>
      </c>
      <c r="L5" s="47"/>
      <c r="M5" s="47"/>
      <c r="N5" s="7">
        <v>9</v>
      </c>
      <c r="O5" s="7">
        <v>18</v>
      </c>
      <c r="P5" s="50"/>
      <c r="Q5" s="50"/>
      <c r="R5" s="7">
        <v>12</v>
      </c>
      <c r="S5" s="7">
        <v>24</v>
      </c>
      <c r="T5" s="7">
        <v>12</v>
      </c>
      <c r="U5" s="7">
        <v>24</v>
      </c>
      <c r="V5" s="7">
        <v>12</v>
      </c>
      <c r="W5" s="7">
        <v>24</v>
      </c>
      <c r="X5" s="47"/>
      <c r="Y5" s="47"/>
      <c r="AA5" s="7">
        <v>16</v>
      </c>
      <c r="AB5" s="47"/>
      <c r="AC5" s="53">
        <v>96</v>
      </c>
    </row>
    <row r="6" spans="1:29" x14ac:dyDescent="0.3">
      <c r="A6" t="s">
        <v>277</v>
      </c>
      <c r="B6">
        <v>50</v>
      </c>
      <c r="C6" t="s">
        <v>304</v>
      </c>
      <c r="E6" s="47"/>
      <c r="F6" s="47"/>
      <c r="G6" s="47"/>
      <c r="H6" s="47"/>
      <c r="I6" s="47"/>
      <c r="J6" s="47"/>
      <c r="L6" s="47"/>
      <c r="M6" s="47"/>
      <c r="N6" s="47"/>
      <c r="O6" s="47"/>
      <c r="P6" s="47"/>
      <c r="Q6" s="47"/>
      <c r="R6" s="47"/>
      <c r="S6" s="681"/>
      <c r="T6" s="49"/>
      <c r="U6" s="49"/>
      <c r="V6" s="49"/>
      <c r="W6" s="49"/>
      <c r="X6" s="49"/>
      <c r="Y6" s="49"/>
      <c r="AA6" s="7">
        <v>32</v>
      </c>
      <c r="AB6" s="47"/>
      <c r="AC6" s="47"/>
    </row>
    <row r="7" spans="1:29" x14ac:dyDescent="0.3">
      <c r="A7" t="s">
        <v>52</v>
      </c>
      <c r="B7">
        <v>20</v>
      </c>
      <c r="C7" t="s">
        <v>256</v>
      </c>
      <c r="AA7" s="49"/>
      <c r="AB7" s="49"/>
      <c r="AC7" s="49"/>
    </row>
    <row r="8" spans="1:29" x14ac:dyDescent="0.3">
      <c r="A8" t="s">
        <v>315</v>
      </c>
      <c r="B8">
        <v>21</v>
      </c>
      <c r="C8" t="s">
        <v>507</v>
      </c>
      <c r="E8" s="8" t="s">
        <v>414</v>
      </c>
      <c r="F8" s="486" t="s">
        <v>504</v>
      </c>
      <c r="G8" s="486" t="s">
        <v>584</v>
      </c>
      <c r="H8" s="486" t="s">
        <v>585</v>
      </c>
      <c r="I8" s="486" t="s">
        <v>586</v>
      </c>
      <c r="J8" s="486" t="s">
        <v>587</v>
      </c>
      <c r="L8" s="486" t="s">
        <v>588</v>
      </c>
      <c r="M8" s="486" t="s">
        <v>611</v>
      </c>
      <c r="N8" s="486" t="s">
        <v>606</v>
      </c>
      <c r="O8" s="486" t="s">
        <v>607</v>
      </c>
      <c r="P8" s="486" t="s">
        <v>608</v>
      </c>
      <c r="Q8" s="486" t="s">
        <v>609</v>
      </c>
      <c r="R8" s="486" t="s">
        <v>610</v>
      </c>
      <c r="S8" s="486" t="s">
        <v>589</v>
      </c>
      <c r="T8" s="486"/>
      <c r="U8" s="486"/>
    </row>
    <row r="9" spans="1:29" x14ac:dyDescent="0.3">
      <c r="A9" t="s">
        <v>33</v>
      </c>
      <c r="B9">
        <v>25</v>
      </c>
      <c r="C9" t="s">
        <v>260</v>
      </c>
      <c r="E9" s="7">
        <v>8</v>
      </c>
      <c r="F9" s="7">
        <v>2</v>
      </c>
      <c r="G9" s="7">
        <v>2</v>
      </c>
      <c r="H9" s="7">
        <v>16</v>
      </c>
      <c r="I9" s="7">
        <v>2</v>
      </c>
      <c r="J9" s="7">
        <v>16</v>
      </c>
      <c r="L9" s="7">
        <v>16</v>
      </c>
      <c r="M9" s="7">
        <v>8</v>
      </c>
      <c r="N9" s="24">
        <v>2</v>
      </c>
      <c r="O9" s="7">
        <v>8</v>
      </c>
      <c r="P9" s="7">
        <v>8</v>
      </c>
      <c r="Q9" s="7">
        <v>8</v>
      </c>
      <c r="R9" s="7">
        <v>8</v>
      </c>
      <c r="S9" s="159"/>
      <c r="T9" s="7"/>
      <c r="U9" s="7"/>
    </row>
    <row r="10" spans="1:29" x14ac:dyDescent="0.3">
      <c r="A10" t="s">
        <v>32</v>
      </c>
      <c r="B10">
        <v>24</v>
      </c>
      <c r="C10" t="s">
        <v>130</v>
      </c>
      <c r="E10" s="7">
        <v>16</v>
      </c>
      <c r="F10" s="7">
        <v>4</v>
      </c>
      <c r="G10" s="7">
        <v>4</v>
      </c>
      <c r="H10" s="7">
        <v>32</v>
      </c>
      <c r="I10" s="7">
        <v>4</v>
      </c>
      <c r="J10" s="7">
        <v>32</v>
      </c>
      <c r="L10" s="7">
        <v>32</v>
      </c>
      <c r="M10" s="7">
        <v>16</v>
      </c>
      <c r="N10" s="24">
        <v>4</v>
      </c>
      <c r="O10" s="7">
        <v>16</v>
      </c>
      <c r="P10" s="7">
        <v>16</v>
      </c>
      <c r="Q10" s="7">
        <v>16</v>
      </c>
      <c r="R10" s="7">
        <v>16</v>
      </c>
      <c r="S10" s="159"/>
      <c r="T10" s="7"/>
      <c r="U10" s="7"/>
    </row>
    <row r="11" spans="1:29" x14ac:dyDescent="0.3">
      <c r="A11" t="s">
        <v>142</v>
      </c>
      <c r="B11">
        <v>90</v>
      </c>
      <c r="C11" t="s">
        <v>273</v>
      </c>
      <c r="E11" s="7">
        <v>32</v>
      </c>
      <c r="F11" s="682"/>
      <c r="G11" s="53">
        <v>6</v>
      </c>
      <c r="H11" s="682"/>
      <c r="I11" s="53">
        <v>6</v>
      </c>
      <c r="J11" s="682"/>
      <c r="L11" s="487"/>
      <c r="M11" s="7">
        <v>32</v>
      </c>
      <c r="N11" s="487"/>
      <c r="O11" s="7">
        <v>24</v>
      </c>
      <c r="P11" s="7">
        <v>24</v>
      </c>
      <c r="Q11" s="7">
        <v>24</v>
      </c>
      <c r="R11" s="7">
        <v>24</v>
      </c>
      <c r="S11" s="487"/>
      <c r="T11" s="487"/>
      <c r="U11" s="487"/>
    </row>
    <row r="12" spans="1:29" x14ac:dyDescent="0.3">
      <c r="A12" t="s">
        <v>28</v>
      </c>
      <c r="B12">
        <v>20</v>
      </c>
      <c r="C12" t="s">
        <v>129</v>
      </c>
      <c r="E12" s="47"/>
      <c r="F12" s="47"/>
      <c r="G12" s="7">
        <v>8</v>
      </c>
      <c r="H12" s="47"/>
      <c r="I12" s="7">
        <v>8</v>
      </c>
      <c r="J12" s="47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9" x14ac:dyDescent="0.3">
      <c r="A13" t="s">
        <v>0</v>
      </c>
      <c r="B13">
        <v>23</v>
      </c>
      <c r="C13" t="s">
        <v>258</v>
      </c>
      <c r="E13" s="47"/>
      <c r="F13" s="47"/>
      <c r="G13" s="7">
        <v>12</v>
      </c>
      <c r="H13" s="47"/>
      <c r="I13" s="7">
        <v>12</v>
      </c>
      <c r="J13" s="47"/>
    </row>
    <row r="14" spans="1:29" x14ac:dyDescent="0.3">
      <c r="A14" t="s">
        <v>96</v>
      </c>
      <c r="B14">
        <v>23</v>
      </c>
      <c r="C14" t="s">
        <v>259</v>
      </c>
      <c r="E14" s="47"/>
      <c r="F14" s="47"/>
      <c r="G14" s="7">
        <v>16</v>
      </c>
      <c r="H14" s="47"/>
      <c r="I14" s="7">
        <v>16</v>
      </c>
      <c r="J14" s="47"/>
    </row>
    <row r="15" spans="1:29" x14ac:dyDescent="0.3">
      <c r="A15" t="s">
        <v>73</v>
      </c>
      <c r="B15">
        <v>80</v>
      </c>
      <c r="C15" t="s">
        <v>257</v>
      </c>
      <c r="E15" s="47"/>
      <c r="F15" s="47"/>
      <c r="G15" s="7">
        <v>24</v>
      </c>
      <c r="H15" s="47"/>
      <c r="I15" s="7">
        <v>24</v>
      </c>
      <c r="J15" s="47"/>
    </row>
    <row r="16" spans="1:29" x14ac:dyDescent="0.3">
      <c r="A16" t="s">
        <v>34</v>
      </c>
      <c r="B16">
        <v>18</v>
      </c>
      <c r="C16" t="s">
        <v>128</v>
      </c>
      <c r="E16" s="49"/>
      <c r="F16" s="49"/>
      <c r="G16" s="49"/>
      <c r="H16" s="49"/>
      <c r="I16" s="49"/>
      <c r="J16" s="49"/>
    </row>
    <row r="17" spans="1:3" x14ac:dyDescent="0.3">
      <c r="A17" t="s">
        <v>23</v>
      </c>
      <c r="B17">
        <v>20</v>
      </c>
      <c r="C17" t="s">
        <v>127</v>
      </c>
    </row>
    <row r="18" spans="1:3" x14ac:dyDescent="0.3">
      <c r="A18" t="s">
        <v>412</v>
      </c>
      <c r="B18">
        <f>84+32</f>
        <v>116</v>
      </c>
      <c r="C18" t="s">
        <v>413</v>
      </c>
    </row>
    <row r="19" spans="1:3" x14ac:dyDescent="0.3">
      <c r="A19" t="s">
        <v>528</v>
      </c>
      <c r="B19">
        <v>25</v>
      </c>
      <c r="C19" t="s">
        <v>529</v>
      </c>
    </row>
    <row r="20" spans="1:3" x14ac:dyDescent="0.3">
      <c r="A20" t="s">
        <v>606</v>
      </c>
      <c r="B20">
        <v>18</v>
      </c>
      <c r="C20" s="684" t="s">
        <v>626</v>
      </c>
    </row>
    <row r="21" spans="1:3" x14ac:dyDescent="0.3">
      <c r="A21" t="s">
        <v>607</v>
      </c>
      <c r="B21">
        <v>25</v>
      </c>
      <c r="C21" s="2" t="s">
        <v>628</v>
      </c>
    </row>
    <row r="22" spans="1:3" x14ac:dyDescent="0.3">
      <c r="A22" t="s">
        <v>608</v>
      </c>
      <c r="B22">
        <v>25</v>
      </c>
      <c r="C22" t="s">
        <v>629</v>
      </c>
    </row>
    <row r="23" spans="1:3" x14ac:dyDescent="0.3">
      <c r="A23" t="s">
        <v>609</v>
      </c>
      <c r="B23">
        <v>25</v>
      </c>
      <c r="C23" s="2" t="s">
        <v>630</v>
      </c>
    </row>
    <row r="24" spans="1:3" x14ac:dyDescent="0.3">
      <c r="A24" t="s">
        <v>610</v>
      </c>
      <c r="B24">
        <v>25</v>
      </c>
      <c r="C24" t="s">
        <v>631</v>
      </c>
    </row>
    <row r="25" spans="1:3" x14ac:dyDescent="0.3">
      <c r="A25" t="s">
        <v>584</v>
      </c>
      <c r="B25">
        <v>24</v>
      </c>
      <c r="C25" t="s">
        <v>632</v>
      </c>
    </row>
    <row r="26" spans="1:3" x14ac:dyDescent="0.3">
      <c r="A26" t="s">
        <v>585</v>
      </c>
      <c r="B26">
        <v>24</v>
      </c>
      <c r="C26" t="s">
        <v>585</v>
      </c>
    </row>
    <row r="27" spans="1:3" x14ac:dyDescent="0.3">
      <c r="A27" t="s">
        <v>586</v>
      </c>
      <c r="B27">
        <v>24</v>
      </c>
      <c r="C27" t="s">
        <v>586</v>
      </c>
    </row>
    <row r="28" spans="1:3" x14ac:dyDescent="0.3">
      <c r="A28" t="s">
        <v>587</v>
      </c>
      <c r="B28">
        <v>24</v>
      </c>
      <c r="C28" t="s">
        <v>587</v>
      </c>
    </row>
    <row r="29" spans="1:3" x14ac:dyDescent="0.3">
      <c r="A29" t="s">
        <v>588</v>
      </c>
      <c r="B29">
        <v>30</v>
      </c>
      <c r="C29" t="s">
        <v>588</v>
      </c>
    </row>
    <row r="30" spans="1:3" x14ac:dyDescent="0.3">
      <c r="A30" t="s">
        <v>589</v>
      </c>
      <c r="B30">
        <v>100</v>
      </c>
      <c r="C30" t="s">
        <v>589</v>
      </c>
    </row>
    <row r="31" spans="1:3" x14ac:dyDescent="0.3">
      <c r="A31" t="s">
        <v>611</v>
      </c>
      <c r="B31">
        <v>30</v>
      </c>
      <c r="C31" t="s">
        <v>612</v>
      </c>
    </row>
    <row r="32" spans="1:3" x14ac:dyDescent="0.3">
      <c r="A32" t="s">
        <v>591</v>
      </c>
      <c r="B32">
        <v>30</v>
      </c>
      <c r="C32" t="s">
        <v>613</v>
      </c>
    </row>
    <row r="61" spans="18:18" x14ac:dyDescent="0.3">
      <c r="R61" t="e">
        <f ca="1">GetUserName()</f>
        <v>#NAME?</v>
      </c>
    </row>
  </sheetData>
  <mergeCells count="1">
    <mergeCell ref="E1:AC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OpenMoboAdd">
                <anchor moveWithCells="1" sizeWithCells="1">
                  <from>
                    <xdr:col>3</xdr:col>
                    <xdr:colOff>22860</xdr:colOff>
                    <xdr:row>18</xdr:row>
                    <xdr:rowOff>106680</xdr:rowOff>
                  </from>
                  <to>
                    <xdr:col>5</xdr:col>
                    <xdr:colOff>243840</xdr:colOff>
                    <xdr:row>19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 tint="-0.249977111117893"/>
  </sheetPr>
  <dimension ref="A1:AA78"/>
  <sheetViews>
    <sheetView workbookViewId="0">
      <pane xSplit="1" topLeftCell="L1" activePane="topRight" state="frozen"/>
      <selection activeCell="A8" sqref="A8"/>
      <selection pane="topRight" activeCell="S6" sqref="S6"/>
    </sheetView>
  </sheetViews>
  <sheetFormatPr defaultRowHeight="14.4" x14ac:dyDescent="0.3"/>
  <cols>
    <col min="1" max="1" width="20.109375" bestFit="1" customWidth="1"/>
    <col min="2" max="2" width="12.6640625" customWidth="1"/>
    <col min="3" max="3" width="13.44140625" style="1" customWidth="1"/>
    <col min="4" max="4" width="10.109375" customWidth="1"/>
    <col min="6" max="6" width="9.109375" style="177"/>
    <col min="7" max="7" width="16.33203125" hidden="1" customWidth="1"/>
    <col min="8" max="8" width="14.6640625" bestFit="1" customWidth="1"/>
    <col min="9" max="9" width="10.44140625" style="1" bestFit="1" customWidth="1"/>
    <col min="10" max="10" width="10.44140625" style="1" customWidth="1"/>
    <col min="12" max="12" width="9.5546875" bestFit="1" customWidth="1"/>
    <col min="13" max="13" width="10" bestFit="1" customWidth="1"/>
    <col min="14" max="14" width="11.33203125" bestFit="1" customWidth="1"/>
    <col min="15" max="15" width="10.33203125" bestFit="1" customWidth="1"/>
    <col min="16" max="16" width="13.33203125" bestFit="1" customWidth="1"/>
    <col min="17" max="17" width="10.33203125" bestFit="1" customWidth="1"/>
    <col min="18" max="18" width="13.33203125" bestFit="1" customWidth="1"/>
    <col min="19" max="19" width="11.44140625" bestFit="1" customWidth="1"/>
    <col min="20" max="20" width="14.44140625" style="2" bestFit="1" customWidth="1"/>
    <col min="21" max="21" width="11.44140625" style="2" bestFit="1" customWidth="1"/>
    <col min="22" max="22" width="14.44140625" bestFit="1" customWidth="1"/>
    <col min="23" max="23" width="12.77734375" bestFit="1" customWidth="1"/>
    <col min="24" max="24" width="11.44140625" bestFit="1" customWidth="1"/>
    <col min="25" max="25" width="11.21875" bestFit="1" customWidth="1"/>
    <col min="26" max="26" width="12" bestFit="1" customWidth="1"/>
    <col min="27" max="27" width="12.33203125" bestFit="1" customWidth="1"/>
  </cols>
  <sheetData>
    <row r="1" spans="1:27" x14ac:dyDescent="0.3">
      <c r="A1" s="3" t="s">
        <v>27</v>
      </c>
      <c r="B1" s="3" t="s">
        <v>126</v>
      </c>
      <c r="C1" s="1" t="s">
        <v>69</v>
      </c>
      <c r="D1" s="1" t="s">
        <v>70</v>
      </c>
      <c r="E1" t="s">
        <v>125</v>
      </c>
      <c r="F1" s="177" t="s">
        <v>122</v>
      </c>
      <c r="G1" t="s">
        <v>321</v>
      </c>
      <c r="H1" t="s">
        <v>114</v>
      </c>
      <c r="I1" s="1" t="s">
        <v>115</v>
      </c>
      <c r="J1" s="1" t="s">
        <v>176</v>
      </c>
      <c r="L1" s="688" t="s">
        <v>183</v>
      </c>
      <c r="M1" s="688"/>
      <c r="N1" s="688"/>
      <c r="O1" s="688"/>
      <c r="P1" s="688"/>
      <c r="Q1" s="688"/>
      <c r="R1" s="688"/>
      <c r="S1" s="688"/>
      <c r="T1" s="688"/>
      <c r="U1" s="688"/>
      <c r="V1" s="688"/>
      <c r="W1" s="688"/>
      <c r="X1" s="688"/>
      <c r="Y1" s="688"/>
      <c r="Z1" s="688"/>
      <c r="AA1" s="49"/>
    </row>
    <row r="2" spans="1:27" x14ac:dyDescent="0.3">
      <c r="A2" s="7" t="s">
        <v>30</v>
      </c>
      <c r="B2" s="5">
        <v>0</v>
      </c>
      <c r="C2" s="5">
        <v>0</v>
      </c>
      <c r="D2" s="5">
        <v>0</v>
      </c>
      <c r="E2" s="5">
        <v>0</v>
      </c>
      <c r="F2" s="182">
        <v>0</v>
      </c>
      <c r="G2" s="197"/>
      <c r="H2">
        <v>0</v>
      </c>
      <c r="I2" s="1" t="s">
        <v>133</v>
      </c>
      <c r="J2" s="1" t="s">
        <v>415</v>
      </c>
      <c r="L2" s="8" t="s">
        <v>166</v>
      </c>
      <c r="M2" s="8" t="s">
        <v>165</v>
      </c>
      <c r="N2" s="8" t="s">
        <v>509</v>
      </c>
      <c r="O2" s="8" t="s">
        <v>167</v>
      </c>
      <c r="P2" s="8" t="s">
        <v>271</v>
      </c>
      <c r="Q2" s="8" t="s">
        <v>168</v>
      </c>
      <c r="R2" s="8" t="s">
        <v>173</v>
      </c>
      <c r="S2" s="8" t="s">
        <v>278</v>
      </c>
      <c r="T2" s="8" t="s">
        <v>169</v>
      </c>
      <c r="U2" s="8" t="s">
        <v>170</v>
      </c>
      <c r="V2" s="8" t="s">
        <v>171</v>
      </c>
      <c r="W2" s="8" t="s">
        <v>172</v>
      </c>
      <c r="X2" s="8" t="s">
        <v>175</v>
      </c>
      <c r="Y2" s="8" t="s">
        <v>292</v>
      </c>
      <c r="Z2" s="8" t="s">
        <v>298</v>
      </c>
      <c r="AA2" s="11" t="s">
        <v>534</v>
      </c>
    </row>
    <row r="3" spans="1:27" x14ac:dyDescent="0.3">
      <c r="A3" s="7" t="s">
        <v>74</v>
      </c>
      <c r="B3" s="5">
        <v>95</v>
      </c>
      <c r="C3" s="5">
        <v>25</v>
      </c>
      <c r="D3" s="5">
        <v>93</v>
      </c>
      <c r="E3" s="5">
        <v>8</v>
      </c>
      <c r="F3" s="182">
        <v>2.2000000000000002</v>
      </c>
      <c r="G3" s="197"/>
      <c r="H3">
        <v>1</v>
      </c>
      <c r="I3" s="1" t="s">
        <v>131</v>
      </c>
      <c r="J3" s="1" t="s">
        <v>177</v>
      </c>
      <c r="L3" s="53">
        <v>4</v>
      </c>
      <c r="M3" s="53">
        <v>1</v>
      </c>
      <c r="N3" s="53">
        <v>1</v>
      </c>
      <c r="O3" s="53">
        <v>1</v>
      </c>
      <c r="P3" s="53">
        <v>1</v>
      </c>
      <c r="Q3" s="53">
        <v>1</v>
      </c>
      <c r="R3" s="53">
        <v>4</v>
      </c>
      <c r="S3" s="53">
        <v>4</v>
      </c>
      <c r="T3" s="53">
        <v>1</v>
      </c>
      <c r="U3" s="53">
        <v>1</v>
      </c>
      <c r="V3" s="53">
        <v>1</v>
      </c>
      <c r="W3" s="53">
        <v>1</v>
      </c>
      <c r="X3" s="48">
        <v>0</v>
      </c>
      <c r="Y3" s="53">
        <v>1</v>
      </c>
      <c r="Z3" s="529">
        <v>1</v>
      </c>
      <c r="AA3" s="53">
        <v>1</v>
      </c>
    </row>
    <row r="4" spans="1:27" x14ac:dyDescent="0.3">
      <c r="A4" s="7" t="s">
        <v>75</v>
      </c>
      <c r="B4" s="5">
        <v>130</v>
      </c>
      <c r="C4" s="5">
        <v>28</v>
      </c>
      <c r="D4" s="5">
        <v>125</v>
      </c>
      <c r="E4" s="5">
        <v>8</v>
      </c>
      <c r="F4" s="182">
        <v>2.7</v>
      </c>
      <c r="G4" s="197"/>
      <c r="H4">
        <v>2</v>
      </c>
      <c r="I4" s="1" t="s">
        <v>116</v>
      </c>
      <c r="J4" s="1" t="s">
        <v>178</v>
      </c>
      <c r="L4" s="47"/>
      <c r="M4" s="47"/>
      <c r="N4" s="47"/>
      <c r="O4" s="47"/>
      <c r="P4" s="47"/>
      <c r="Q4" s="47"/>
      <c r="R4" s="47"/>
      <c r="S4" s="47"/>
      <c r="T4" s="53">
        <v>2</v>
      </c>
      <c r="U4" s="53">
        <v>2</v>
      </c>
      <c r="V4" s="53">
        <v>2</v>
      </c>
      <c r="W4" s="53">
        <v>2</v>
      </c>
      <c r="X4" s="47"/>
      <c r="Y4" s="53">
        <v>2</v>
      </c>
      <c r="Z4" s="529">
        <v>2</v>
      </c>
      <c r="AA4" s="53">
        <v>2</v>
      </c>
    </row>
    <row r="5" spans="1:27" x14ac:dyDescent="0.3">
      <c r="A5" s="178" t="s">
        <v>189</v>
      </c>
      <c r="B5" s="179">
        <v>95</v>
      </c>
      <c r="C5" s="179">
        <v>26</v>
      </c>
      <c r="D5" s="179">
        <v>78</v>
      </c>
      <c r="E5" s="179">
        <v>10</v>
      </c>
      <c r="F5" s="183">
        <v>2.4</v>
      </c>
      <c r="G5" s="197"/>
      <c r="H5">
        <v>3</v>
      </c>
      <c r="I5" s="1" t="s">
        <v>188</v>
      </c>
      <c r="J5" s="1" t="s">
        <v>187</v>
      </c>
      <c r="T5"/>
      <c r="U5"/>
    </row>
    <row r="6" spans="1:27" x14ac:dyDescent="0.3">
      <c r="A6" s="178" t="s">
        <v>35</v>
      </c>
      <c r="B6" s="179">
        <v>95</v>
      </c>
      <c r="C6" s="179">
        <v>25</v>
      </c>
      <c r="D6" s="179">
        <v>90</v>
      </c>
      <c r="E6" s="179">
        <v>8</v>
      </c>
      <c r="F6" s="183">
        <v>2</v>
      </c>
      <c r="G6" s="197"/>
      <c r="H6">
        <v>4</v>
      </c>
      <c r="I6" s="1" t="s">
        <v>117</v>
      </c>
      <c r="J6" s="1" t="s">
        <v>179</v>
      </c>
      <c r="L6" s="418" t="s">
        <v>416</v>
      </c>
      <c r="M6" s="683" t="s">
        <v>506</v>
      </c>
      <c r="N6" s="683" t="s">
        <v>627</v>
      </c>
      <c r="O6" s="683" t="s">
        <v>614</v>
      </c>
      <c r="P6" s="683" t="s">
        <v>615</v>
      </c>
      <c r="Q6" s="683" t="s">
        <v>616</v>
      </c>
      <c r="R6" s="683" t="s">
        <v>617</v>
      </c>
      <c r="S6" s="683" t="s">
        <v>618</v>
      </c>
      <c r="T6" s="683" t="s">
        <v>619</v>
      </c>
      <c r="U6" s="683" t="s">
        <v>620</v>
      </c>
      <c r="V6" s="683" t="s">
        <v>621</v>
      </c>
      <c r="W6" s="683" t="s">
        <v>622</v>
      </c>
      <c r="X6" s="683" t="s">
        <v>623</v>
      </c>
      <c r="Y6" s="683" t="s">
        <v>624</v>
      </c>
      <c r="Z6" s="683" t="s">
        <v>625</v>
      </c>
      <c r="AA6" s="683"/>
    </row>
    <row r="7" spans="1:27" x14ac:dyDescent="0.3">
      <c r="A7" s="178" t="s">
        <v>4</v>
      </c>
      <c r="B7" s="179">
        <v>130</v>
      </c>
      <c r="C7" s="179">
        <v>28</v>
      </c>
      <c r="D7" s="179">
        <v>110</v>
      </c>
      <c r="E7" s="179">
        <v>8</v>
      </c>
      <c r="F7" s="183">
        <v>2</v>
      </c>
      <c r="G7" s="197"/>
      <c r="H7">
        <v>8</v>
      </c>
      <c r="I7" s="1" t="s">
        <v>118</v>
      </c>
      <c r="J7" s="1" t="s">
        <v>180</v>
      </c>
      <c r="L7" s="7">
        <v>1</v>
      </c>
      <c r="M7" s="7">
        <v>1</v>
      </c>
      <c r="N7" s="7">
        <v>1</v>
      </c>
      <c r="O7" s="7">
        <v>2</v>
      </c>
      <c r="P7" s="7">
        <v>2</v>
      </c>
      <c r="Q7" s="7">
        <v>2</v>
      </c>
      <c r="R7" s="7">
        <v>2</v>
      </c>
      <c r="S7" s="7">
        <v>2</v>
      </c>
      <c r="T7" s="7">
        <v>2</v>
      </c>
      <c r="U7" s="7">
        <v>2</v>
      </c>
      <c r="V7" s="7">
        <v>2</v>
      </c>
      <c r="W7" s="7">
        <v>2</v>
      </c>
      <c r="X7" s="7">
        <v>4</v>
      </c>
      <c r="Y7" s="7">
        <v>2</v>
      </c>
      <c r="Z7" s="7">
        <v>2</v>
      </c>
      <c r="AA7" s="7"/>
    </row>
    <row r="8" spans="1:27" x14ac:dyDescent="0.3">
      <c r="A8" s="178" t="s">
        <v>22</v>
      </c>
      <c r="B8" s="179">
        <v>135</v>
      </c>
      <c r="C8" s="179">
        <v>30</v>
      </c>
      <c r="D8" s="179">
        <v>117</v>
      </c>
      <c r="E8" s="179">
        <v>8</v>
      </c>
      <c r="F8" s="183">
        <v>2.9</v>
      </c>
      <c r="G8" s="19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7">
        <v>8</v>
      </c>
      <c r="Y8" s="47"/>
      <c r="Z8" s="47"/>
      <c r="AA8" s="47"/>
    </row>
    <row r="9" spans="1:27" x14ac:dyDescent="0.3">
      <c r="A9" s="178" t="s">
        <v>93</v>
      </c>
      <c r="B9" s="179">
        <v>80</v>
      </c>
      <c r="C9" s="179">
        <v>25</v>
      </c>
      <c r="D9" s="179">
        <v>75</v>
      </c>
      <c r="E9" s="179">
        <v>8</v>
      </c>
      <c r="F9" s="183">
        <v>2.1</v>
      </c>
      <c r="G9" s="197"/>
      <c r="T9"/>
      <c r="U9"/>
    </row>
    <row r="10" spans="1:27" x14ac:dyDescent="0.3">
      <c r="A10" s="178" t="s">
        <v>92</v>
      </c>
      <c r="B10" s="179">
        <v>95</v>
      </c>
      <c r="C10" s="179">
        <v>26</v>
      </c>
      <c r="D10" s="179">
        <v>90</v>
      </c>
      <c r="E10" s="179">
        <v>8</v>
      </c>
      <c r="F10" s="183">
        <v>2.6</v>
      </c>
      <c r="G10" s="197"/>
      <c r="T10"/>
      <c r="U10"/>
    </row>
    <row r="11" spans="1:27" x14ac:dyDescent="0.3">
      <c r="A11" s="178" t="s">
        <v>91</v>
      </c>
      <c r="B11" s="179">
        <v>130</v>
      </c>
      <c r="C11" s="179">
        <v>28</v>
      </c>
      <c r="D11" s="179">
        <v>115</v>
      </c>
      <c r="E11" s="179">
        <v>10</v>
      </c>
      <c r="F11" s="183">
        <v>3</v>
      </c>
      <c r="G11" s="197"/>
      <c r="J11" s="202" t="s">
        <v>322</v>
      </c>
      <c r="T11"/>
      <c r="U11"/>
    </row>
    <row r="12" spans="1:27" x14ac:dyDescent="0.3">
      <c r="A12" s="7" t="s">
        <v>262</v>
      </c>
      <c r="B12" s="5">
        <v>85</v>
      </c>
      <c r="C12" s="5">
        <v>26</v>
      </c>
      <c r="D12" s="5">
        <v>79</v>
      </c>
      <c r="E12" s="5">
        <v>6</v>
      </c>
      <c r="F12" s="182">
        <v>2.4</v>
      </c>
      <c r="G12" s="197"/>
      <c r="J12" s="1" t="s">
        <v>323</v>
      </c>
      <c r="T12"/>
      <c r="U12"/>
    </row>
    <row r="13" spans="1:27" x14ac:dyDescent="0.3">
      <c r="A13" s="7" t="s">
        <v>294</v>
      </c>
      <c r="B13" s="5">
        <v>85</v>
      </c>
      <c r="C13" s="5">
        <v>26</v>
      </c>
      <c r="D13" s="5">
        <v>79</v>
      </c>
      <c r="E13" s="5">
        <v>8</v>
      </c>
      <c r="F13" s="182">
        <v>2.4</v>
      </c>
      <c r="G13" s="197"/>
      <c r="T13"/>
      <c r="U13"/>
    </row>
    <row r="14" spans="1:27" x14ac:dyDescent="0.3">
      <c r="A14" s="7" t="s">
        <v>263</v>
      </c>
      <c r="B14" s="5">
        <v>105</v>
      </c>
      <c r="C14" s="5">
        <v>28</v>
      </c>
      <c r="D14" s="5">
        <v>89</v>
      </c>
      <c r="E14" s="5">
        <v>10</v>
      </c>
      <c r="F14" s="182">
        <v>2.2999999999999998</v>
      </c>
      <c r="G14" s="201">
        <v>1122</v>
      </c>
      <c r="T14"/>
      <c r="U14"/>
    </row>
    <row r="15" spans="1:27" x14ac:dyDescent="0.3">
      <c r="A15" s="7" t="s">
        <v>295</v>
      </c>
      <c r="B15" s="5">
        <v>105</v>
      </c>
      <c r="C15" s="5">
        <v>28</v>
      </c>
      <c r="D15" s="5">
        <v>89</v>
      </c>
      <c r="E15" s="5">
        <v>10</v>
      </c>
      <c r="F15" s="182">
        <v>2.6</v>
      </c>
      <c r="G15" s="201">
        <v>1390</v>
      </c>
      <c r="T15"/>
      <c r="U15"/>
    </row>
    <row r="16" spans="1:27" x14ac:dyDescent="0.3">
      <c r="A16" s="7" t="s">
        <v>317</v>
      </c>
      <c r="B16" s="5">
        <v>120</v>
      </c>
      <c r="C16" s="5">
        <v>28</v>
      </c>
      <c r="D16" s="5">
        <v>116</v>
      </c>
      <c r="E16" s="5">
        <v>12</v>
      </c>
      <c r="F16" s="182">
        <v>2.4</v>
      </c>
      <c r="G16" s="197">
        <v>1589</v>
      </c>
      <c r="T16"/>
      <c r="U16"/>
    </row>
    <row r="17" spans="1:21" x14ac:dyDescent="0.3">
      <c r="A17" s="7" t="s">
        <v>320</v>
      </c>
      <c r="B17" s="193">
        <v>120</v>
      </c>
      <c r="C17" s="193">
        <v>28</v>
      </c>
      <c r="D17" s="193">
        <v>116</v>
      </c>
      <c r="E17" s="193">
        <v>14</v>
      </c>
      <c r="F17" s="194">
        <v>2</v>
      </c>
      <c r="G17" s="198">
        <v>1845</v>
      </c>
      <c r="T17"/>
      <c r="U17"/>
    </row>
    <row r="18" spans="1:21" x14ac:dyDescent="0.3">
      <c r="A18" s="7" t="s">
        <v>264</v>
      </c>
      <c r="B18" s="5">
        <v>135</v>
      </c>
      <c r="C18" s="5">
        <v>30</v>
      </c>
      <c r="D18" s="5">
        <v>121</v>
      </c>
      <c r="E18" s="5">
        <v>12</v>
      </c>
      <c r="F18" s="182">
        <v>2.6</v>
      </c>
      <c r="G18" s="201">
        <v>2011</v>
      </c>
      <c r="T18"/>
      <c r="U18"/>
    </row>
    <row r="19" spans="1:21" x14ac:dyDescent="0.3">
      <c r="A19" s="7" t="s">
        <v>500</v>
      </c>
      <c r="B19" s="5">
        <v>85</v>
      </c>
      <c r="C19" s="5">
        <v>24</v>
      </c>
      <c r="D19" s="5">
        <v>79</v>
      </c>
      <c r="E19" s="5">
        <v>8</v>
      </c>
      <c r="F19" s="182">
        <v>2.1</v>
      </c>
      <c r="G19" s="197"/>
      <c r="J19" s="1" t="s">
        <v>323</v>
      </c>
      <c r="T19"/>
      <c r="U19"/>
    </row>
    <row r="20" spans="1:21" x14ac:dyDescent="0.3">
      <c r="A20" s="7" t="s">
        <v>501</v>
      </c>
      <c r="B20" s="5">
        <v>105</v>
      </c>
      <c r="C20" s="5">
        <v>28</v>
      </c>
      <c r="D20" s="5">
        <v>89</v>
      </c>
      <c r="E20" s="5">
        <v>12</v>
      </c>
      <c r="F20" s="182">
        <v>2.2000000000000002</v>
      </c>
      <c r="G20" s="201">
        <v>1122</v>
      </c>
      <c r="T20"/>
      <c r="U20"/>
    </row>
    <row r="21" spans="1:21" x14ac:dyDescent="0.3">
      <c r="A21" s="7" t="s">
        <v>502</v>
      </c>
      <c r="B21" s="193">
        <v>120</v>
      </c>
      <c r="C21" s="193">
        <v>30</v>
      </c>
      <c r="D21" s="193">
        <v>116</v>
      </c>
      <c r="E21" s="193">
        <v>16</v>
      </c>
      <c r="F21" s="194">
        <v>2.1</v>
      </c>
      <c r="G21" s="198">
        <v>1845</v>
      </c>
      <c r="T21"/>
      <c r="U21"/>
    </row>
    <row r="22" spans="1:21" x14ac:dyDescent="0.3">
      <c r="A22" s="7" t="s">
        <v>503</v>
      </c>
      <c r="B22" s="5">
        <v>135</v>
      </c>
      <c r="C22" s="5">
        <v>32</v>
      </c>
      <c r="D22" s="5">
        <v>121</v>
      </c>
      <c r="E22" s="5">
        <v>14</v>
      </c>
      <c r="F22" s="182">
        <v>2.6</v>
      </c>
      <c r="G22" s="201">
        <v>2011</v>
      </c>
      <c r="T22"/>
      <c r="U22"/>
    </row>
    <row r="23" spans="1:21" x14ac:dyDescent="0.3">
      <c r="A23" s="7" t="s">
        <v>530</v>
      </c>
      <c r="B23" s="5">
        <v>85</v>
      </c>
      <c r="C23" s="5">
        <v>24</v>
      </c>
      <c r="D23" s="5">
        <v>79</v>
      </c>
      <c r="E23" s="5">
        <v>8</v>
      </c>
      <c r="F23" s="182">
        <v>2.1</v>
      </c>
      <c r="G23" s="197"/>
      <c r="T23"/>
      <c r="U23"/>
    </row>
    <row r="24" spans="1:21" x14ac:dyDescent="0.3">
      <c r="A24" s="7" t="s">
        <v>531</v>
      </c>
      <c r="B24" s="5">
        <v>105</v>
      </c>
      <c r="C24" s="5">
        <v>28</v>
      </c>
      <c r="D24" s="5">
        <v>89</v>
      </c>
      <c r="E24" s="5">
        <v>14</v>
      </c>
      <c r="F24" s="182">
        <v>2.2000000000000002</v>
      </c>
      <c r="G24" s="197"/>
      <c r="T24"/>
      <c r="U24"/>
    </row>
    <row r="25" spans="1:21" x14ac:dyDescent="0.3">
      <c r="A25" s="7" t="s">
        <v>533</v>
      </c>
      <c r="B25" s="5">
        <v>125</v>
      </c>
      <c r="C25" s="5">
        <v>31</v>
      </c>
      <c r="D25" s="5">
        <v>119</v>
      </c>
      <c r="E25" s="5">
        <v>16</v>
      </c>
      <c r="F25" s="182">
        <v>2.1</v>
      </c>
      <c r="G25" s="197"/>
      <c r="T25"/>
      <c r="U25"/>
    </row>
    <row r="26" spans="1:21" x14ac:dyDescent="0.3">
      <c r="A26" s="7" t="s">
        <v>532</v>
      </c>
      <c r="B26" s="5">
        <v>140</v>
      </c>
      <c r="C26" s="5">
        <v>35</v>
      </c>
      <c r="D26" s="5">
        <v>131</v>
      </c>
      <c r="E26" s="5">
        <v>18</v>
      </c>
      <c r="F26" s="182">
        <v>2.2999999999999998</v>
      </c>
      <c r="G26" s="197"/>
      <c r="T26"/>
      <c r="U26"/>
    </row>
    <row r="27" spans="1:21" x14ac:dyDescent="0.3">
      <c r="A27" s="651" t="s">
        <v>556</v>
      </c>
      <c r="B27" s="652">
        <v>150</v>
      </c>
      <c r="C27" s="652">
        <v>40</v>
      </c>
      <c r="D27" s="652">
        <v>141</v>
      </c>
      <c r="E27" s="652">
        <v>20</v>
      </c>
      <c r="F27" s="653">
        <v>2.4</v>
      </c>
      <c r="G27" s="654"/>
      <c r="T27"/>
      <c r="U27"/>
    </row>
    <row r="28" spans="1:21" x14ac:dyDescent="0.3">
      <c r="A28" s="7" t="s">
        <v>571</v>
      </c>
      <c r="B28" s="5">
        <v>300</v>
      </c>
      <c r="C28" s="5">
        <v>75</v>
      </c>
      <c r="D28" s="5">
        <v>280</v>
      </c>
      <c r="E28" s="5">
        <v>24</v>
      </c>
      <c r="F28" s="182">
        <v>2.5</v>
      </c>
      <c r="G28" s="197"/>
      <c r="T28"/>
      <c r="U28"/>
    </row>
    <row r="29" spans="1:21" x14ac:dyDescent="0.3">
      <c r="A29" s="7" t="s">
        <v>572</v>
      </c>
      <c r="B29" s="5">
        <v>350</v>
      </c>
      <c r="C29" s="5">
        <v>95</v>
      </c>
      <c r="D29" s="5">
        <v>290</v>
      </c>
      <c r="E29" s="5">
        <v>32</v>
      </c>
      <c r="F29" s="182">
        <v>2.6</v>
      </c>
      <c r="G29" s="197"/>
      <c r="T29"/>
      <c r="U29"/>
    </row>
    <row r="30" spans="1:21" x14ac:dyDescent="0.3">
      <c r="A30" s="7" t="s">
        <v>573</v>
      </c>
      <c r="B30" s="5">
        <v>350</v>
      </c>
      <c r="C30" s="5">
        <v>95</v>
      </c>
      <c r="D30" s="5">
        <v>330</v>
      </c>
      <c r="E30" s="5">
        <v>48</v>
      </c>
      <c r="F30" s="182">
        <v>2.1</v>
      </c>
      <c r="G30" s="197"/>
      <c r="T30"/>
      <c r="U30"/>
    </row>
    <row r="31" spans="1:21" x14ac:dyDescent="0.3">
      <c r="A31" s="7" t="s">
        <v>567</v>
      </c>
      <c r="B31" s="5">
        <v>205</v>
      </c>
      <c r="C31" s="5">
        <v>55</v>
      </c>
      <c r="D31" s="5">
        <v>195</v>
      </c>
      <c r="E31" s="5">
        <v>28</v>
      </c>
      <c r="F31" s="182">
        <v>2.7</v>
      </c>
      <c r="G31" s="197"/>
      <c r="T31"/>
      <c r="U31"/>
    </row>
    <row r="32" spans="1:21" x14ac:dyDescent="0.3">
      <c r="A32" s="7" t="s">
        <v>574</v>
      </c>
      <c r="B32" s="5">
        <v>205</v>
      </c>
      <c r="C32" s="5">
        <v>55</v>
      </c>
      <c r="D32" s="5">
        <v>195</v>
      </c>
      <c r="E32" s="5">
        <v>28</v>
      </c>
      <c r="F32" s="182">
        <v>2.7</v>
      </c>
      <c r="G32" s="197"/>
      <c r="T32"/>
      <c r="U32"/>
    </row>
    <row r="33" spans="1:21" x14ac:dyDescent="0.3">
      <c r="A33" s="7" t="s">
        <v>575</v>
      </c>
      <c r="B33" s="5">
        <v>165</v>
      </c>
      <c r="C33" s="5">
        <v>35</v>
      </c>
      <c r="D33" s="5">
        <v>150</v>
      </c>
      <c r="E33" s="5">
        <v>24</v>
      </c>
      <c r="F33" s="182">
        <v>2.4</v>
      </c>
      <c r="G33" s="197"/>
      <c r="T33"/>
      <c r="U33"/>
    </row>
    <row r="34" spans="1:21" x14ac:dyDescent="0.3">
      <c r="A34" s="7" t="s">
        <v>576</v>
      </c>
      <c r="B34" s="5">
        <v>85</v>
      </c>
      <c r="C34" s="5">
        <v>20</v>
      </c>
      <c r="D34" s="5">
        <v>73</v>
      </c>
      <c r="E34" s="5">
        <v>10</v>
      </c>
      <c r="F34" s="182">
        <v>2.2000000000000002</v>
      </c>
      <c r="G34" s="197"/>
      <c r="T34"/>
      <c r="U34"/>
    </row>
    <row r="35" spans="1:21" x14ac:dyDescent="0.3">
      <c r="A35" s="7" t="s">
        <v>577</v>
      </c>
      <c r="B35" s="5">
        <v>125</v>
      </c>
      <c r="C35" s="5">
        <v>30</v>
      </c>
      <c r="D35" s="5">
        <v>118</v>
      </c>
      <c r="E35" s="5">
        <v>16</v>
      </c>
      <c r="F35" s="182">
        <v>2.2999999999999998</v>
      </c>
      <c r="G35" s="197"/>
      <c r="T35"/>
      <c r="U35"/>
    </row>
    <row r="36" spans="1:21" x14ac:dyDescent="0.3">
      <c r="A36" s="7" t="s">
        <v>578</v>
      </c>
      <c r="B36" s="5">
        <v>150</v>
      </c>
      <c r="C36" s="5">
        <v>35</v>
      </c>
      <c r="D36" s="5">
        <v>135</v>
      </c>
      <c r="E36" s="5">
        <v>20</v>
      </c>
      <c r="F36" s="182">
        <v>2.5</v>
      </c>
      <c r="G36" s="197"/>
      <c r="T36"/>
      <c r="U36"/>
    </row>
    <row r="37" spans="1:21" x14ac:dyDescent="0.3">
      <c r="A37" s="7" t="s">
        <v>579</v>
      </c>
      <c r="B37" s="5">
        <v>185</v>
      </c>
      <c r="C37" s="5">
        <v>38</v>
      </c>
      <c r="D37" s="5">
        <v>150</v>
      </c>
      <c r="E37" s="5">
        <v>8</v>
      </c>
      <c r="F37" s="182">
        <v>3.9</v>
      </c>
      <c r="G37" s="197"/>
      <c r="T37"/>
      <c r="U37"/>
    </row>
    <row r="38" spans="1:21" x14ac:dyDescent="0.3">
      <c r="A38" s="7" t="s">
        <v>580</v>
      </c>
      <c r="B38" s="5">
        <v>350</v>
      </c>
      <c r="C38" s="5">
        <v>95</v>
      </c>
      <c r="D38" s="5">
        <v>330</v>
      </c>
      <c r="E38" s="5">
        <v>48</v>
      </c>
      <c r="F38" s="182">
        <v>2.1</v>
      </c>
      <c r="G38" s="197"/>
      <c r="T38"/>
      <c r="U38"/>
    </row>
    <row r="39" spans="1:21" x14ac:dyDescent="0.3">
      <c r="A39" s="180" t="s">
        <v>36</v>
      </c>
      <c r="B39" s="179">
        <v>80</v>
      </c>
      <c r="C39" s="179">
        <v>20</v>
      </c>
      <c r="D39" s="179">
        <v>80</v>
      </c>
      <c r="E39" s="179">
        <v>4</v>
      </c>
      <c r="F39" s="183">
        <v>2.2000000000000002</v>
      </c>
      <c r="G39" s="197"/>
      <c r="T39"/>
      <c r="U39"/>
    </row>
    <row r="40" spans="1:21" x14ac:dyDescent="0.3">
      <c r="A40" s="180" t="s">
        <v>37</v>
      </c>
      <c r="B40" s="179">
        <v>95</v>
      </c>
      <c r="C40" s="179">
        <v>22</v>
      </c>
      <c r="D40" s="179">
        <v>95</v>
      </c>
      <c r="E40" s="179">
        <v>4</v>
      </c>
      <c r="F40" s="183">
        <v>2.66</v>
      </c>
      <c r="G40" s="197"/>
      <c r="T40"/>
      <c r="U40"/>
    </row>
    <row r="41" spans="1:21" x14ac:dyDescent="0.3">
      <c r="A41" s="180" t="s">
        <v>38</v>
      </c>
      <c r="B41" s="179">
        <v>95</v>
      </c>
      <c r="C41" s="179">
        <v>22</v>
      </c>
      <c r="D41" s="179">
        <v>95</v>
      </c>
      <c r="E41" s="179">
        <v>4</v>
      </c>
      <c r="F41" s="183">
        <v>2.93</v>
      </c>
      <c r="G41" s="197"/>
      <c r="T41"/>
      <c r="U41"/>
    </row>
    <row r="42" spans="1:21" x14ac:dyDescent="0.3">
      <c r="A42" s="180" t="s">
        <v>39</v>
      </c>
      <c r="B42" s="179">
        <v>80</v>
      </c>
      <c r="C42" s="179">
        <v>20</v>
      </c>
      <c r="D42" s="179">
        <v>80</v>
      </c>
      <c r="E42" s="179">
        <v>4</v>
      </c>
      <c r="F42" s="183">
        <v>2.4</v>
      </c>
      <c r="G42" s="197"/>
      <c r="T42"/>
      <c r="U42"/>
    </row>
    <row r="43" spans="1:21" x14ac:dyDescent="0.3">
      <c r="A43" s="180" t="s">
        <v>40</v>
      </c>
      <c r="B43" s="179">
        <v>95</v>
      </c>
      <c r="C43" s="179">
        <v>22</v>
      </c>
      <c r="D43" s="179">
        <v>95</v>
      </c>
      <c r="E43" s="179">
        <v>6</v>
      </c>
      <c r="F43" s="183">
        <v>2.93</v>
      </c>
      <c r="G43" s="197"/>
      <c r="T43"/>
      <c r="U43"/>
    </row>
    <row r="44" spans="1:21" x14ac:dyDescent="0.3">
      <c r="A44" s="180" t="s">
        <v>41</v>
      </c>
      <c r="B44" s="179">
        <v>95</v>
      </c>
      <c r="C44" s="179">
        <v>22</v>
      </c>
      <c r="D44" s="179">
        <v>95</v>
      </c>
      <c r="E44" s="179">
        <v>6</v>
      </c>
      <c r="F44" s="183">
        <v>3.06</v>
      </c>
      <c r="G44" s="197"/>
      <c r="T44"/>
      <c r="U44"/>
    </row>
    <row r="45" spans="1:21" x14ac:dyDescent="0.3">
      <c r="A45" s="178" t="s">
        <v>132</v>
      </c>
      <c r="B45" s="179">
        <v>95</v>
      </c>
      <c r="C45" s="179">
        <v>22</v>
      </c>
      <c r="D45" s="179">
        <v>95</v>
      </c>
      <c r="E45" s="179">
        <v>4</v>
      </c>
      <c r="F45" s="183">
        <v>2.4</v>
      </c>
      <c r="G45" s="197"/>
      <c r="T45"/>
      <c r="U45"/>
    </row>
    <row r="46" spans="1:21" x14ac:dyDescent="0.3">
      <c r="A46" s="178" t="s">
        <v>42</v>
      </c>
      <c r="B46" s="179">
        <v>95</v>
      </c>
      <c r="C46" s="179">
        <v>22</v>
      </c>
      <c r="D46" s="179">
        <v>95</v>
      </c>
      <c r="E46" s="179">
        <v>4</v>
      </c>
      <c r="F46" s="183">
        <v>2.8</v>
      </c>
      <c r="G46" s="197"/>
      <c r="T46"/>
      <c r="U46"/>
    </row>
    <row r="47" spans="1:21" x14ac:dyDescent="0.3">
      <c r="A47" s="178" t="s">
        <v>43</v>
      </c>
      <c r="B47" s="179">
        <v>95</v>
      </c>
      <c r="C47" s="179">
        <v>22</v>
      </c>
      <c r="D47" s="179">
        <v>95</v>
      </c>
      <c r="E47" s="179">
        <v>4</v>
      </c>
      <c r="F47" s="183">
        <v>2.93</v>
      </c>
      <c r="G47" s="197"/>
      <c r="T47"/>
      <c r="U47"/>
    </row>
    <row r="48" spans="1:21" x14ac:dyDescent="0.3">
      <c r="A48" s="7" t="s">
        <v>286</v>
      </c>
      <c r="B48" s="179">
        <v>80</v>
      </c>
      <c r="C48" s="179">
        <v>20</v>
      </c>
      <c r="D48" s="179">
        <v>80</v>
      </c>
      <c r="E48" s="179">
        <v>4</v>
      </c>
      <c r="F48" s="183">
        <v>3.2</v>
      </c>
      <c r="G48" s="197"/>
      <c r="J48" s="191"/>
      <c r="K48" s="191"/>
      <c r="L48" s="191"/>
      <c r="M48" s="191"/>
      <c r="N48" s="191"/>
      <c r="O48" s="191"/>
      <c r="T48"/>
      <c r="U48"/>
    </row>
    <row r="49" spans="1:21" x14ac:dyDescent="0.3">
      <c r="A49" s="7" t="s">
        <v>287</v>
      </c>
      <c r="B49" s="179">
        <v>80</v>
      </c>
      <c r="C49" s="179">
        <v>20</v>
      </c>
      <c r="D49" s="179">
        <v>80</v>
      </c>
      <c r="E49" s="179">
        <v>4</v>
      </c>
      <c r="F49" s="183">
        <v>3.4</v>
      </c>
      <c r="G49" s="197"/>
      <c r="J49" s="192"/>
      <c r="O49" s="192"/>
      <c r="T49"/>
      <c r="U49"/>
    </row>
    <row r="50" spans="1:21" x14ac:dyDescent="0.3">
      <c r="A50" s="7" t="s">
        <v>288</v>
      </c>
      <c r="B50" s="179">
        <v>95</v>
      </c>
      <c r="C50" s="179">
        <v>22</v>
      </c>
      <c r="D50" s="179">
        <v>95</v>
      </c>
      <c r="E50" s="179">
        <v>4</v>
      </c>
      <c r="F50" s="183">
        <v>3.4</v>
      </c>
      <c r="G50" s="197"/>
      <c r="J50" s="192"/>
      <c r="O50" s="192"/>
      <c r="T50"/>
      <c r="U50"/>
    </row>
    <row r="51" spans="1:21" x14ac:dyDescent="0.3">
      <c r="A51" s="7" t="s">
        <v>289</v>
      </c>
      <c r="B51" s="179">
        <v>69</v>
      </c>
      <c r="C51" s="179">
        <v>19</v>
      </c>
      <c r="D51" s="179">
        <v>69</v>
      </c>
      <c r="E51" s="179">
        <v>4</v>
      </c>
      <c r="F51" s="183">
        <v>3.5</v>
      </c>
      <c r="G51" s="197"/>
      <c r="J51" s="192"/>
      <c r="O51" s="192"/>
      <c r="T51"/>
      <c r="U51"/>
    </row>
    <row r="52" spans="1:21" x14ac:dyDescent="0.3">
      <c r="A52" s="7" t="s">
        <v>284</v>
      </c>
      <c r="B52" s="179">
        <v>80</v>
      </c>
      <c r="C52" s="179">
        <v>18</v>
      </c>
      <c r="D52" s="179">
        <v>80</v>
      </c>
      <c r="E52" s="179">
        <v>4</v>
      </c>
      <c r="F52" s="183">
        <v>3.3</v>
      </c>
      <c r="G52" s="197"/>
      <c r="J52" s="192"/>
      <c r="O52" s="192"/>
      <c r="T52"/>
      <c r="U52"/>
    </row>
    <row r="53" spans="1:21" x14ac:dyDescent="0.3">
      <c r="A53" s="7" t="s">
        <v>285</v>
      </c>
      <c r="B53" s="179">
        <v>80</v>
      </c>
      <c r="C53" s="179">
        <v>18</v>
      </c>
      <c r="D53" s="179">
        <v>80</v>
      </c>
      <c r="E53" s="179">
        <v>4</v>
      </c>
      <c r="F53" s="183">
        <v>3.5</v>
      </c>
      <c r="G53" s="199"/>
      <c r="J53" s="192"/>
      <c r="O53" s="192"/>
      <c r="T53"/>
      <c r="U53"/>
    </row>
    <row r="54" spans="1:21" x14ac:dyDescent="0.3">
      <c r="A54" s="490" t="s">
        <v>514</v>
      </c>
      <c r="B54" s="491">
        <v>80</v>
      </c>
      <c r="C54" s="491">
        <v>18</v>
      </c>
      <c r="D54" s="491">
        <v>80</v>
      </c>
      <c r="E54" s="491">
        <v>4</v>
      </c>
      <c r="F54" s="492">
        <v>3.6</v>
      </c>
      <c r="G54" s="493"/>
      <c r="T54"/>
      <c r="U54"/>
    </row>
    <row r="55" spans="1:21" x14ac:dyDescent="0.3">
      <c r="A55" s="178" t="s">
        <v>137</v>
      </c>
      <c r="B55" s="179">
        <v>105</v>
      </c>
      <c r="C55" s="179">
        <v>30</v>
      </c>
      <c r="D55" s="179">
        <v>100</v>
      </c>
      <c r="E55" s="179">
        <v>6</v>
      </c>
      <c r="F55" s="183">
        <v>2</v>
      </c>
      <c r="G55" s="199"/>
      <c r="T55"/>
      <c r="U55"/>
    </row>
    <row r="56" spans="1:21" x14ac:dyDescent="0.3">
      <c r="A56" s="178" t="s">
        <v>138</v>
      </c>
      <c r="B56" s="179">
        <v>95</v>
      </c>
      <c r="C56" s="179">
        <v>25</v>
      </c>
      <c r="D56" s="179">
        <v>95</v>
      </c>
      <c r="E56" s="179">
        <v>8</v>
      </c>
      <c r="F56" s="183">
        <v>1.8660000000000001</v>
      </c>
      <c r="G56" s="199"/>
      <c r="T56"/>
      <c r="U56"/>
    </row>
    <row r="57" spans="1:21" x14ac:dyDescent="0.3">
      <c r="A57" s="178" t="s">
        <v>139</v>
      </c>
      <c r="B57" s="179">
        <v>130</v>
      </c>
      <c r="C57" s="179">
        <v>28</v>
      </c>
      <c r="D57" s="179">
        <v>125</v>
      </c>
      <c r="E57" s="179">
        <v>8</v>
      </c>
      <c r="F57" s="183">
        <v>2</v>
      </c>
      <c r="G57" s="199"/>
      <c r="T57"/>
      <c r="U57"/>
    </row>
    <row r="58" spans="1:21" x14ac:dyDescent="0.3">
      <c r="A58" s="7" t="s">
        <v>280</v>
      </c>
      <c r="B58" s="179">
        <v>105</v>
      </c>
      <c r="C58" s="179">
        <v>25</v>
      </c>
      <c r="D58" s="179">
        <v>95</v>
      </c>
      <c r="E58" s="179">
        <v>8</v>
      </c>
      <c r="F58" s="183">
        <v>2.13</v>
      </c>
      <c r="G58" s="199"/>
    </row>
    <row r="59" spans="1:21" x14ac:dyDescent="0.3">
      <c r="A59" s="7" t="s">
        <v>279</v>
      </c>
      <c r="B59" s="181">
        <v>130</v>
      </c>
      <c r="C59" s="181">
        <v>28</v>
      </c>
      <c r="D59" s="181">
        <v>125</v>
      </c>
      <c r="E59" s="181">
        <v>10</v>
      </c>
      <c r="F59" s="184">
        <v>2</v>
      </c>
      <c r="G59" s="200"/>
    </row>
    <row r="60" spans="1:21" x14ac:dyDescent="0.3">
      <c r="A60" s="7" t="s">
        <v>318</v>
      </c>
      <c r="B60" s="5">
        <v>150</v>
      </c>
      <c r="C60" s="5">
        <v>40</v>
      </c>
      <c r="D60" s="5">
        <v>80</v>
      </c>
      <c r="E60" s="5">
        <v>15</v>
      </c>
      <c r="F60" s="182">
        <v>2.8</v>
      </c>
      <c r="G60" s="197"/>
    </row>
    <row r="61" spans="1:21" x14ac:dyDescent="0.3">
      <c r="A61" s="7" t="s">
        <v>281</v>
      </c>
      <c r="B61" s="5">
        <v>130</v>
      </c>
      <c r="C61" s="5">
        <v>40</v>
      </c>
      <c r="D61" s="5">
        <v>75</v>
      </c>
      <c r="E61" s="5">
        <v>15</v>
      </c>
      <c r="F61" s="182">
        <v>2.5</v>
      </c>
      <c r="G61" s="197"/>
    </row>
    <row r="62" spans="1:21" x14ac:dyDescent="0.3">
      <c r="A62" s="7" t="s">
        <v>282</v>
      </c>
      <c r="B62" s="5">
        <v>105</v>
      </c>
      <c r="C62" s="5">
        <v>40</v>
      </c>
      <c r="D62" s="5">
        <v>73</v>
      </c>
      <c r="E62" s="5">
        <v>12</v>
      </c>
      <c r="F62" s="182">
        <v>2.2999999999999998</v>
      </c>
      <c r="G62" s="197"/>
    </row>
    <row r="63" spans="1:21" x14ac:dyDescent="0.3">
      <c r="A63" s="7" t="s">
        <v>283</v>
      </c>
      <c r="B63" s="5">
        <v>105</v>
      </c>
      <c r="C63" s="5">
        <v>40</v>
      </c>
      <c r="D63" s="5">
        <v>70</v>
      </c>
      <c r="E63" s="5">
        <v>10</v>
      </c>
      <c r="F63" s="182">
        <v>2.2000000000000002</v>
      </c>
      <c r="G63" s="197"/>
    </row>
    <row r="64" spans="1:21" x14ac:dyDescent="0.3">
      <c r="A64" s="162" t="s">
        <v>424</v>
      </c>
      <c r="B64" s="331">
        <v>250</v>
      </c>
      <c r="C64" s="331">
        <v>80</v>
      </c>
      <c r="D64" s="331">
        <v>190</v>
      </c>
      <c r="E64" s="331">
        <v>8</v>
      </c>
      <c r="F64" s="332">
        <v>3.8570000000000002</v>
      </c>
      <c r="G64" s="197"/>
    </row>
    <row r="65" spans="1:7" x14ac:dyDescent="0.3">
      <c r="A65" s="333" t="s">
        <v>425</v>
      </c>
      <c r="B65" s="331">
        <v>250</v>
      </c>
      <c r="C65" s="331">
        <v>80</v>
      </c>
      <c r="D65" s="331">
        <v>190</v>
      </c>
      <c r="E65" s="331">
        <v>10</v>
      </c>
      <c r="F65" s="332">
        <v>3.492</v>
      </c>
      <c r="G65" s="197"/>
    </row>
    <row r="66" spans="1:7" x14ac:dyDescent="0.3">
      <c r="A66" s="162" t="s">
        <v>581</v>
      </c>
      <c r="B66" s="331">
        <v>225</v>
      </c>
      <c r="C66" s="331"/>
      <c r="D66" s="331"/>
      <c r="E66" s="331">
        <v>48</v>
      </c>
      <c r="F66" s="332">
        <v>2.2999999999999998</v>
      </c>
      <c r="G66" s="197"/>
    </row>
    <row r="67" spans="1:7" x14ac:dyDescent="0.3">
      <c r="A67" s="7" t="s">
        <v>582</v>
      </c>
      <c r="B67" s="5">
        <v>240</v>
      </c>
      <c r="C67" s="5"/>
      <c r="D67" s="5"/>
      <c r="E67" s="5">
        <v>24</v>
      </c>
      <c r="F67" s="182">
        <v>3.2</v>
      </c>
      <c r="G67" s="197"/>
    </row>
    <row r="68" spans="1:7" x14ac:dyDescent="0.3">
      <c r="A68" s="7" t="s">
        <v>583</v>
      </c>
      <c r="B68" s="5">
        <v>280</v>
      </c>
      <c r="C68" s="5"/>
      <c r="D68" s="5"/>
      <c r="E68" s="5">
        <v>64</v>
      </c>
      <c r="F68" s="182">
        <v>3.5</v>
      </c>
      <c r="G68" s="197"/>
    </row>
    <row r="69" spans="1:7" x14ac:dyDescent="0.3">
      <c r="A69" s="7"/>
      <c r="B69" s="5"/>
      <c r="C69" s="5"/>
      <c r="D69" s="5"/>
      <c r="E69" s="5"/>
      <c r="F69" s="182"/>
      <c r="G69" s="197"/>
    </row>
    <row r="70" spans="1:7" x14ac:dyDescent="0.3">
      <c r="A70" s="7"/>
      <c r="B70" s="5"/>
      <c r="C70" s="5"/>
      <c r="D70" s="5"/>
      <c r="E70" s="5"/>
      <c r="F70" s="182"/>
      <c r="G70" s="197"/>
    </row>
    <row r="71" spans="1:7" x14ac:dyDescent="0.3">
      <c r="A71" s="7"/>
      <c r="B71" s="5"/>
      <c r="C71" s="5"/>
      <c r="D71" s="5"/>
      <c r="E71" s="5"/>
      <c r="F71" s="182"/>
      <c r="G71" s="197"/>
    </row>
    <row r="72" spans="1:7" x14ac:dyDescent="0.3">
      <c r="A72" s="7"/>
      <c r="B72" s="5"/>
      <c r="C72" s="5"/>
      <c r="D72" s="5"/>
      <c r="E72" s="5"/>
      <c r="F72" s="182"/>
      <c r="G72" s="197"/>
    </row>
    <row r="73" spans="1:7" x14ac:dyDescent="0.3">
      <c r="A73" s="7"/>
      <c r="B73" s="5"/>
      <c r="C73" s="5"/>
      <c r="D73" s="5"/>
      <c r="E73" s="5"/>
      <c r="F73" s="182"/>
      <c r="G73" s="197"/>
    </row>
    <row r="74" spans="1:7" x14ac:dyDescent="0.3">
      <c r="A74" s="7"/>
      <c r="B74" s="5"/>
      <c r="C74" s="5"/>
      <c r="D74" s="5"/>
      <c r="E74" s="5"/>
      <c r="F74" s="182"/>
      <c r="G74" s="197"/>
    </row>
    <row r="75" spans="1:7" x14ac:dyDescent="0.3">
      <c r="A75" s="7"/>
      <c r="B75" s="5"/>
      <c r="C75" s="5"/>
      <c r="D75" s="5"/>
      <c r="E75" s="5"/>
      <c r="F75" s="182"/>
      <c r="G75" s="197"/>
    </row>
    <row r="76" spans="1:7" x14ac:dyDescent="0.3">
      <c r="A76" s="7"/>
      <c r="B76" s="5"/>
      <c r="C76" s="5"/>
      <c r="D76" s="5"/>
      <c r="E76" s="5"/>
      <c r="F76" s="182"/>
      <c r="G76" s="197"/>
    </row>
    <row r="77" spans="1:7" x14ac:dyDescent="0.3">
      <c r="A77" s="7"/>
      <c r="B77" s="5"/>
      <c r="C77" s="5"/>
      <c r="D77" s="5"/>
      <c r="E77" s="5"/>
      <c r="F77" s="182"/>
      <c r="G77" s="197"/>
    </row>
    <row r="78" spans="1:7" x14ac:dyDescent="0.3">
      <c r="A78" s="162"/>
      <c r="B78" s="331"/>
      <c r="C78" s="331"/>
      <c r="D78" s="331"/>
      <c r="E78" s="331"/>
      <c r="F78" s="332"/>
      <c r="G78" s="197"/>
    </row>
  </sheetData>
  <mergeCells count="1">
    <mergeCell ref="L1:Z1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3" tint="-0.249977111117893"/>
  </sheetPr>
  <dimension ref="A1:T19"/>
  <sheetViews>
    <sheetView workbookViewId="0">
      <selection activeCell="G10" sqref="G10"/>
    </sheetView>
  </sheetViews>
  <sheetFormatPr defaultRowHeight="14.4" x14ac:dyDescent="0.3"/>
  <cols>
    <col min="1" max="1" width="23" bestFit="1" customWidth="1"/>
    <col min="2" max="2" width="16.6640625" customWidth="1"/>
    <col min="3" max="3" width="20.33203125" bestFit="1" customWidth="1"/>
    <col min="4" max="4" width="25.88671875" bestFit="1" customWidth="1"/>
    <col min="7" max="7" width="23.5546875" bestFit="1" customWidth="1"/>
    <col min="8" max="8" width="24" bestFit="1" customWidth="1"/>
    <col min="9" max="9" width="21" customWidth="1"/>
    <col min="10" max="11" width="22.109375" bestFit="1" customWidth="1"/>
    <col min="12" max="12" width="22.109375" customWidth="1"/>
    <col min="13" max="13" width="24" bestFit="1" customWidth="1"/>
    <col min="14" max="15" width="22.109375" bestFit="1" customWidth="1"/>
    <col min="16" max="16" width="21" bestFit="1" customWidth="1"/>
    <col min="17" max="17" width="15.6640625" bestFit="1" customWidth="1"/>
    <col min="18" max="20" width="22.109375" bestFit="1" customWidth="1"/>
  </cols>
  <sheetData>
    <row r="1" spans="1:20" x14ac:dyDescent="0.3">
      <c r="A1" s="3" t="s">
        <v>27</v>
      </c>
      <c r="B1" s="3" t="s">
        <v>69</v>
      </c>
      <c r="C1" s="1" t="s">
        <v>79</v>
      </c>
      <c r="D1" t="s">
        <v>328</v>
      </c>
      <c r="F1" s="11" t="s">
        <v>30</v>
      </c>
      <c r="G1" s="8" t="s">
        <v>504</v>
      </c>
      <c r="H1" s="39" t="s">
        <v>52</v>
      </c>
      <c r="I1" s="39" t="s">
        <v>307</v>
      </c>
      <c r="J1" s="39" t="s">
        <v>299</v>
      </c>
      <c r="K1" s="39" t="s">
        <v>290</v>
      </c>
      <c r="L1" s="39" t="s">
        <v>528</v>
      </c>
      <c r="M1" s="39" t="s">
        <v>277</v>
      </c>
      <c r="N1" s="38" t="s">
        <v>73</v>
      </c>
      <c r="O1" s="38" t="s">
        <v>0</v>
      </c>
      <c r="P1" s="38" t="s">
        <v>23</v>
      </c>
      <c r="Q1" s="38" t="s">
        <v>28</v>
      </c>
      <c r="R1" s="38" t="s">
        <v>32</v>
      </c>
      <c r="S1" s="38" t="s">
        <v>33</v>
      </c>
      <c r="T1" s="38" t="s">
        <v>142</v>
      </c>
    </row>
    <row r="2" spans="1:20" x14ac:dyDescent="0.3">
      <c r="A2" s="7" t="s">
        <v>30</v>
      </c>
      <c r="B2" s="7">
        <v>0</v>
      </c>
      <c r="C2" s="5">
        <v>0</v>
      </c>
      <c r="D2" s="7">
        <v>0</v>
      </c>
      <c r="F2" s="24" t="s">
        <v>30</v>
      </c>
      <c r="G2" s="7" t="s">
        <v>30</v>
      </c>
      <c r="H2" s="24" t="s">
        <v>30</v>
      </c>
      <c r="I2" s="24" t="s">
        <v>30</v>
      </c>
      <c r="J2" s="7" t="s">
        <v>30</v>
      </c>
      <c r="K2" s="7" t="s">
        <v>30</v>
      </c>
      <c r="L2" s="7" t="s">
        <v>30</v>
      </c>
      <c r="M2" s="7" t="s">
        <v>30</v>
      </c>
      <c r="N2" s="7" t="s">
        <v>30</v>
      </c>
      <c r="O2" s="7" t="s">
        <v>30</v>
      </c>
      <c r="P2" s="7" t="s">
        <v>30</v>
      </c>
      <c r="Q2" s="24" t="s">
        <v>30</v>
      </c>
      <c r="R2" s="7" t="s">
        <v>30</v>
      </c>
      <c r="S2" s="7" t="s">
        <v>30</v>
      </c>
      <c r="T2" s="7" t="s">
        <v>30</v>
      </c>
    </row>
    <row r="3" spans="1:20" x14ac:dyDescent="0.3">
      <c r="A3" s="7" t="s">
        <v>265</v>
      </c>
      <c r="B3" s="7">
        <v>2.4</v>
      </c>
      <c r="C3" s="7">
        <v>6</v>
      </c>
      <c r="D3" s="7">
        <v>2</v>
      </c>
      <c r="G3" s="7" t="s">
        <v>511</v>
      </c>
      <c r="H3" s="24" t="s">
        <v>265</v>
      </c>
      <c r="I3" s="24" t="s">
        <v>265</v>
      </c>
      <c r="J3" s="7" t="s">
        <v>300</v>
      </c>
      <c r="K3" s="7" t="s">
        <v>300</v>
      </c>
      <c r="L3" s="7" t="s">
        <v>300</v>
      </c>
      <c r="M3" s="7" t="s">
        <v>265</v>
      </c>
      <c r="N3" s="7" t="s">
        <v>265</v>
      </c>
      <c r="O3" s="7" t="s">
        <v>265</v>
      </c>
      <c r="P3" s="7" t="s">
        <v>265</v>
      </c>
      <c r="Q3" s="24" t="s">
        <v>265</v>
      </c>
      <c r="R3" s="7" t="s">
        <v>265</v>
      </c>
      <c r="S3" s="7" t="s">
        <v>265</v>
      </c>
      <c r="T3" s="7" t="s">
        <v>265</v>
      </c>
    </row>
    <row r="4" spans="1:20" x14ac:dyDescent="0.3">
      <c r="A4" s="7" t="s">
        <v>266</v>
      </c>
      <c r="B4" s="7">
        <v>2.6</v>
      </c>
      <c r="C4" s="7">
        <v>9.3000000000000007</v>
      </c>
      <c r="D4" s="7">
        <v>4</v>
      </c>
      <c r="G4" s="7" t="s">
        <v>512</v>
      </c>
      <c r="H4" s="24" t="s">
        <v>266</v>
      </c>
      <c r="I4" s="24" t="s">
        <v>266</v>
      </c>
      <c r="J4" s="7" t="s">
        <v>301</v>
      </c>
      <c r="K4" s="7" t="s">
        <v>301</v>
      </c>
      <c r="L4" s="7" t="s">
        <v>301</v>
      </c>
      <c r="M4" s="7" t="s">
        <v>266</v>
      </c>
      <c r="N4" s="7" t="s">
        <v>266</v>
      </c>
      <c r="O4" s="7" t="s">
        <v>266</v>
      </c>
      <c r="P4" s="7" t="s">
        <v>266</v>
      </c>
      <c r="Q4" s="24" t="s">
        <v>266</v>
      </c>
      <c r="R4" s="7" t="s">
        <v>266</v>
      </c>
      <c r="S4" s="7" t="s">
        <v>266</v>
      </c>
      <c r="T4" s="7" t="s">
        <v>266</v>
      </c>
    </row>
    <row r="5" spans="1:20" x14ac:dyDescent="0.3">
      <c r="A5" s="7" t="s">
        <v>267</v>
      </c>
      <c r="B5" s="7">
        <v>3.8</v>
      </c>
      <c r="C5" s="7">
        <v>10.199999999999999</v>
      </c>
      <c r="D5" s="7">
        <v>8</v>
      </c>
      <c r="G5" s="7" t="s">
        <v>513</v>
      </c>
      <c r="H5" s="24" t="s">
        <v>267</v>
      </c>
      <c r="I5" s="24" t="s">
        <v>267</v>
      </c>
      <c r="J5" s="7" t="s">
        <v>302</v>
      </c>
      <c r="K5" s="7" t="s">
        <v>302</v>
      </c>
      <c r="L5" s="7" t="s">
        <v>302</v>
      </c>
      <c r="M5" s="7" t="s">
        <v>267</v>
      </c>
      <c r="N5" s="7" t="s">
        <v>267</v>
      </c>
      <c r="O5" s="7" t="s">
        <v>267</v>
      </c>
      <c r="P5" s="7" t="s">
        <v>267</v>
      </c>
      <c r="R5" s="7" t="s">
        <v>267</v>
      </c>
      <c r="S5" s="7" t="s">
        <v>267</v>
      </c>
      <c r="T5" s="7" t="s">
        <v>267</v>
      </c>
    </row>
    <row r="6" spans="1:20" x14ac:dyDescent="0.3">
      <c r="A6" s="7" t="s">
        <v>268</v>
      </c>
      <c r="B6" s="7">
        <v>6.2</v>
      </c>
      <c r="C6" s="7">
        <v>11</v>
      </c>
      <c r="D6" s="7">
        <v>16</v>
      </c>
      <c r="J6" s="7" t="s">
        <v>303</v>
      </c>
      <c r="K6" s="7" t="s">
        <v>303</v>
      </c>
      <c r="L6" s="7" t="s">
        <v>303</v>
      </c>
      <c r="M6" s="7" t="s">
        <v>268</v>
      </c>
      <c r="N6" s="7" t="s">
        <v>268</v>
      </c>
      <c r="O6" s="7" t="s">
        <v>268</v>
      </c>
      <c r="R6" s="7" t="s">
        <v>268</v>
      </c>
      <c r="S6" s="7" t="s">
        <v>268</v>
      </c>
      <c r="T6" s="7" t="s">
        <v>268</v>
      </c>
    </row>
    <row r="7" spans="1:20" x14ac:dyDescent="0.3">
      <c r="A7" s="7" t="s">
        <v>269</v>
      </c>
      <c r="B7" s="7">
        <v>8.1</v>
      </c>
      <c r="C7" s="7">
        <v>12</v>
      </c>
      <c r="D7" s="7">
        <v>32</v>
      </c>
      <c r="J7" s="7" t="s">
        <v>311</v>
      </c>
      <c r="K7" s="7" t="s">
        <v>311</v>
      </c>
      <c r="L7" s="7" t="s">
        <v>311</v>
      </c>
      <c r="M7" s="7" t="s">
        <v>269</v>
      </c>
      <c r="N7" s="7" t="s">
        <v>269</v>
      </c>
      <c r="O7" s="7" t="s">
        <v>269</v>
      </c>
    </row>
    <row r="8" spans="1:20" x14ac:dyDescent="0.3">
      <c r="A8" s="7" t="s">
        <v>327</v>
      </c>
      <c r="B8" s="7">
        <v>8.5</v>
      </c>
      <c r="C8" s="7">
        <v>12.5</v>
      </c>
      <c r="D8" s="7">
        <v>64</v>
      </c>
      <c r="L8" s="333" t="s">
        <v>568</v>
      </c>
      <c r="M8" s="7" t="s">
        <v>327</v>
      </c>
    </row>
    <row r="9" spans="1:20" x14ac:dyDescent="0.3">
      <c r="A9" s="7" t="s">
        <v>421</v>
      </c>
      <c r="B9" s="7">
        <v>2</v>
      </c>
      <c r="C9" s="7">
        <v>7</v>
      </c>
      <c r="D9" s="7">
        <v>4</v>
      </c>
    </row>
    <row r="10" spans="1:20" x14ac:dyDescent="0.3">
      <c r="A10" s="162" t="s">
        <v>422</v>
      </c>
      <c r="B10" s="162">
        <v>4.5999999999999996</v>
      </c>
      <c r="C10" s="162">
        <v>8.6</v>
      </c>
      <c r="D10" s="162">
        <v>16</v>
      </c>
      <c r="G10" s="685">
        <v>3250</v>
      </c>
      <c r="H10" s="8" t="s">
        <v>423</v>
      </c>
    </row>
    <row r="11" spans="1:20" x14ac:dyDescent="0.3">
      <c r="A11" s="7" t="s">
        <v>300</v>
      </c>
      <c r="B11" s="7">
        <v>2.4</v>
      </c>
      <c r="C11" s="7">
        <v>8.1</v>
      </c>
      <c r="D11" s="7">
        <v>4</v>
      </c>
      <c r="G11" s="7" t="s">
        <v>512</v>
      </c>
      <c r="H11" s="7" t="s">
        <v>421</v>
      </c>
    </row>
    <row r="12" spans="1:20" x14ac:dyDescent="0.3">
      <c r="A12" s="7" t="s">
        <v>301</v>
      </c>
      <c r="B12" s="7">
        <v>3.6</v>
      </c>
      <c r="C12" s="7">
        <v>9.3000000000000007</v>
      </c>
      <c r="D12" s="7">
        <v>8</v>
      </c>
      <c r="G12" s="7" t="s">
        <v>513</v>
      </c>
      <c r="H12" s="7" t="s">
        <v>422</v>
      </c>
    </row>
    <row r="13" spans="1:20" x14ac:dyDescent="0.3">
      <c r="A13" s="7" t="s">
        <v>302</v>
      </c>
      <c r="B13" s="7">
        <v>4</v>
      </c>
      <c r="C13" s="7">
        <v>10.199999999999999</v>
      </c>
      <c r="D13" s="7">
        <v>16</v>
      </c>
    </row>
    <row r="14" spans="1:20" x14ac:dyDescent="0.3">
      <c r="A14" s="7" t="s">
        <v>303</v>
      </c>
      <c r="B14" s="7">
        <v>5.5</v>
      </c>
      <c r="C14" s="7">
        <v>11</v>
      </c>
      <c r="D14" s="7">
        <v>32</v>
      </c>
    </row>
    <row r="15" spans="1:20" x14ac:dyDescent="0.3">
      <c r="A15" s="7" t="s">
        <v>311</v>
      </c>
      <c r="B15" s="7">
        <v>6</v>
      </c>
      <c r="C15" s="7">
        <v>12</v>
      </c>
      <c r="D15" s="7">
        <v>64</v>
      </c>
    </row>
    <row r="16" spans="1:20" x14ac:dyDescent="0.3">
      <c r="A16" s="490" t="s">
        <v>511</v>
      </c>
      <c r="B16" s="490">
        <v>2.4</v>
      </c>
      <c r="C16" s="490">
        <v>8.1</v>
      </c>
      <c r="D16" s="490">
        <v>4</v>
      </c>
    </row>
    <row r="17" spans="1:4" x14ac:dyDescent="0.3">
      <c r="A17" s="490" t="s">
        <v>512</v>
      </c>
      <c r="B17" s="490">
        <v>3.6</v>
      </c>
      <c r="C17" s="490">
        <v>9.3000000000000007</v>
      </c>
      <c r="D17" s="490">
        <v>8</v>
      </c>
    </row>
    <row r="18" spans="1:4" x14ac:dyDescent="0.3">
      <c r="A18" s="494" t="s">
        <v>513</v>
      </c>
      <c r="B18" s="494">
        <v>6</v>
      </c>
      <c r="C18" s="494">
        <v>10.199999999999999</v>
      </c>
      <c r="D18" s="494">
        <v>16</v>
      </c>
    </row>
    <row r="19" spans="1:4" x14ac:dyDescent="0.3">
      <c r="A19" s="162" t="s">
        <v>568</v>
      </c>
      <c r="B19" s="162">
        <v>10.5</v>
      </c>
      <c r="C19" s="162">
        <v>14</v>
      </c>
      <c r="D19" s="162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3" tint="-0.249977111117893"/>
  </sheetPr>
  <dimension ref="A1:B3"/>
  <sheetViews>
    <sheetView workbookViewId="0"/>
  </sheetViews>
  <sheetFormatPr defaultRowHeight="14.4" x14ac:dyDescent="0.3"/>
  <cols>
    <col min="1" max="1" width="18.5546875" bestFit="1" customWidth="1"/>
    <col min="2" max="2" width="10.5546875" bestFit="1" customWidth="1"/>
  </cols>
  <sheetData>
    <row r="1" spans="1:2" x14ac:dyDescent="0.3">
      <c r="A1" s="3" t="s">
        <v>27</v>
      </c>
      <c r="B1" s="1" t="s">
        <v>26</v>
      </c>
    </row>
    <row r="2" spans="1:2" x14ac:dyDescent="0.3">
      <c r="A2" t="s">
        <v>30</v>
      </c>
      <c r="B2" s="1">
        <v>0</v>
      </c>
    </row>
    <row r="3" spans="1:2" x14ac:dyDescent="0.3">
      <c r="A3" t="s">
        <v>7</v>
      </c>
      <c r="B3">
        <v>2.5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3" tint="-0.249977111117893"/>
  </sheetPr>
  <dimension ref="A1:O13"/>
  <sheetViews>
    <sheetView tabSelected="1" workbookViewId="0">
      <selection activeCell="C12" sqref="C12:C13"/>
    </sheetView>
  </sheetViews>
  <sheetFormatPr defaultRowHeight="14.4" x14ac:dyDescent="0.3"/>
  <cols>
    <col min="1" max="1" width="17.109375" bestFit="1" customWidth="1"/>
    <col min="2" max="2" width="17.77734375" bestFit="1" customWidth="1"/>
    <col min="3" max="3" width="12.44140625" bestFit="1" customWidth="1"/>
    <col min="9" max="9" width="13.88671875" bestFit="1" customWidth="1"/>
    <col min="10" max="10" width="12.21875" bestFit="1" customWidth="1"/>
    <col min="11" max="11" width="11.6640625" bestFit="1" customWidth="1"/>
    <col min="12" max="12" width="12.21875" bestFit="1" customWidth="1"/>
    <col min="13" max="13" width="11.6640625" bestFit="1" customWidth="1"/>
    <col min="14" max="14" width="16.109375" bestFit="1" customWidth="1"/>
    <col min="15" max="15" width="10.6640625" bestFit="1" customWidth="1"/>
  </cols>
  <sheetData>
    <row r="1" spans="1:15" x14ac:dyDescent="0.3">
      <c r="A1" s="3" t="s">
        <v>27</v>
      </c>
      <c r="B1" s="3" t="s">
        <v>82</v>
      </c>
      <c r="C1" s="2" t="s">
        <v>26</v>
      </c>
      <c r="I1" s="689" t="s">
        <v>635</v>
      </c>
      <c r="J1" s="690"/>
      <c r="K1" s="690"/>
      <c r="L1" s="690"/>
      <c r="M1" s="690"/>
      <c r="N1" s="690"/>
      <c r="O1" s="690"/>
    </row>
    <row r="2" spans="1:15" x14ac:dyDescent="0.3">
      <c r="A2" s="2" t="s">
        <v>30</v>
      </c>
      <c r="B2" s="2">
        <v>0</v>
      </c>
      <c r="C2" s="1">
        <v>0</v>
      </c>
      <c r="I2" s="4" t="s">
        <v>10</v>
      </c>
      <c r="J2" s="6" t="s">
        <v>11</v>
      </c>
      <c r="K2" s="6" t="s">
        <v>12</v>
      </c>
      <c r="L2" s="6" t="s">
        <v>20</v>
      </c>
      <c r="M2" s="6" t="s">
        <v>19</v>
      </c>
      <c r="N2" s="6" t="s">
        <v>636</v>
      </c>
      <c r="O2" s="6" t="s">
        <v>67</v>
      </c>
    </row>
    <row r="3" spans="1:15" x14ac:dyDescent="0.3">
      <c r="A3" s="2" t="s">
        <v>65</v>
      </c>
      <c r="B3" s="2">
        <v>1.4850000000000001</v>
      </c>
      <c r="C3">
        <v>13.48</v>
      </c>
      <c r="I3" s="6" t="s">
        <v>83</v>
      </c>
      <c r="J3" s="7">
        <v>0.1</v>
      </c>
      <c r="K3" s="7">
        <v>1.5</v>
      </c>
      <c r="L3" s="7">
        <f t="shared" ref="L3:L9" si="0">J3*3.3</f>
        <v>0.33</v>
      </c>
      <c r="M3" s="7">
        <f t="shared" ref="M3:M9" si="1">K3*12</f>
        <v>18</v>
      </c>
      <c r="N3" s="686" t="s">
        <v>336</v>
      </c>
      <c r="O3" s="7">
        <f>L3+M3</f>
        <v>18.329999999999998</v>
      </c>
    </row>
    <row r="4" spans="1:15" x14ac:dyDescent="0.3">
      <c r="A4" s="2" t="s">
        <v>62</v>
      </c>
      <c r="B4" s="2">
        <v>1.32</v>
      </c>
      <c r="C4">
        <v>15.72</v>
      </c>
      <c r="I4" s="9" t="s">
        <v>60</v>
      </c>
      <c r="J4" s="7">
        <v>0.1</v>
      </c>
      <c r="K4" s="7">
        <v>1.6</v>
      </c>
      <c r="L4" s="7">
        <f t="shared" si="0"/>
        <v>0.33</v>
      </c>
      <c r="M4" s="7">
        <f t="shared" si="1"/>
        <v>19.200000000000003</v>
      </c>
      <c r="N4" s="686" t="s">
        <v>336</v>
      </c>
      <c r="O4" s="7">
        <f t="shared" ref="O4:O9" si="2">L4+M4</f>
        <v>19.53</v>
      </c>
    </row>
    <row r="5" spans="1:15" x14ac:dyDescent="0.3">
      <c r="A5" s="2" t="s">
        <v>64</v>
      </c>
      <c r="B5" s="2">
        <v>1.5509999999999999</v>
      </c>
      <c r="C5">
        <v>13.55</v>
      </c>
      <c r="I5" s="9" t="s">
        <v>61</v>
      </c>
      <c r="J5" s="7">
        <v>0.1</v>
      </c>
      <c r="K5" s="7">
        <v>1.8</v>
      </c>
      <c r="L5" s="7">
        <f t="shared" si="0"/>
        <v>0.33</v>
      </c>
      <c r="M5" s="7">
        <f t="shared" si="1"/>
        <v>21.6</v>
      </c>
      <c r="N5" s="686" t="s">
        <v>336</v>
      </c>
      <c r="O5" s="7">
        <f t="shared" si="2"/>
        <v>21.93</v>
      </c>
    </row>
    <row r="6" spans="1:15" x14ac:dyDescent="0.3">
      <c r="A6" s="2" t="s">
        <v>63</v>
      </c>
      <c r="B6" s="2">
        <v>1.32</v>
      </c>
      <c r="C6">
        <v>15.72</v>
      </c>
      <c r="I6" s="9" t="s">
        <v>62</v>
      </c>
      <c r="J6" s="7">
        <v>0.4</v>
      </c>
      <c r="K6" s="7">
        <v>1.2</v>
      </c>
      <c r="L6" s="7">
        <f t="shared" si="0"/>
        <v>1.32</v>
      </c>
      <c r="M6" s="7">
        <f t="shared" si="1"/>
        <v>14.399999999999999</v>
      </c>
      <c r="N6" s="686" t="s">
        <v>336</v>
      </c>
      <c r="O6" s="7">
        <f t="shared" si="2"/>
        <v>15.719999999999999</v>
      </c>
    </row>
    <row r="7" spans="1:15" x14ac:dyDescent="0.3">
      <c r="A7" s="2" t="s">
        <v>60</v>
      </c>
      <c r="B7" s="2">
        <v>0.33</v>
      </c>
      <c r="C7">
        <v>19.53</v>
      </c>
      <c r="I7" s="9" t="s">
        <v>63</v>
      </c>
      <c r="J7" s="7">
        <v>0.4</v>
      </c>
      <c r="K7" s="7">
        <v>1.2</v>
      </c>
      <c r="L7" s="7">
        <f t="shared" si="0"/>
        <v>1.32</v>
      </c>
      <c r="M7" s="7">
        <f t="shared" si="1"/>
        <v>14.399999999999999</v>
      </c>
      <c r="N7" s="686" t="s">
        <v>336</v>
      </c>
      <c r="O7" s="7">
        <f t="shared" si="2"/>
        <v>15.719999999999999</v>
      </c>
    </row>
    <row r="8" spans="1:15" x14ac:dyDescent="0.3">
      <c r="A8" s="2" t="s">
        <v>61</v>
      </c>
      <c r="B8" s="2">
        <v>0.33</v>
      </c>
      <c r="C8">
        <v>21.93</v>
      </c>
      <c r="I8" s="9" t="s">
        <v>64</v>
      </c>
      <c r="J8" s="7">
        <v>0.47</v>
      </c>
      <c r="K8" s="7">
        <v>1</v>
      </c>
      <c r="L8" s="7">
        <f t="shared" si="0"/>
        <v>1.5509999999999999</v>
      </c>
      <c r="M8" s="7">
        <f t="shared" si="1"/>
        <v>12</v>
      </c>
      <c r="N8" s="686" t="s">
        <v>336</v>
      </c>
      <c r="O8" s="7">
        <f t="shared" si="2"/>
        <v>13.551</v>
      </c>
    </row>
    <row r="9" spans="1:15" x14ac:dyDescent="0.3">
      <c r="A9" s="2" t="s">
        <v>324</v>
      </c>
      <c r="B9" s="2">
        <v>0.7</v>
      </c>
      <c r="C9">
        <v>20.059999999999999</v>
      </c>
      <c r="I9" s="9" t="s">
        <v>65</v>
      </c>
      <c r="J9" s="162">
        <v>0.45</v>
      </c>
      <c r="K9" s="162">
        <v>1</v>
      </c>
      <c r="L9" s="162">
        <f t="shared" si="0"/>
        <v>1.4849999999999999</v>
      </c>
      <c r="M9" s="162">
        <f t="shared" si="1"/>
        <v>12</v>
      </c>
      <c r="N9" s="686" t="s">
        <v>336</v>
      </c>
      <c r="O9" s="162">
        <f t="shared" si="2"/>
        <v>13.484999999999999</v>
      </c>
    </row>
    <row r="10" spans="1:15" x14ac:dyDescent="0.3">
      <c r="A10" s="2" t="s">
        <v>634</v>
      </c>
      <c r="B10" s="2">
        <v>1.4</v>
      </c>
      <c r="C10">
        <v>23.06</v>
      </c>
      <c r="I10" s="7" t="s">
        <v>324</v>
      </c>
      <c r="J10" s="7">
        <v>0.8</v>
      </c>
      <c r="K10" s="7">
        <v>1.46</v>
      </c>
      <c r="L10" s="7">
        <v>2.61</v>
      </c>
      <c r="M10" s="7">
        <v>17.484000000000002</v>
      </c>
      <c r="N10" s="7">
        <v>0.01</v>
      </c>
      <c r="O10" s="7">
        <f>SUM(L10:N10)</f>
        <v>20.104000000000003</v>
      </c>
    </row>
    <row r="11" spans="1:15" x14ac:dyDescent="0.3">
      <c r="A11" s="2" t="s">
        <v>633</v>
      </c>
      <c r="B11" s="2">
        <v>0.7</v>
      </c>
      <c r="C11">
        <v>17.5</v>
      </c>
      <c r="I11" s="7" t="s">
        <v>634</v>
      </c>
      <c r="J11" s="5">
        <v>0.08</v>
      </c>
      <c r="K11" s="5">
        <v>1.39</v>
      </c>
      <c r="L11" s="7">
        <v>0.28000000000000003</v>
      </c>
      <c r="M11" s="7">
        <v>16.7</v>
      </c>
      <c r="N11" s="7">
        <v>0.08</v>
      </c>
      <c r="O11" s="7">
        <v>17.059999999999999</v>
      </c>
    </row>
    <row r="12" spans="1:15" x14ac:dyDescent="0.3">
      <c r="A12" s="2" t="s">
        <v>637</v>
      </c>
      <c r="B12" s="2">
        <v>0.8</v>
      </c>
      <c r="C12">
        <v>17.3</v>
      </c>
      <c r="I12" s="7" t="s">
        <v>633</v>
      </c>
      <c r="J12" s="7">
        <v>0.01</v>
      </c>
      <c r="K12" s="7">
        <v>1.28</v>
      </c>
      <c r="L12" s="7">
        <v>0.22</v>
      </c>
      <c r="M12" s="7">
        <v>15.4</v>
      </c>
      <c r="N12" s="687" t="s">
        <v>336</v>
      </c>
      <c r="O12" s="7">
        <v>15.62</v>
      </c>
    </row>
    <row r="13" spans="1:15" x14ac:dyDescent="0.3">
      <c r="A13" s="2" t="s">
        <v>638</v>
      </c>
      <c r="B13" s="2">
        <v>0.8</v>
      </c>
      <c r="C13">
        <v>17.3</v>
      </c>
      <c r="I13" s="7" t="s">
        <v>637</v>
      </c>
      <c r="J13" s="7">
        <v>0.01</v>
      </c>
      <c r="K13" s="7">
        <v>1.08</v>
      </c>
      <c r="L13" s="7">
        <v>0.22</v>
      </c>
      <c r="M13" s="7">
        <v>13</v>
      </c>
      <c r="N13" s="686" t="s">
        <v>336</v>
      </c>
      <c r="O13" s="7">
        <v>13.22</v>
      </c>
    </row>
  </sheetData>
  <mergeCells count="1">
    <mergeCell ref="I1:O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3" tint="-0.249977111117893"/>
  </sheetPr>
  <dimension ref="A1:C6"/>
  <sheetViews>
    <sheetView workbookViewId="0">
      <selection activeCell="C1" sqref="C1"/>
    </sheetView>
  </sheetViews>
  <sheetFormatPr defaultRowHeight="14.4" x14ac:dyDescent="0.3"/>
  <cols>
    <col min="1" max="1" width="15.6640625" bestFit="1" customWidth="1"/>
    <col min="2" max="2" width="24.6640625" bestFit="1" customWidth="1"/>
    <col min="3" max="3" width="15.109375" customWidth="1"/>
  </cols>
  <sheetData>
    <row r="1" spans="1:3" x14ac:dyDescent="0.3">
      <c r="A1" s="3" t="s">
        <v>27</v>
      </c>
      <c r="B1" s="3" t="s">
        <v>53</v>
      </c>
      <c r="C1" s="1" t="s">
        <v>26</v>
      </c>
    </row>
    <row r="2" spans="1:3" x14ac:dyDescent="0.3">
      <c r="A2" t="s">
        <v>30</v>
      </c>
      <c r="C2" s="1">
        <v>0</v>
      </c>
    </row>
    <row r="3" spans="1:3" x14ac:dyDescent="0.3">
      <c r="A3" t="s">
        <v>54</v>
      </c>
      <c r="B3" t="s">
        <v>57</v>
      </c>
      <c r="C3" s="1">
        <v>9</v>
      </c>
    </row>
    <row r="4" spans="1:3" x14ac:dyDescent="0.3">
      <c r="A4" t="s">
        <v>55</v>
      </c>
      <c r="B4" t="s">
        <v>58</v>
      </c>
      <c r="C4">
        <v>10</v>
      </c>
    </row>
    <row r="5" spans="1:3" x14ac:dyDescent="0.3">
      <c r="A5" t="s">
        <v>56</v>
      </c>
      <c r="B5" t="s">
        <v>59</v>
      </c>
      <c r="C5">
        <v>5</v>
      </c>
    </row>
    <row r="6" spans="1:3" x14ac:dyDescent="0.3">
      <c r="A6" t="s">
        <v>417</v>
      </c>
      <c r="C6">
        <v>35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3" tint="-0.249977111117893"/>
  </sheetPr>
  <dimension ref="A1:D10"/>
  <sheetViews>
    <sheetView workbookViewId="0">
      <selection activeCell="B7" sqref="B7"/>
    </sheetView>
  </sheetViews>
  <sheetFormatPr defaultRowHeight="14.4" x14ac:dyDescent="0.3"/>
  <cols>
    <col min="1" max="1" width="19.6640625" bestFit="1" customWidth="1"/>
    <col min="2" max="2" width="12.5546875" customWidth="1"/>
    <col min="3" max="3" width="9.109375" style="1" bestFit="1" customWidth="1"/>
    <col min="4" max="4" width="5.5546875" bestFit="1" customWidth="1"/>
  </cols>
  <sheetData>
    <row r="1" spans="1:4" x14ac:dyDescent="0.3">
      <c r="A1" s="3" t="s">
        <v>27</v>
      </c>
      <c r="B1" s="1" t="s">
        <v>26</v>
      </c>
      <c r="C1" s="1" t="s">
        <v>247</v>
      </c>
      <c r="D1" s="2" t="s">
        <v>124</v>
      </c>
    </row>
    <row r="2" spans="1:4" x14ac:dyDescent="0.3">
      <c r="A2" t="s">
        <v>30</v>
      </c>
      <c r="B2" s="1">
        <v>0</v>
      </c>
      <c r="C2" s="1">
        <v>0</v>
      </c>
      <c r="D2" s="1" t="s">
        <v>248</v>
      </c>
    </row>
    <row r="3" spans="1:4" x14ac:dyDescent="0.3">
      <c r="A3" t="s">
        <v>50</v>
      </c>
      <c r="B3" s="1">
        <v>30</v>
      </c>
      <c r="C3" s="1">
        <v>2</v>
      </c>
      <c r="D3" s="1" t="s">
        <v>105</v>
      </c>
    </row>
    <row r="4" spans="1:4" x14ac:dyDescent="0.3">
      <c r="A4" t="s">
        <v>47</v>
      </c>
      <c r="B4" s="1">
        <v>20</v>
      </c>
      <c r="C4" s="1">
        <v>2</v>
      </c>
      <c r="D4" s="1" t="s">
        <v>105</v>
      </c>
    </row>
    <row r="5" spans="1:4" x14ac:dyDescent="0.3">
      <c r="A5" t="s">
        <v>270</v>
      </c>
      <c r="B5" s="1">
        <v>14</v>
      </c>
      <c r="C5" s="1">
        <v>2</v>
      </c>
      <c r="D5" s="1" t="s">
        <v>255</v>
      </c>
    </row>
    <row r="6" spans="1:4" x14ac:dyDescent="0.3">
      <c r="A6" t="s">
        <v>419</v>
      </c>
      <c r="B6">
        <v>2</v>
      </c>
      <c r="C6" s="1">
        <v>2</v>
      </c>
      <c r="D6" s="1" t="s">
        <v>104</v>
      </c>
    </row>
    <row r="7" spans="1:4" x14ac:dyDescent="0.3">
      <c r="A7" t="s">
        <v>48</v>
      </c>
      <c r="B7" s="1">
        <v>10</v>
      </c>
      <c r="C7" s="1">
        <v>2</v>
      </c>
      <c r="D7" s="1" t="s">
        <v>104</v>
      </c>
    </row>
    <row r="8" spans="1:4" x14ac:dyDescent="0.3">
      <c r="A8" t="s">
        <v>49</v>
      </c>
      <c r="B8" s="1">
        <v>9</v>
      </c>
      <c r="C8" s="1">
        <v>2</v>
      </c>
      <c r="D8" s="1" t="s">
        <v>255</v>
      </c>
    </row>
    <row r="9" spans="1:4" x14ac:dyDescent="0.3">
      <c r="A9" t="s">
        <v>21</v>
      </c>
      <c r="B9">
        <v>8</v>
      </c>
      <c r="C9" s="1">
        <v>2</v>
      </c>
      <c r="D9" s="1" t="s">
        <v>104</v>
      </c>
    </row>
    <row r="10" spans="1:4" x14ac:dyDescent="0.3">
      <c r="A10" t="s">
        <v>46</v>
      </c>
      <c r="B10">
        <v>6</v>
      </c>
      <c r="C10" s="1">
        <v>1</v>
      </c>
      <c r="D10" s="1" t="s">
        <v>102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 tint="-0.249977111117893"/>
  </sheetPr>
  <dimension ref="A1:M15"/>
  <sheetViews>
    <sheetView workbookViewId="0">
      <selection activeCell="C18" sqref="C18"/>
    </sheetView>
  </sheetViews>
  <sheetFormatPr defaultRowHeight="14.4" x14ac:dyDescent="0.3"/>
  <cols>
    <col min="1" max="1" width="20.88671875" customWidth="1"/>
    <col min="2" max="2" width="7.33203125" customWidth="1"/>
    <col min="3" max="3" width="10.6640625" customWidth="1"/>
    <col min="9" max="9" width="11" bestFit="1" customWidth="1"/>
    <col min="10" max="10" width="12" bestFit="1" customWidth="1"/>
    <col min="11" max="11" width="11" bestFit="1" customWidth="1"/>
    <col min="12" max="12" width="12" bestFit="1" customWidth="1"/>
    <col min="13" max="13" width="11" bestFit="1" customWidth="1"/>
    <col min="14" max="14" width="12" bestFit="1" customWidth="1"/>
    <col min="15" max="15" width="11" bestFit="1" customWidth="1"/>
  </cols>
  <sheetData>
    <row r="1" spans="1:13" x14ac:dyDescent="0.3">
      <c r="A1" s="3" t="s">
        <v>27</v>
      </c>
      <c r="B1" s="3" t="s">
        <v>69</v>
      </c>
      <c r="C1" s="1" t="s">
        <v>26</v>
      </c>
      <c r="H1" s="691" t="s">
        <v>66</v>
      </c>
      <c r="I1" s="692"/>
      <c r="J1" s="692"/>
      <c r="K1" s="692"/>
      <c r="L1" s="692"/>
      <c r="M1" s="693"/>
    </row>
    <row r="2" spans="1:13" x14ac:dyDescent="0.3">
      <c r="A2" t="s">
        <v>30</v>
      </c>
      <c r="B2">
        <v>0</v>
      </c>
      <c r="C2" s="1">
        <v>0</v>
      </c>
      <c r="H2" s="4" t="s">
        <v>13</v>
      </c>
      <c r="I2" s="5" t="s">
        <v>15</v>
      </c>
      <c r="J2" s="5" t="s">
        <v>12</v>
      </c>
      <c r="K2" s="5" t="s">
        <v>18</v>
      </c>
      <c r="L2" s="5" t="s">
        <v>19</v>
      </c>
      <c r="M2" s="5" t="s">
        <v>31</v>
      </c>
    </row>
    <row r="3" spans="1:13" x14ac:dyDescent="0.3">
      <c r="A3" t="s">
        <v>326</v>
      </c>
      <c r="B3">
        <v>7</v>
      </c>
      <c r="C3">
        <f>M3</f>
        <v>14.399999999999999</v>
      </c>
      <c r="H3" s="7" t="s">
        <v>17</v>
      </c>
      <c r="I3" s="7">
        <v>1.44</v>
      </c>
      <c r="J3" s="7">
        <v>0.6</v>
      </c>
      <c r="K3" s="7">
        <f t="shared" ref="K3:K8" si="0">I3*5</f>
        <v>7.1999999999999993</v>
      </c>
      <c r="L3" s="7">
        <f t="shared" ref="L3:L8" si="1">J3*12</f>
        <v>7.1999999999999993</v>
      </c>
      <c r="M3" s="7">
        <f t="shared" ref="M3:M8" si="2">K3+L3</f>
        <v>14.399999999999999</v>
      </c>
    </row>
    <row r="4" spans="1:13" x14ac:dyDescent="0.3">
      <c r="A4" t="s">
        <v>154</v>
      </c>
      <c r="B4">
        <v>5</v>
      </c>
      <c r="C4">
        <v>10.96</v>
      </c>
      <c r="H4" s="7" t="s">
        <v>94</v>
      </c>
      <c r="I4" s="7">
        <v>0.68</v>
      </c>
      <c r="J4" s="7">
        <v>0.63</v>
      </c>
      <c r="K4" s="7">
        <f t="shared" si="0"/>
        <v>3.4000000000000004</v>
      </c>
      <c r="L4" s="7">
        <f t="shared" si="1"/>
        <v>7.5600000000000005</v>
      </c>
      <c r="M4" s="7">
        <f t="shared" si="2"/>
        <v>10.96</v>
      </c>
    </row>
    <row r="5" spans="1:13" x14ac:dyDescent="0.3">
      <c r="A5" t="s">
        <v>149</v>
      </c>
      <c r="B5">
        <v>5</v>
      </c>
      <c r="C5">
        <v>10.96</v>
      </c>
      <c r="H5" s="7" t="s">
        <v>16</v>
      </c>
      <c r="I5" s="7">
        <v>0.75</v>
      </c>
      <c r="J5" s="7">
        <v>0.99</v>
      </c>
      <c r="K5" s="7">
        <f t="shared" si="0"/>
        <v>3.75</v>
      </c>
      <c r="L5" s="7">
        <f t="shared" si="1"/>
        <v>11.879999999999999</v>
      </c>
      <c r="M5" s="7">
        <f t="shared" si="2"/>
        <v>15.629999999999999</v>
      </c>
    </row>
    <row r="6" spans="1:13" x14ac:dyDescent="0.3">
      <c r="A6" t="s">
        <v>150</v>
      </c>
      <c r="B6">
        <v>5</v>
      </c>
      <c r="C6">
        <f>M5</f>
        <v>15.629999999999999</v>
      </c>
      <c r="H6" s="7" t="s">
        <v>14</v>
      </c>
      <c r="I6" s="7">
        <v>1</v>
      </c>
      <c r="J6" s="7">
        <v>1.1000000000000001</v>
      </c>
      <c r="K6" s="7">
        <f t="shared" si="0"/>
        <v>5</v>
      </c>
      <c r="L6" s="7">
        <f t="shared" si="1"/>
        <v>13.200000000000001</v>
      </c>
      <c r="M6" s="7">
        <f t="shared" si="2"/>
        <v>18.200000000000003</v>
      </c>
    </row>
    <row r="7" spans="1:13" x14ac:dyDescent="0.3">
      <c r="A7" t="s">
        <v>329</v>
      </c>
      <c r="B7">
        <v>5</v>
      </c>
      <c r="C7">
        <v>17</v>
      </c>
      <c r="H7" s="7" t="s">
        <v>29</v>
      </c>
      <c r="I7" s="7">
        <v>0.95</v>
      </c>
      <c r="J7" s="7">
        <v>0.35</v>
      </c>
      <c r="K7" s="7">
        <f t="shared" si="0"/>
        <v>4.75</v>
      </c>
      <c r="L7" s="7">
        <f t="shared" si="1"/>
        <v>4.1999999999999993</v>
      </c>
      <c r="M7" s="7">
        <f t="shared" si="2"/>
        <v>8.9499999999999993</v>
      </c>
    </row>
    <row r="8" spans="1:13" x14ac:dyDescent="0.3">
      <c r="A8" t="s">
        <v>151</v>
      </c>
      <c r="B8">
        <v>5</v>
      </c>
      <c r="C8">
        <f>M6</f>
        <v>18.200000000000003</v>
      </c>
      <c r="H8" s="7" t="s">
        <v>113</v>
      </c>
      <c r="I8" s="7">
        <v>0.8</v>
      </c>
      <c r="J8" s="7">
        <v>0.5</v>
      </c>
      <c r="K8" s="7">
        <f t="shared" si="0"/>
        <v>4</v>
      </c>
      <c r="L8" s="7">
        <f t="shared" si="1"/>
        <v>6</v>
      </c>
      <c r="M8" s="7">
        <f t="shared" si="2"/>
        <v>10</v>
      </c>
    </row>
    <row r="9" spans="1:13" x14ac:dyDescent="0.3">
      <c r="A9" t="s">
        <v>152</v>
      </c>
      <c r="B9">
        <v>5</v>
      </c>
      <c r="C9">
        <f>M7</f>
        <v>8.9499999999999993</v>
      </c>
    </row>
    <row r="10" spans="1:13" x14ac:dyDescent="0.3">
      <c r="A10" t="s">
        <v>153</v>
      </c>
      <c r="B10">
        <v>4</v>
      </c>
      <c r="C10">
        <v>10</v>
      </c>
    </row>
    <row r="11" spans="1:13" x14ac:dyDescent="0.3">
      <c r="A11" t="s">
        <v>325</v>
      </c>
      <c r="B11">
        <v>7</v>
      </c>
      <c r="C11">
        <v>14.4</v>
      </c>
    </row>
    <row r="12" spans="1:13" x14ac:dyDescent="0.3">
      <c r="A12" t="s">
        <v>522</v>
      </c>
      <c r="B12">
        <v>8</v>
      </c>
      <c r="C12">
        <v>14.6</v>
      </c>
    </row>
    <row r="13" spans="1:13" x14ac:dyDescent="0.3">
      <c r="A13" t="s">
        <v>523</v>
      </c>
      <c r="B13">
        <v>9</v>
      </c>
      <c r="C13">
        <v>14.8</v>
      </c>
    </row>
    <row r="14" spans="1:13" x14ac:dyDescent="0.3">
      <c r="A14" t="s">
        <v>569</v>
      </c>
      <c r="B14" s="673">
        <v>6.4</v>
      </c>
      <c r="C14" s="673">
        <v>14.2</v>
      </c>
    </row>
    <row r="15" spans="1:13" x14ac:dyDescent="0.3">
      <c r="A15" t="s">
        <v>570</v>
      </c>
      <c r="B15" s="673">
        <v>6.4</v>
      </c>
      <c r="C15" s="673">
        <v>14.2</v>
      </c>
    </row>
  </sheetData>
  <mergeCells count="1">
    <mergeCell ref="H1:M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3" tint="-0.249977111117893"/>
  </sheetPr>
  <dimension ref="A1:C5"/>
  <sheetViews>
    <sheetView workbookViewId="0"/>
  </sheetViews>
  <sheetFormatPr defaultRowHeight="14.4" x14ac:dyDescent="0.3"/>
  <cols>
    <col min="1" max="1" width="16" bestFit="1" customWidth="1"/>
    <col min="2" max="2" width="11.109375" bestFit="1" customWidth="1"/>
    <col min="3" max="3" width="15" bestFit="1" customWidth="1"/>
  </cols>
  <sheetData>
    <row r="1" spans="1:3" x14ac:dyDescent="0.3">
      <c r="A1" s="3" t="s">
        <v>27</v>
      </c>
      <c r="B1" s="3" t="s">
        <v>69</v>
      </c>
      <c r="C1" s="1" t="s">
        <v>86</v>
      </c>
    </row>
    <row r="2" spans="1:3" x14ac:dyDescent="0.3">
      <c r="A2" t="s">
        <v>30</v>
      </c>
      <c r="B2">
        <v>0</v>
      </c>
      <c r="C2" s="1">
        <v>0</v>
      </c>
    </row>
    <row r="3" spans="1:3" x14ac:dyDescent="0.3">
      <c r="A3" t="s">
        <v>3</v>
      </c>
      <c r="B3">
        <v>7</v>
      </c>
      <c r="C3">
        <v>11</v>
      </c>
    </row>
    <row r="4" spans="1:3" x14ac:dyDescent="0.3">
      <c r="A4" s="12" t="s">
        <v>87</v>
      </c>
      <c r="B4" s="12">
        <v>8.08</v>
      </c>
      <c r="C4" s="12">
        <v>9.26</v>
      </c>
    </row>
    <row r="5" spans="1:3" x14ac:dyDescent="0.3">
      <c r="A5" t="s">
        <v>272</v>
      </c>
      <c r="B5">
        <v>7</v>
      </c>
      <c r="C5">
        <v>11</v>
      </c>
    </row>
  </sheetData>
  <sheetProtection selectLockedCells="1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theme="3" tint="-0.249977111117893"/>
  </sheetPr>
  <dimension ref="B1:R80"/>
  <sheetViews>
    <sheetView topLeftCell="A25" zoomScaleNormal="100" workbookViewId="0">
      <selection activeCell="O17" sqref="O17"/>
    </sheetView>
  </sheetViews>
  <sheetFormatPr defaultRowHeight="14.4" x14ac:dyDescent="0.3"/>
  <cols>
    <col min="2" max="2" width="20.5546875" bestFit="1" customWidth="1"/>
    <col min="3" max="4" width="18.109375" bestFit="1" customWidth="1"/>
    <col min="5" max="5" width="16" bestFit="1" customWidth="1"/>
    <col min="6" max="7" width="18.109375" bestFit="1" customWidth="1"/>
    <col min="8" max="8" width="14" customWidth="1"/>
    <col min="9" max="9" width="19.6640625" bestFit="1" customWidth="1"/>
    <col min="10" max="10" width="18.109375" bestFit="1" customWidth="1"/>
    <col min="11" max="14" width="18.88671875" bestFit="1" customWidth="1"/>
    <col min="15" max="16" width="19.88671875" bestFit="1" customWidth="1"/>
    <col min="17" max="17" width="19.44140625" bestFit="1" customWidth="1"/>
    <col min="18" max="18" width="20" bestFit="1" customWidth="1"/>
  </cols>
  <sheetData>
    <row r="1" spans="2:13" x14ac:dyDescent="0.3">
      <c r="B1" s="13" t="s">
        <v>27</v>
      </c>
      <c r="C1" s="13" t="s">
        <v>26</v>
      </c>
      <c r="D1" s="14" t="s">
        <v>8</v>
      </c>
      <c r="E1" s="13" t="s">
        <v>77</v>
      </c>
      <c r="F1" s="13" t="s">
        <v>111</v>
      </c>
      <c r="G1" s="13" t="s">
        <v>76</v>
      </c>
      <c r="H1" s="13" t="s">
        <v>112</v>
      </c>
      <c r="I1" s="13" t="s">
        <v>9</v>
      </c>
      <c r="J1" s="13" t="s">
        <v>134</v>
      </c>
      <c r="K1" s="13" t="s">
        <v>135</v>
      </c>
      <c r="L1" s="13" t="s">
        <v>143</v>
      </c>
      <c r="M1" s="13" t="s">
        <v>186</v>
      </c>
    </row>
    <row r="2" spans="2:13" x14ac:dyDescent="0.3">
      <c r="B2" s="17" t="s">
        <v>30</v>
      </c>
      <c r="C2" s="17">
        <v>0</v>
      </c>
      <c r="D2" s="18" t="s">
        <v>30</v>
      </c>
      <c r="E2" s="17" t="s">
        <v>30</v>
      </c>
      <c r="F2" s="17">
        <v>0</v>
      </c>
      <c r="G2" s="17" t="s">
        <v>30</v>
      </c>
      <c r="H2" s="17">
        <v>0</v>
      </c>
      <c r="I2" s="17" t="s">
        <v>30</v>
      </c>
      <c r="J2">
        <v>0</v>
      </c>
      <c r="K2">
        <v>0</v>
      </c>
      <c r="L2" t="s">
        <v>30</v>
      </c>
      <c r="M2">
        <v>0</v>
      </c>
    </row>
    <row r="3" spans="2:13" x14ac:dyDescent="0.3">
      <c r="B3" t="s">
        <v>106</v>
      </c>
      <c r="C3">
        <v>22.5</v>
      </c>
      <c r="D3" t="s">
        <v>7</v>
      </c>
      <c r="E3" t="s">
        <v>56</v>
      </c>
      <c r="F3">
        <v>4</v>
      </c>
      <c r="G3" t="s">
        <v>30</v>
      </c>
      <c r="H3">
        <v>0</v>
      </c>
      <c r="I3" s="2" t="s">
        <v>46</v>
      </c>
      <c r="J3">
        <v>1</v>
      </c>
      <c r="K3">
        <v>1</v>
      </c>
      <c r="L3" t="s">
        <v>144</v>
      </c>
      <c r="M3">
        <v>4</v>
      </c>
    </row>
    <row r="4" spans="2:13" x14ac:dyDescent="0.3">
      <c r="B4" t="s">
        <v>305</v>
      </c>
      <c r="C4">
        <v>30</v>
      </c>
      <c r="D4" t="s">
        <v>7</v>
      </c>
      <c r="E4" t="s">
        <v>56</v>
      </c>
      <c r="F4">
        <v>8</v>
      </c>
      <c r="G4" t="s">
        <v>30</v>
      </c>
      <c r="H4">
        <v>0</v>
      </c>
      <c r="I4" s="2" t="s">
        <v>46</v>
      </c>
      <c r="J4">
        <v>1</v>
      </c>
      <c r="K4">
        <v>1</v>
      </c>
      <c r="L4" t="s">
        <v>309</v>
      </c>
      <c r="M4">
        <v>4</v>
      </c>
    </row>
    <row r="5" spans="2:13" ht="14.25" customHeight="1" x14ac:dyDescent="0.3">
      <c r="B5" t="s">
        <v>156</v>
      </c>
      <c r="C5">
        <v>70.5</v>
      </c>
      <c r="D5" t="s">
        <v>7</v>
      </c>
      <c r="E5" t="s">
        <v>55</v>
      </c>
      <c r="F5">
        <v>3</v>
      </c>
      <c r="G5" t="s">
        <v>55</v>
      </c>
      <c r="H5">
        <v>3</v>
      </c>
      <c r="I5" s="2" t="s">
        <v>21</v>
      </c>
      <c r="J5">
        <v>1</v>
      </c>
      <c r="K5">
        <v>1</v>
      </c>
      <c r="L5" t="s">
        <v>157</v>
      </c>
      <c r="M5">
        <v>6</v>
      </c>
    </row>
    <row r="6" spans="2:13" x14ac:dyDescent="0.3">
      <c r="B6" t="s">
        <v>107</v>
      </c>
      <c r="C6">
        <v>39.5</v>
      </c>
      <c r="D6" t="s">
        <v>7</v>
      </c>
      <c r="E6" t="s">
        <v>54</v>
      </c>
      <c r="F6">
        <v>3</v>
      </c>
      <c r="G6" t="s">
        <v>30</v>
      </c>
      <c r="H6">
        <v>0</v>
      </c>
      <c r="I6" s="2" t="s">
        <v>48</v>
      </c>
      <c r="J6">
        <v>1</v>
      </c>
      <c r="K6">
        <v>1</v>
      </c>
      <c r="L6" t="s">
        <v>145</v>
      </c>
      <c r="M6">
        <v>12</v>
      </c>
    </row>
    <row r="7" spans="2:13" x14ac:dyDescent="0.3">
      <c r="B7" t="s">
        <v>306</v>
      </c>
      <c r="C7">
        <v>45</v>
      </c>
      <c r="D7" t="s">
        <v>7</v>
      </c>
      <c r="E7" t="s">
        <v>55</v>
      </c>
      <c r="F7">
        <v>4</v>
      </c>
      <c r="G7" t="s">
        <v>55</v>
      </c>
      <c r="H7">
        <v>1</v>
      </c>
      <c r="I7" s="2" t="s">
        <v>48</v>
      </c>
      <c r="J7">
        <v>1</v>
      </c>
      <c r="K7">
        <v>1</v>
      </c>
      <c r="L7" t="s">
        <v>310</v>
      </c>
      <c r="M7">
        <v>12</v>
      </c>
    </row>
    <row r="8" spans="2:13" x14ac:dyDescent="0.3">
      <c r="B8" t="s">
        <v>418</v>
      </c>
      <c r="C8">
        <v>66.5</v>
      </c>
      <c r="D8" t="s">
        <v>7</v>
      </c>
      <c r="E8" t="s">
        <v>417</v>
      </c>
      <c r="F8">
        <v>5</v>
      </c>
      <c r="G8" t="s">
        <v>30</v>
      </c>
      <c r="H8">
        <v>0</v>
      </c>
      <c r="I8" s="2" t="s">
        <v>419</v>
      </c>
      <c r="J8">
        <v>1</v>
      </c>
      <c r="K8">
        <v>1</v>
      </c>
      <c r="L8" t="s">
        <v>420</v>
      </c>
      <c r="M8">
        <v>14</v>
      </c>
    </row>
    <row r="9" spans="2:13" x14ac:dyDescent="0.3">
      <c r="B9" t="s">
        <v>108</v>
      </c>
      <c r="C9">
        <v>66.5</v>
      </c>
      <c r="D9" t="s">
        <v>7</v>
      </c>
      <c r="E9" t="s">
        <v>55</v>
      </c>
      <c r="F9">
        <v>4</v>
      </c>
      <c r="G9" t="s">
        <v>55</v>
      </c>
      <c r="H9">
        <v>2</v>
      </c>
      <c r="I9" s="2" t="s">
        <v>49</v>
      </c>
      <c r="J9">
        <v>1</v>
      </c>
      <c r="K9">
        <v>1</v>
      </c>
      <c r="L9" t="s">
        <v>146</v>
      </c>
      <c r="M9">
        <v>8</v>
      </c>
    </row>
    <row r="10" spans="2:13" x14ac:dyDescent="0.3">
      <c r="B10" t="s">
        <v>109</v>
      </c>
      <c r="C10">
        <v>69.5</v>
      </c>
      <c r="D10" t="s">
        <v>7</v>
      </c>
      <c r="E10" t="s">
        <v>55</v>
      </c>
      <c r="F10">
        <v>3</v>
      </c>
      <c r="G10" t="s">
        <v>54</v>
      </c>
      <c r="H10">
        <v>2</v>
      </c>
      <c r="I10" s="2" t="s">
        <v>47</v>
      </c>
      <c r="J10">
        <v>1</v>
      </c>
      <c r="K10">
        <v>1</v>
      </c>
      <c r="L10" t="s">
        <v>147</v>
      </c>
      <c r="M10">
        <v>24</v>
      </c>
    </row>
    <row r="11" spans="2:13" x14ac:dyDescent="0.3">
      <c r="B11" t="s">
        <v>110</v>
      </c>
      <c r="C11">
        <v>102.5</v>
      </c>
      <c r="D11" t="s">
        <v>7</v>
      </c>
      <c r="E11" t="s">
        <v>55</v>
      </c>
      <c r="F11">
        <v>7</v>
      </c>
      <c r="G11" t="s">
        <v>55</v>
      </c>
      <c r="H11">
        <v>2</v>
      </c>
      <c r="I11" s="2" t="s">
        <v>50</v>
      </c>
      <c r="J11">
        <v>1</v>
      </c>
      <c r="K11">
        <v>1</v>
      </c>
      <c r="L11" t="s">
        <v>148</v>
      </c>
      <c r="M11">
        <v>36</v>
      </c>
    </row>
    <row r="12" spans="2:13" x14ac:dyDescent="0.3">
      <c r="B12" t="s">
        <v>592</v>
      </c>
      <c r="C12">
        <v>22.5</v>
      </c>
      <c r="D12" t="s">
        <v>7</v>
      </c>
      <c r="E12" t="s">
        <v>56</v>
      </c>
      <c r="F12">
        <v>4</v>
      </c>
      <c r="G12" t="s">
        <v>30</v>
      </c>
      <c r="H12">
        <v>0</v>
      </c>
      <c r="I12" s="2" t="s">
        <v>46</v>
      </c>
      <c r="J12">
        <v>1</v>
      </c>
      <c r="K12">
        <v>1</v>
      </c>
      <c r="L12" t="s">
        <v>599</v>
      </c>
      <c r="M12">
        <v>4</v>
      </c>
    </row>
    <row r="13" spans="2:13" x14ac:dyDescent="0.3">
      <c r="B13" t="s">
        <v>593</v>
      </c>
      <c r="I13" s="2"/>
      <c r="L13" t="s">
        <v>601</v>
      </c>
      <c r="M13">
        <v>4</v>
      </c>
    </row>
    <row r="14" spans="2:13" x14ac:dyDescent="0.3">
      <c r="B14" t="s">
        <v>594</v>
      </c>
      <c r="I14" s="2"/>
      <c r="L14" t="s">
        <v>602</v>
      </c>
      <c r="M14">
        <v>12</v>
      </c>
    </row>
    <row r="15" spans="2:13" x14ac:dyDescent="0.3">
      <c r="B15" t="s">
        <v>595</v>
      </c>
      <c r="I15" s="2"/>
      <c r="L15" t="s">
        <v>600</v>
      </c>
      <c r="M15">
        <v>4</v>
      </c>
    </row>
    <row r="16" spans="2:13" x14ac:dyDescent="0.3">
      <c r="B16" t="s">
        <v>596</v>
      </c>
      <c r="I16" s="2"/>
      <c r="L16" t="s">
        <v>603</v>
      </c>
      <c r="M16">
        <v>12</v>
      </c>
    </row>
    <row r="17" spans="2:17" x14ac:dyDescent="0.3">
      <c r="B17" t="s">
        <v>597</v>
      </c>
      <c r="I17" s="2"/>
      <c r="L17" t="s">
        <v>604</v>
      </c>
      <c r="M17">
        <v>16</v>
      </c>
    </row>
    <row r="18" spans="2:17" x14ac:dyDescent="0.3">
      <c r="B18" t="s">
        <v>598</v>
      </c>
      <c r="I18" s="2"/>
      <c r="L18" t="s">
        <v>605</v>
      </c>
      <c r="M18">
        <v>24</v>
      </c>
    </row>
    <row r="19" spans="2:17" x14ac:dyDescent="0.3">
      <c r="I19" s="2"/>
    </row>
    <row r="20" spans="2:17" x14ac:dyDescent="0.3">
      <c r="I20" s="2"/>
    </row>
    <row r="22" spans="2:17" x14ac:dyDescent="0.3">
      <c r="B22" s="688" t="s">
        <v>314</v>
      </c>
      <c r="C22" s="688"/>
      <c r="D22" s="688"/>
      <c r="E22" s="688"/>
      <c r="F22" s="688"/>
      <c r="G22" s="688"/>
      <c r="H22" s="688"/>
      <c r="I22" s="688"/>
      <c r="J22" s="688"/>
      <c r="K22" s="338"/>
      <c r="L22" s="338"/>
      <c r="M22" s="338"/>
      <c r="N22" s="338"/>
      <c r="O22" s="338"/>
      <c r="P22" s="338"/>
      <c r="Q22" s="338"/>
    </row>
    <row r="23" spans="2:17" x14ac:dyDescent="0.3">
      <c r="B23" s="41" t="s">
        <v>106</v>
      </c>
      <c r="C23" s="41" t="s">
        <v>305</v>
      </c>
      <c r="D23" s="8" t="s">
        <v>156</v>
      </c>
      <c r="E23" s="41" t="s">
        <v>107</v>
      </c>
      <c r="F23" s="41" t="s">
        <v>306</v>
      </c>
      <c r="G23" s="54" t="s">
        <v>418</v>
      </c>
      <c r="H23" s="42" t="s">
        <v>108</v>
      </c>
      <c r="I23" s="41" t="s">
        <v>109</v>
      </c>
      <c r="J23" s="41" t="s">
        <v>110</v>
      </c>
      <c r="K23" s="678" t="s">
        <v>592</v>
      </c>
      <c r="L23" s="678" t="s">
        <v>593</v>
      </c>
      <c r="M23" s="678" t="s">
        <v>594</v>
      </c>
      <c r="N23" s="678" t="s">
        <v>595</v>
      </c>
      <c r="O23" s="678" t="s">
        <v>596</v>
      </c>
      <c r="P23" s="678" t="s">
        <v>597</v>
      </c>
      <c r="Q23" s="678" t="s">
        <v>598</v>
      </c>
    </row>
    <row r="24" spans="2:17" x14ac:dyDescent="0.3">
      <c r="B24" s="7" t="s">
        <v>32</v>
      </c>
      <c r="C24" s="7" t="s">
        <v>30</v>
      </c>
      <c r="D24" s="7" t="s">
        <v>30</v>
      </c>
      <c r="E24" s="7" t="s">
        <v>30</v>
      </c>
      <c r="F24" s="7" t="s">
        <v>30</v>
      </c>
      <c r="G24" s="7" t="s">
        <v>30</v>
      </c>
      <c r="H24" s="7" t="s">
        <v>30</v>
      </c>
      <c r="I24" s="7" t="s">
        <v>30</v>
      </c>
      <c r="J24" s="24" t="s">
        <v>30</v>
      </c>
      <c r="K24" s="7" t="s">
        <v>30</v>
      </c>
      <c r="L24" s="7" t="s">
        <v>30</v>
      </c>
      <c r="M24" s="7" t="s">
        <v>30</v>
      </c>
      <c r="N24" s="7" t="s">
        <v>30</v>
      </c>
      <c r="O24" s="7" t="s">
        <v>30</v>
      </c>
      <c r="P24" s="7" t="s">
        <v>30</v>
      </c>
      <c r="Q24" s="7" t="s">
        <v>30</v>
      </c>
    </row>
    <row r="25" spans="2:17" x14ac:dyDescent="0.3">
      <c r="B25" s="7" t="s">
        <v>28</v>
      </c>
      <c r="C25" s="7" t="s">
        <v>308</v>
      </c>
      <c r="D25" s="7" t="s">
        <v>142</v>
      </c>
      <c r="E25" s="7" t="s">
        <v>33</v>
      </c>
      <c r="F25" s="7" t="s">
        <v>308</v>
      </c>
      <c r="G25" s="7" t="s">
        <v>412</v>
      </c>
      <c r="H25" s="24" t="s">
        <v>0</v>
      </c>
      <c r="I25" s="7" t="s">
        <v>33</v>
      </c>
      <c r="J25" s="24" t="s">
        <v>33</v>
      </c>
      <c r="K25" s="7" t="s">
        <v>606</v>
      </c>
      <c r="L25" s="7" t="s">
        <v>607</v>
      </c>
      <c r="M25" s="7" t="s">
        <v>609</v>
      </c>
      <c r="N25" s="7" t="s">
        <v>584</v>
      </c>
      <c r="O25" s="7" t="s">
        <v>586</v>
      </c>
      <c r="P25" s="7" t="s">
        <v>587</v>
      </c>
      <c r="Q25" s="7" t="s">
        <v>589</v>
      </c>
    </row>
    <row r="26" spans="2:17" x14ac:dyDescent="0.3">
      <c r="B26" s="7" t="s">
        <v>23</v>
      </c>
      <c r="C26" s="489" t="s">
        <v>504</v>
      </c>
      <c r="D26" s="49"/>
      <c r="E26" s="7" t="s">
        <v>0</v>
      </c>
      <c r="F26" s="7" t="s">
        <v>528</v>
      </c>
      <c r="G26" s="49"/>
      <c r="H26" s="24" t="s">
        <v>96</v>
      </c>
      <c r="I26" s="7" t="s">
        <v>0</v>
      </c>
      <c r="J26" s="24" t="s">
        <v>0</v>
      </c>
      <c r="K26" s="47"/>
      <c r="L26" s="7" t="s">
        <v>608</v>
      </c>
      <c r="M26" s="7" t="s">
        <v>610</v>
      </c>
      <c r="N26" s="47"/>
      <c r="O26" s="47"/>
      <c r="P26" s="47"/>
      <c r="Q26" s="47"/>
    </row>
    <row r="27" spans="2:17" x14ac:dyDescent="0.3">
      <c r="B27" s="7" t="s">
        <v>0</v>
      </c>
      <c r="C27" s="7" t="s">
        <v>528</v>
      </c>
      <c r="D27" s="49"/>
      <c r="E27" s="7" t="s">
        <v>96</v>
      </c>
      <c r="F27" s="49"/>
      <c r="G27" s="49"/>
      <c r="H27" s="49"/>
      <c r="I27" s="7" t="s">
        <v>96</v>
      </c>
      <c r="J27" s="24" t="s">
        <v>96</v>
      </c>
      <c r="K27" s="47"/>
      <c r="L27" s="47"/>
      <c r="M27" s="47"/>
      <c r="N27" s="47"/>
      <c r="O27" s="47"/>
      <c r="P27" s="47"/>
      <c r="Q27" s="47"/>
    </row>
    <row r="28" spans="2:17" x14ac:dyDescent="0.3">
      <c r="B28" s="7" t="s">
        <v>96</v>
      </c>
      <c r="C28" s="49"/>
      <c r="D28" s="49"/>
      <c r="E28" s="49"/>
      <c r="F28" s="49"/>
      <c r="G28" s="49"/>
      <c r="H28" s="49"/>
      <c r="I28" s="7" t="s">
        <v>73</v>
      </c>
      <c r="J28" s="24" t="s">
        <v>312</v>
      </c>
      <c r="K28" s="47"/>
      <c r="L28" s="47"/>
      <c r="M28" s="47"/>
      <c r="N28" s="47"/>
      <c r="O28" s="47"/>
      <c r="P28" s="47"/>
      <c r="Q28" s="47"/>
    </row>
    <row r="29" spans="2:17" x14ac:dyDescent="0.3">
      <c r="B29" s="7" t="s">
        <v>52</v>
      </c>
      <c r="C29" s="49"/>
      <c r="D29" s="49"/>
      <c r="E29" s="49"/>
      <c r="F29" s="49"/>
      <c r="G29" s="49"/>
      <c r="H29" s="49"/>
      <c r="I29" s="7" t="s">
        <v>277</v>
      </c>
      <c r="J29" s="49"/>
      <c r="K29" s="47"/>
      <c r="L29" s="47"/>
      <c r="M29" s="47"/>
      <c r="N29" s="47"/>
      <c r="O29" s="47"/>
      <c r="P29" s="47"/>
      <c r="Q29" s="47"/>
    </row>
    <row r="30" spans="2:17" x14ac:dyDescent="0.3">
      <c r="B30" s="53" t="s">
        <v>315</v>
      </c>
      <c r="C30" s="49"/>
      <c r="D30" s="49"/>
      <c r="E30" s="49"/>
      <c r="F30" s="49"/>
      <c r="G30" s="49"/>
      <c r="H30" s="49"/>
      <c r="I30" s="47"/>
      <c r="J30" s="49"/>
      <c r="K30" s="47"/>
      <c r="L30" s="47"/>
      <c r="M30" s="47"/>
      <c r="N30" s="47"/>
      <c r="O30" s="47"/>
      <c r="P30" s="47"/>
      <c r="Q30" s="47"/>
    </row>
    <row r="31" spans="2:17" x14ac:dyDescent="0.3">
      <c r="B31" s="49"/>
      <c r="C31" s="49"/>
      <c r="D31" s="49"/>
      <c r="E31" s="49"/>
      <c r="F31" s="49"/>
      <c r="G31" s="49"/>
      <c r="H31" s="49"/>
      <c r="I31" s="49"/>
      <c r="J31" s="49"/>
      <c r="K31" s="47"/>
      <c r="L31" s="47"/>
      <c r="M31" s="47"/>
      <c r="N31" s="47"/>
      <c r="O31" s="47"/>
      <c r="P31" s="47"/>
      <c r="Q31" s="47"/>
    </row>
    <row r="33" spans="2:18" x14ac:dyDescent="0.3">
      <c r="B33" s="688" t="s">
        <v>182</v>
      </c>
      <c r="C33" s="688"/>
      <c r="D33" s="688"/>
      <c r="E33" s="688"/>
      <c r="F33" s="688"/>
      <c r="G33" s="688"/>
      <c r="H33" s="688"/>
      <c r="I33" s="688"/>
      <c r="J33" s="688"/>
      <c r="K33" s="688"/>
      <c r="L33" s="418"/>
      <c r="M33" s="338"/>
      <c r="N33" s="338"/>
      <c r="O33" s="338"/>
      <c r="P33" s="338"/>
      <c r="Q33" s="338"/>
      <c r="R33" s="338"/>
    </row>
    <row r="34" spans="2:18" x14ac:dyDescent="0.3">
      <c r="B34" s="41" t="s">
        <v>106</v>
      </c>
      <c r="C34" s="8" t="s">
        <v>305</v>
      </c>
      <c r="D34" s="8" t="s">
        <v>156</v>
      </c>
      <c r="E34" s="41" t="s">
        <v>107</v>
      </c>
      <c r="F34" s="8" t="s">
        <v>306</v>
      </c>
      <c r="G34" s="54" t="s">
        <v>418</v>
      </c>
      <c r="H34" s="42" t="s">
        <v>108</v>
      </c>
      <c r="I34" s="41" t="s">
        <v>109</v>
      </c>
      <c r="J34" s="11" t="s">
        <v>110</v>
      </c>
      <c r="K34" s="54" t="s">
        <v>30</v>
      </c>
      <c r="L34" s="678" t="s">
        <v>592</v>
      </c>
      <c r="M34" s="678" t="s">
        <v>593</v>
      </c>
      <c r="N34" s="678" t="s">
        <v>594</v>
      </c>
      <c r="O34" s="678" t="s">
        <v>595</v>
      </c>
      <c r="P34" s="678" t="s">
        <v>596</v>
      </c>
      <c r="Q34" s="678" t="s">
        <v>597</v>
      </c>
      <c r="R34" s="678" t="s">
        <v>598</v>
      </c>
    </row>
    <row r="35" spans="2:18" x14ac:dyDescent="0.3">
      <c r="B35" s="7" t="s">
        <v>30</v>
      </c>
      <c r="C35" s="7" t="s">
        <v>30</v>
      </c>
      <c r="D35" s="7" t="s">
        <v>30</v>
      </c>
      <c r="E35" s="7" t="s">
        <v>30</v>
      </c>
      <c r="F35" s="7" t="s">
        <v>30</v>
      </c>
      <c r="G35" s="48" t="s">
        <v>30</v>
      </c>
      <c r="H35" s="7" t="s">
        <v>30</v>
      </c>
      <c r="I35" s="7" t="s">
        <v>30</v>
      </c>
      <c r="J35" s="7" t="s">
        <v>30</v>
      </c>
      <c r="K35" s="7" t="s">
        <v>30</v>
      </c>
      <c r="L35" s="7" t="s">
        <v>30</v>
      </c>
      <c r="M35" s="7" t="s">
        <v>30</v>
      </c>
      <c r="N35" s="7" t="s">
        <v>30</v>
      </c>
      <c r="O35" s="7" t="s">
        <v>30</v>
      </c>
      <c r="P35" s="7" t="s">
        <v>30</v>
      </c>
      <c r="Q35" s="7" t="s">
        <v>30</v>
      </c>
      <c r="R35" s="7" t="s">
        <v>30</v>
      </c>
    </row>
    <row r="36" spans="2:18" x14ac:dyDescent="0.3">
      <c r="B36" s="6" t="s">
        <v>65</v>
      </c>
      <c r="C36" s="6" t="s">
        <v>60</v>
      </c>
      <c r="D36" s="6" t="s">
        <v>64</v>
      </c>
      <c r="E36" s="6" t="s">
        <v>64</v>
      </c>
      <c r="F36" s="10" t="s">
        <v>324</v>
      </c>
      <c r="G36" s="334"/>
      <c r="H36" s="6" t="s">
        <v>64</v>
      </c>
      <c r="I36" s="6" t="s">
        <v>60</v>
      </c>
      <c r="J36" s="6" t="s">
        <v>65</v>
      </c>
      <c r="K36" s="49"/>
      <c r="L36" s="7"/>
      <c r="M36" s="7"/>
      <c r="N36" s="7"/>
      <c r="O36" s="7"/>
      <c r="P36" s="7"/>
      <c r="Q36" s="7"/>
      <c r="R36" s="7"/>
    </row>
    <row r="37" spans="2:18" x14ac:dyDescent="0.3">
      <c r="B37" s="6" t="s">
        <v>62</v>
      </c>
      <c r="C37" s="10" t="s">
        <v>324</v>
      </c>
      <c r="D37" s="6" t="s">
        <v>63</v>
      </c>
      <c r="E37" s="6" t="s">
        <v>63</v>
      </c>
      <c r="F37" s="49"/>
      <c r="G37" s="49"/>
      <c r="H37" s="6" t="s">
        <v>63</v>
      </c>
      <c r="I37" s="6" t="s">
        <v>61</v>
      </c>
      <c r="J37" s="6" t="s">
        <v>62</v>
      </c>
      <c r="K37" s="49"/>
      <c r="L37" s="7"/>
      <c r="M37" s="7"/>
      <c r="N37" s="7"/>
      <c r="O37" s="7"/>
      <c r="P37" s="7"/>
      <c r="Q37" s="7"/>
      <c r="R37" s="7"/>
    </row>
    <row r="38" spans="2:18" x14ac:dyDescent="0.3">
      <c r="B38" s="6" t="s">
        <v>60</v>
      </c>
      <c r="C38" s="49"/>
      <c r="D38" s="6" t="s">
        <v>60</v>
      </c>
      <c r="E38" s="6" t="s">
        <v>60</v>
      </c>
      <c r="F38" s="49"/>
      <c r="G38" s="49"/>
      <c r="H38" s="6" t="s">
        <v>60</v>
      </c>
      <c r="I38" s="7" t="s">
        <v>30</v>
      </c>
      <c r="J38" s="6" t="s">
        <v>64</v>
      </c>
      <c r="K38" s="49"/>
      <c r="L38" s="7"/>
      <c r="M38" s="7"/>
      <c r="N38" s="7"/>
      <c r="O38" s="7"/>
      <c r="P38" s="7"/>
      <c r="Q38" s="7"/>
      <c r="R38" s="7"/>
    </row>
    <row r="39" spans="2:18" x14ac:dyDescent="0.3">
      <c r="B39" s="47"/>
      <c r="C39" s="49"/>
      <c r="D39" s="49"/>
      <c r="E39" s="49"/>
      <c r="F39" s="49"/>
      <c r="G39" s="49"/>
      <c r="H39" s="49"/>
      <c r="I39" s="10" t="s">
        <v>324</v>
      </c>
      <c r="J39" s="6" t="s">
        <v>63</v>
      </c>
      <c r="K39" s="49"/>
      <c r="L39" s="7"/>
      <c r="M39" s="7"/>
      <c r="N39" s="7"/>
      <c r="O39" s="7"/>
      <c r="P39" s="7"/>
      <c r="Q39" s="7"/>
      <c r="R39" s="7"/>
    </row>
    <row r="40" spans="2:18" x14ac:dyDescent="0.3">
      <c r="B40" s="47"/>
      <c r="C40" s="49"/>
      <c r="D40" s="49"/>
      <c r="E40" s="49"/>
      <c r="F40" s="49"/>
      <c r="G40" s="49"/>
      <c r="H40" s="49"/>
      <c r="I40" s="49"/>
      <c r="J40" s="6" t="s">
        <v>60</v>
      </c>
      <c r="K40" s="49"/>
      <c r="L40" s="7"/>
      <c r="M40" s="7"/>
      <c r="N40" s="7"/>
      <c r="O40" s="7"/>
      <c r="P40" s="7"/>
      <c r="Q40" s="7"/>
      <c r="R40" s="7"/>
    </row>
    <row r="41" spans="2:18" x14ac:dyDescent="0.3">
      <c r="B41" s="49"/>
      <c r="C41" s="49"/>
      <c r="D41" s="49"/>
      <c r="E41" s="49"/>
      <c r="F41" s="49"/>
      <c r="G41" s="49"/>
      <c r="H41" s="49"/>
      <c r="I41" s="49"/>
      <c r="J41" s="10" t="s">
        <v>324</v>
      </c>
      <c r="K41" s="49"/>
      <c r="L41" s="7"/>
      <c r="M41" s="7"/>
      <c r="N41" s="7"/>
      <c r="O41" s="7"/>
      <c r="P41" s="7"/>
      <c r="Q41" s="7"/>
      <c r="R41" s="7"/>
    </row>
    <row r="43" spans="2:18" x14ac:dyDescent="0.3">
      <c r="B43" s="688" t="s">
        <v>184</v>
      </c>
      <c r="C43" s="688"/>
      <c r="D43" s="688"/>
      <c r="E43" s="688"/>
      <c r="F43" s="688"/>
      <c r="G43" s="688"/>
      <c r="H43" s="688"/>
      <c r="I43" s="688"/>
      <c r="J43" s="688"/>
      <c r="K43" s="688"/>
      <c r="L43" s="418"/>
      <c r="M43" s="338"/>
      <c r="N43" s="338"/>
      <c r="O43" s="338"/>
      <c r="P43" s="338"/>
      <c r="Q43" s="338"/>
      <c r="R43" s="338"/>
    </row>
    <row r="44" spans="2:18" x14ac:dyDescent="0.3">
      <c r="B44" s="41" t="s">
        <v>106</v>
      </c>
      <c r="C44" s="41" t="s">
        <v>305</v>
      </c>
      <c r="D44" s="8" t="s">
        <v>156</v>
      </c>
      <c r="E44" s="41" t="s">
        <v>107</v>
      </c>
      <c r="F44" s="41" t="s">
        <v>306</v>
      </c>
      <c r="G44" s="54" t="s">
        <v>418</v>
      </c>
      <c r="H44" s="42" t="s">
        <v>108</v>
      </c>
      <c r="I44" s="41" t="s">
        <v>109</v>
      </c>
      <c r="J44" s="41" t="s">
        <v>110</v>
      </c>
      <c r="K44" s="54" t="s">
        <v>30</v>
      </c>
      <c r="L44" s="678" t="s">
        <v>592</v>
      </c>
      <c r="M44" s="678" t="s">
        <v>593</v>
      </c>
      <c r="N44" s="678" t="s">
        <v>594</v>
      </c>
      <c r="O44" s="678" t="s">
        <v>595</v>
      </c>
      <c r="P44" s="678" t="s">
        <v>596</v>
      </c>
      <c r="Q44" s="678" t="s">
        <v>597</v>
      </c>
      <c r="R44" s="678" t="s">
        <v>598</v>
      </c>
    </row>
    <row r="45" spans="2:18" s="17" customFormat="1" x14ac:dyDescent="0.3">
      <c r="B45" s="56">
        <v>0</v>
      </c>
      <c r="C45" s="185">
        <v>0</v>
      </c>
      <c r="D45" s="17">
        <v>0</v>
      </c>
      <c r="E45" s="56">
        <v>0</v>
      </c>
      <c r="F45" s="185">
        <v>0</v>
      </c>
      <c r="G45" s="17">
        <v>0</v>
      </c>
      <c r="H45" s="57">
        <v>0</v>
      </c>
      <c r="I45" s="56">
        <v>0</v>
      </c>
      <c r="J45" s="56">
        <v>0</v>
      </c>
      <c r="K45" s="58">
        <v>0</v>
      </c>
      <c r="L45" s="58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</row>
    <row r="46" spans="2:18" x14ac:dyDescent="0.3">
      <c r="B46" s="7">
        <v>1</v>
      </c>
      <c r="C46" s="7">
        <v>1</v>
      </c>
      <c r="D46" s="159">
        <v>1</v>
      </c>
      <c r="E46" s="7">
        <v>1</v>
      </c>
      <c r="F46" s="7">
        <v>1</v>
      </c>
      <c r="G46" s="48">
        <v>1</v>
      </c>
      <c r="H46" s="7">
        <v>1</v>
      </c>
      <c r="I46" s="7">
        <v>1</v>
      </c>
      <c r="J46" s="7">
        <v>1</v>
      </c>
      <c r="K46" s="50"/>
      <c r="L46" s="185"/>
      <c r="M46" s="7"/>
      <c r="N46" s="7"/>
      <c r="O46" s="7"/>
      <c r="P46" s="7"/>
      <c r="Q46" s="7"/>
      <c r="R46" s="7"/>
    </row>
    <row r="47" spans="2:18" x14ac:dyDescent="0.3">
      <c r="B47" s="47"/>
      <c r="C47" s="47"/>
      <c r="D47" s="159">
        <v>2</v>
      </c>
      <c r="E47" s="7">
        <v>2</v>
      </c>
      <c r="F47" s="7">
        <v>2</v>
      </c>
      <c r="G47" s="49"/>
      <c r="H47" s="7">
        <v>2</v>
      </c>
      <c r="I47" s="7">
        <v>2</v>
      </c>
      <c r="J47" s="7">
        <v>2</v>
      </c>
      <c r="K47" s="47"/>
      <c r="L47" s="7"/>
      <c r="M47" s="7"/>
      <c r="N47" s="7"/>
      <c r="O47" s="7"/>
      <c r="P47" s="7"/>
      <c r="Q47" s="7"/>
      <c r="R47" s="7"/>
    </row>
    <row r="49" spans="2:18" x14ac:dyDescent="0.3">
      <c r="B49" s="688" t="s">
        <v>194</v>
      </c>
      <c r="C49" s="688"/>
      <c r="D49" s="688"/>
      <c r="E49" s="688"/>
      <c r="F49" s="688"/>
      <c r="G49" s="688"/>
      <c r="H49" s="688"/>
      <c r="I49" s="688"/>
      <c r="J49" s="688"/>
      <c r="K49" s="688"/>
      <c r="L49" s="418"/>
      <c r="M49" s="338"/>
      <c r="N49" s="338"/>
      <c r="O49" s="338"/>
      <c r="P49" s="338"/>
      <c r="Q49" s="338"/>
      <c r="R49" s="338"/>
    </row>
    <row r="50" spans="2:18" x14ac:dyDescent="0.3">
      <c r="B50" s="41" t="s">
        <v>106</v>
      </c>
      <c r="C50" s="41" t="s">
        <v>305</v>
      </c>
      <c r="D50" s="8" t="s">
        <v>156</v>
      </c>
      <c r="E50" s="41" t="s">
        <v>107</v>
      </c>
      <c r="F50" s="41" t="s">
        <v>306</v>
      </c>
      <c r="G50" s="54" t="s">
        <v>418</v>
      </c>
      <c r="H50" s="42" t="s">
        <v>108</v>
      </c>
      <c r="I50" s="41" t="s">
        <v>109</v>
      </c>
      <c r="J50" s="41" t="s">
        <v>110</v>
      </c>
      <c r="K50" s="54" t="s">
        <v>30</v>
      </c>
      <c r="L50" s="678" t="s">
        <v>592</v>
      </c>
      <c r="M50" s="678" t="s">
        <v>593</v>
      </c>
      <c r="N50" s="678" t="s">
        <v>594</v>
      </c>
      <c r="O50" s="678" t="s">
        <v>595</v>
      </c>
      <c r="P50" s="678" t="s">
        <v>596</v>
      </c>
      <c r="Q50" s="678" t="s">
        <v>597</v>
      </c>
      <c r="R50" s="678" t="s">
        <v>598</v>
      </c>
    </row>
    <row r="51" spans="2:18" x14ac:dyDescent="0.3">
      <c r="B51" s="56">
        <v>0</v>
      </c>
      <c r="C51" s="56">
        <v>0</v>
      </c>
      <c r="D51" s="17">
        <v>0</v>
      </c>
      <c r="E51" s="56">
        <v>0</v>
      </c>
      <c r="F51" s="56">
        <v>0</v>
      </c>
      <c r="G51" s="58">
        <v>0</v>
      </c>
      <c r="H51" s="57">
        <v>0</v>
      </c>
      <c r="I51" s="56">
        <v>0</v>
      </c>
      <c r="J51" s="56">
        <v>0</v>
      </c>
      <c r="K51" s="58">
        <v>0</v>
      </c>
      <c r="L51" s="58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</row>
    <row r="52" spans="2:18" x14ac:dyDescent="0.3">
      <c r="B52" s="7">
        <v>1</v>
      </c>
      <c r="C52" s="7">
        <v>1</v>
      </c>
      <c r="D52" s="7">
        <v>1</v>
      </c>
      <c r="E52" s="7">
        <v>1</v>
      </c>
      <c r="F52" s="7">
        <v>1</v>
      </c>
      <c r="G52" s="48">
        <v>1</v>
      </c>
      <c r="H52" s="7">
        <v>1</v>
      </c>
      <c r="I52" s="7">
        <v>1</v>
      </c>
      <c r="J52" s="7">
        <v>1</v>
      </c>
      <c r="K52" s="50"/>
      <c r="L52" s="185"/>
      <c r="M52" s="7"/>
      <c r="N52" s="7"/>
      <c r="O52" s="7"/>
      <c r="P52" s="7"/>
      <c r="Q52" s="7"/>
      <c r="R52" s="7"/>
    </row>
    <row r="53" spans="2:18" x14ac:dyDescent="0.3">
      <c r="B53" s="47"/>
      <c r="C53" s="47"/>
      <c r="D53" s="7">
        <v>2</v>
      </c>
      <c r="E53" s="7">
        <v>2</v>
      </c>
      <c r="F53" s="7">
        <v>2</v>
      </c>
      <c r="G53" s="49"/>
      <c r="H53" s="47"/>
      <c r="I53" s="7">
        <v>2</v>
      </c>
      <c r="J53" s="7">
        <v>2</v>
      </c>
      <c r="K53" s="47"/>
      <c r="L53" s="7"/>
      <c r="M53" s="7"/>
      <c r="N53" s="7"/>
      <c r="O53" s="7"/>
      <c r="P53" s="7"/>
      <c r="Q53" s="7"/>
      <c r="R53" s="7"/>
    </row>
    <row r="55" spans="2:18" x14ac:dyDescent="0.3">
      <c r="B55" s="688" t="s">
        <v>313</v>
      </c>
      <c r="C55" s="688"/>
      <c r="D55" s="688"/>
      <c r="E55" s="688"/>
      <c r="F55" s="688"/>
      <c r="G55" s="688"/>
      <c r="H55" s="688"/>
      <c r="I55" s="688"/>
      <c r="J55" s="688"/>
      <c r="K55" s="688"/>
      <c r="L55" s="418"/>
      <c r="M55" s="338"/>
      <c r="N55" s="338"/>
      <c r="O55" s="338"/>
      <c r="P55" s="338"/>
      <c r="Q55" s="338"/>
      <c r="R55" s="338"/>
    </row>
    <row r="56" spans="2:18" x14ac:dyDescent="0.3">
      <c r="B56" s="41" t="s">
        <v>106</v>
      </c>
      <c r="C56" s="41" t="s">
        <v>305</v>
      </c>
      <c r="D56" s="8" t="s">
        <v>156</v>
      </c>
      <c r="E56" s="41" t="s">
        <v>107</v>
      </c>
      <c r="F56" s="41" t="s">
        <v>306</v>
      </c>
      <c r="G56" s="54" t="s">
        <v>418</v>
      </c>
      <c r="H56" s="42" t="s">
        <v>108</v>
      </c>
      <c r="I56" s="41" t="s">
        <v>109</v>
      </c>
      <c r="J56" s="41" t="s">
        <v>110</v>
      </c>
      <c r="K56" s="54" t="s">
        <v>30</v>
      </c>
      <c r="L56" s="678" t="s">
        <v>592</v>
      </c>
      <c r="M56" s="678" t="s">
        <v>593</v>
      </c>
      <c r="N56" s="678" t="s">
        <v>594</v>
      </c>
      <c r="O56" s="678" t="s">
        <v>595</v>
      </c>
      <c r="P56" s="678" t="s">
        <v>596</v>
      </c>
      <c r="Q56" s="678" t="s">
        <v>597</v>
      </c>
      <c r="R56" s="678" t="s">
        <v>598</v>
      </c>
    </row>
    <row r="57" spans="2:18" x14ac:dyDescent="0.3">
      <c r="B57" s="56" t="s">
        <v>30</v>
      </c>
      <c r="C57" s="56" t="s">
        <v>30</v>
      </c>
      <c r="D57" s="17" t="s">
        <v>30</v>
      </c>
      <c r="E57" s="56" t="s">
        <v>30</v>
      </c>
      <c r="F57" s="175" t="s">
        <v>30</v>
      </c>
      <c r="G57" s="335" t="s">
        <v>30</v>
      </c>
      <c r="H57" s="175" t="s">
        <v>30</v>
      </c>
      <c r="I57" s="56" t="s">
        <v>30</v>
      </c>
      <c r="J57" s="56" t="s">
        <v>30</v>
      </c>
      <c r="K57" s="58" t="s">
        <v>30</v>
      </c>
      <c r="L57" s="58" t="s">
        <v>30</v>
      </c>
      <c r="M57" s="7" t="s">
        <v>30</v>
      </c>
      <c r="N57" s="7" t="s">
        <v>30</v>
      </c>
      <c r="O57" s="7" t="s">
        <v>30</v>
      </c>
      <c r="P57" s="7" t="s">
        <v>30</v>
      </c>
      <c r="Q57" s="7" t="s">
        <v>30</v>
      </c>
      <c r="R57" s="7" t="s">
        <v>30</v>
      </c>
    </row>
    <row r="58" spans="2:18" x14ac:dyDescent="0.3">
      <c r="B58" s="47"/>
      <c r="C58" s="47"/>
      <c r="D58" s="47"/>
      <c r="E58" s="47"/>
      <c r="F58" s="175" t="s">
        <v>51</v>
      </c>
      <c r="G58" s="49"/>
      <c r="H58" s="175" t="s">
        <v>51</v>
      </c>
      <c r="I58" s="47"/>
      <c r="J58" s="47"/>
      <c r="K58" s="679"/>
      <c r="L58" s="680"/>
      <c r="M58" s="7"/>
      <c r="N58" s="7"/>
      <c r="O58" s="7"/>
      <c r="P58" s="7"/>
      <c r="Q58" s="7"/>
      <c r="R58" s="7"/>
    </row>
    <row r="59" spans="2:18" x14ac:dyDescent="0.3">
      <c r="B59" s="47"/>
      <c r="C59" s="47"/>
      <c r="D59" s="47"/>
      <c r="E59" s="47"/>
      <c r="F59" s="175" t="s">
        <v>80</v>
      </c>
      <c r="G59" s="49"/>
      <c r="H59" s="175" t="s">
        <v>80</v>
      </c>
      <c r="I59" s="47"/>
      <c r="J59" s="47"/>
      <c r="K59" s="188"/>
      <c r="L59" s="7"/>
      <c r="M59" s="7"/>
      <c r="N59" s="7"/>
      <c r="O59" s="7"/>
      <c r="P59" s="7"/>
      <c r="Q59" s="7"/>
      <c r="R59" s="7"/>
    </row>
    <row r="60" spans="2:18" x14ac:dyDescent="0.3">
      <c r="B60" s="49"/>
      <c r="C60" s="49"/>
      <c r="D60" s="49"/>
      <c r="E60" s="49"/>
      <c r="F60" s="175" t="s">
        <v>95</v>
      </c>
      <c r="G60" s="49"/>
      <c r="H60" s="175" t="s">
        <v>95</v>
      </c>
      <c r="I60" s="49"/>
      <c r="J60" s="49"/>
      <c r="K60" s="49"/>
      <c r="L60" s="7"/>
      <c r="M60" s="7"/>
      <c r="N60" s="7"/>
      <c r="O60" s="7"/>
      <c r="P60" s="7"/>
      <c r="Q60" s="7"/>
      <c r="R60" s="7"/>
    </row>
    <row r="61" spans="2:18" x14ac:dyDescent="0.3">
      <c r="B61" s="49"/>
      <c r="C61" s="49"/>
      <c r="D61" s="49"/>
      <c r="E61" s="49"/>
      <c r="F61" s="175" t="s">
        <v>89</v>
      </c>
      <c r="G61" s="49"/>
      <c r="H61" s="175" t="s">
        <v>89</v>
      </c>
      <c r="I61" s="49"/>
      <c r="J61" s="49"/>
      <c r="K61" s="49"/>
      <c r="L61" s="7"/>
      <c r="M61" s="7"/>
      <c r="N61" s="7"/>
      <c r="O61" s="7"/>
      <c r="P61" s="7"/>
      <c r="Q61" s="7"/>
      <c r="R61" s="7"/>
    </row>
    <row r="62" spans="2:18" x14ac:dyDescent="0.3">
      <c r="B62" s="49"/>
      <c r="C62" s="49"/>
      <c r="D62" s="49"/>
      <c r="E62" s="49"/>
      <c r="F62" s="175" t="s">
        <v>90</v>
      </c>
      <c r="G62" s="49"/>
      <c r="H62" s="175" t="s">
        <v>90</v>
      </c>
      <c r="I62" s="49"/>
      <c r="J62" s="49"/>
      <c r="K62" s="49"/>
      <c r="L62" s="7"/>
      <c r="M62" s="7"/>
      <c r="N62" s="7"/>
      <c r="O62" s="7"/>
      <c r="P62" s="7"/>
      <c r="Q62" s="7"/>
      <c r="R62" s="7"/>
    </row>
    <row r="63" spans="2:18" x14ac:dyDescent="0.3">
      <c r="B63" s="49"/>
      <c r="C63" s="49"/>
      <c r="D63" s="49"/>
      <c r="E63" s="49"/>
      <c r="F63" s="175" t="s">
        <v>155</v>
      </c>
      <c r="G63" s="49"/>
      <c r="H63" s="175" t="s">
        <v>155</v>
      </c>
      <c r="I63" s="49"/>
      <c r="J63" s="49"/>
      <c r="K63" s="49"/>
      <c r="L63" s="7"/>
      <c r="M63" s="7"/>
      <c r="N63" s="7"/>
      <c r="O63" s="7"/>
      <c r="P63" s="7"/>
      <c r="Q63" s="7"/>
      <c r="R63" s="7"/>
    </row>
    <row r="64" spans="2:18" x14ac:dyDescent="0.3">
      <c r="B64" s="49"/>
      <c r="C64" s="49"/>
      <c r="D64" s="49"/>
      <c r="E64" s="49"/>
      <c r="F64" s="175" t="s">
        <v>527</v>
      </c>
      <c r="G64" s="49"/>
      <c r="H64" s="175" t="s">
        <v>527</v>
      </c>
      <c r="I64" s="49"/>
      <c r="J64" s="49"/>
      <c r="K64" s="49"/>
      <c r="L64" s="7"/>
      <c r="M64" s="7"/>
      <c r="N64" s="7"/>
      <c r="O64" s="7"/>
      <c r="P64" s="7"/>
      <c r="Q64" s="7"/>
      <c r="R64" s="7"/>
    </row>
    <row r="65" spans="2:18" x14ac:dyDescent="0.3">
      <c r="B65" s="49"/>
      <c r="C65" s="49"/>
      <c r="D65" s="49"/>
      <c r="E65" s="49"/>
      <c r="F65" s="175" t="s">
        <v>525</v>
      </c>
      <c r="G65" s="49"/>
      <c r="H65" s="175" t="s">
        <v>525</v>
      </c>
      <c r="I65" s="49"/>
      <c r="J65" s="49"/>
      <c r="K65" s="49"/>
      <c r="L65" s="7"/>
      <c r="M65" s="7"/>
      <c r="N65" s="7"/>
      <c r="O65" s="7"/>
      <c r="P65" s="7"/>
      <c r="Q65" s="7"/>
      <c r="R65" s="7"/>
    </row>
    <row r="66" spans="2:18" x14ac:dyDescent="0.3">
      <c r="B66" s="49"/>
      <c r="C66" s="49"/>
      <c r="D66" s="49"/>
      <c r="E66" s="49"/>
      <c r="F66" s="186" t="s">
        <v>526</v>
      </c>
      <c r="G66" s="49"/>
      <c r="H66" s="186" t="s">
        <v>526</v>
      </c>
      <c r="I66" s="49"/>
      <c r="J66" s="49"/>
      <c r="K66" s="49"/>
      <c r="L66" s="7"/>
      <c r="M66" s="7"/>
      <c r="N66" s="7"/>
      <c r="O66" s="7"/>
      <c r="P66" s="7"/>
      <c r="Q66" s="7"/>
      <c r="R66" s="7"/>
    </row>
    <row r="68" spans="2:18" x14ac:dyDescent="0.3">
      <c r="B68" s="688" t="s">
        <v>396</v>
      </c>
      <c r="C68" s="688"/>
      <c r="D68" s="688"/>
      <c r="E68" s="688"/>
      <c r="F68" s="688"/>
      <c r="G68" s="688"/>
      <c r="H68" s="688"/>
      <c r="I68" s="688"/>
      <c r="J68" s="688"/>
      <c r="K68" s="688"/>
      <c r="L68" s="418"/>
      <c r="M68" s="338"/>
      <c r="N68" s="338"/>
      <c r="O68" s="338"/>
      <c r="P68" s="338"/>
      <c r="Q68" s="338"/>
      <c r="R68" s="338"/>
    </row>
    <row r="69" spans="2:18" x14ac:dyDescent="0.3">
      <c r="B69" s="41" t="s">
        <v>106</v>
      </c>
      <c r="C69" s="41" t="s">
        <v>305</v>
      </c>
      <c r="D69" s="8" t="s">
        <v>156</v>
      </c>
      <c r="E69" s="41" t="s">
        <v>107</v>
      </c>
      <c r="F69" s="41" t="s">
        <v>306</v>
      </c>
      <c r="G69" s="54" t="s">
        <v>418</v>
      </c>
      <c r="H69" s="42" t="s">
        <v>108</v>
      </c>
      <c r="I69" s="41" t="s">
        <v>109</v>
      </c>
      <c r="J69" s="41" t="s">
        <v>110</v>
      </c>
      <c r="K69" s="54" t="s">
        <v>30</v>
      </c>
      <c r="L69" s="678" t="s">
        <v>592</v>
      </c>
      <c r="M69" s="678" t="s">
        <v>593</v>
      </c>
      <c r="N69" s="678" t="s">
        <v>594</v>
      </c>
      <c r="O69" s="678" t="s">
        <v>595</v>
      </c>
      <c r="P69" s="678" t="s">
        <v>596</v>
      </c>
      <c r="Q69" s="678" t="s">
        <v>597</v>
      </c>
      <c r="R69" s="678" t="s">
        <v>598</v>
      </c>
    </row>
    <row r="70" spans="2:18" x14ac:dyDescent="0.3">
      <c r="B70" s="56">
        <v>0</v>
      </c>
      <c r="C70" s="56">
        <v>0</v>
      </c>
      <c r="D70" s="17">
        <v>0</v>
      </c>
      <c r="E70" s="57">
        <v>0</v>
      </c>
      <c r="F70" s="7">
        <v>0</v>
      </c>
      <c r="G70" s="335">
        <v>0</v>
      </c>
      <c r="H70" s="7">
        <v>0</v>
      </c>
      <c r="I70" s="189">
        <v>0</v>
      </c>
      <c r="J70" s="56">
        <v>0</v>
      </c>
      <c r="K70" s="58">
        <v>0</v>
      </c>
      <c r="L70" s="58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</row>
    <row r="71" spans="2:18" x14ac:dyDescent="0.3">
      <c r="B71" s="47"/>
      <c r="C71" s="47"/>
      <c r="D71" s="47"/>
      <c r="E71" s="188"/>
      <c r="F71" s="7">
        <v>1</v>
      </c>
      <c r="G71" s="49"/>
      <c r="H71" s="7">
        <v>1</v>
      </c>
      <c r="I71" s="190"/>
      <c r="J71" s="47"/>
      <c r="K71" s="679"/>
      <c r="L71" s="185"/>
      <c r="M71" s="7"/>
      <c r="N71" s="7"/>
      <c r="O71" s="7"/>
      <c r="P71" s="7"/>
      <c r="Q71" s="7"/>
      <c r="R71" s="7"/>
    </row>
    <row r="72" spans="2:18" x14ac:dyDescent="0.3">
      <c r="B72" s="49"/>
      <c r="C72" s="49"/>
      <c r="D72" s="49"/>
      <c r="E72" s="49"/>
      <c r="F72" s="7">
        <v>2</v>
      </c>
      <c r="G72" s="49"/>
      <c r="H72" s="7">
        <v>2</v>
      </c>
      <c r="I72" s="49"/>
      <c r="J72" s="49"/>
      <c r="K72" s="49"/>
      <c r="L72" s="7"/>
      <c r="M72" s="7"/>
      <c r="N72" s="7"/>
      <c r="O72" s="7"/>
      <c r="P72" s="7"/>
      <c r="Q72" s="7"/>
      <c r="R72" s="7"/>
    </row>
    <row r="73" spans="2:18" x14ac:dyDescent="0.3">
      <c r="B73" s="49"/>
      <c r="C73" s="49"/>
      <c r="D73" s="49"/>
      <c r="E73" s="49"/>
      <c r="F73" s="7">
        <v>3</v>
      </c>
      <c r="G73" s="49"/>
      <c r="H73" s="49"/>
      <c r="I73" s="49"/>
      <c r="J73" s="49"/>
      <c r="K73" s="49"/>
      <c r="L73" s="7"/>
      <c r="M73" s="7"/>
      <c r="N73" s="7"/>
      <c r="O73" s="7"/>
      <c r="P73" s="7"/>
      <c r="Q73" s="7"/>
      <c r="R73" s="7"/>
    </row>
    <row r="74" spans="2:18" x14ac:dyDescent="0.3">
      <c r="B74" s="49"/>
      <c r="C74" s="49"/>
      <c r="D74" s="49"/>
      <c r="E74" s="49"/>
      <c r="F74" s="7">
        <v>8</v>
      </c>
      <c r="G74" s="49"/>
      <c r="H74" s="49"/>
      <c r="I74" s="49"/>
      <c r="J74" s="49"/>
      <c r="K74" s="49"/>
      <c r="L74" s="7"/>
      <c r="M74" s="7"/>
      <c r="N74" s="7"/>
      <c r="O74" s="7"/>
      <c r="P74" s="7"/>
      <c r="Q74" s="7"/>
      <c r="R74" s="7"/>
    </row>
    <row r="76" spans="2:18" x14ac:dyDescent="0.3">
      <c r="B76" s="688" t="s">
        <v>397</v>
      </c>
      <c r="C76" s="688"/>
      <c r="D76" s="688"/>
      <c r="E76" s="688"/>
      <c r="F76" s="688"/>
      <c r="G76" s="688"/>
      <c r="H76" s="688"/>
      <c r="I76" s="688"/>
      <c r="J76" s="688"/>
      <c r="K76" s="688"/>
      <c r="L76" s="418"/>
      <c r="M76" s="338"/>
      <c r="N76" s="338"/>
      <c r="O76" s="338"/>
      <c r="P76" s="338"/>
      <c r="Q76" s="338"/>
      <c r="R76" s="338"/>
    </row>
    <row r="77" spans="2:18" x14ac:dyDescent="0.3">
      <c r="B77" s="41" t="s">
        <v>106</v>
      </c>
      <c r="C77" s="41" t="s">
        <v>305</v>
      </c>
      <c r="D77" s="8" t="s">
        <v>156</v>
      </c>
      <c r="E77" s="41" t="s">
        <v>107</v>
      </c>
      <c r="F77" s="41" t="s">
        <v>306</v>
      </c>
      <c r="G77" s="54" t="s">
        <v>418</v>
      </c>
      <c r="H77" s="42" t="s">
        <v>108</v>
      </c>
      <c r="I77" s="41" t="s">
        <v>109</v>
      </c>
      <c r="J77" s="41" t="s">
        <v>110</v>
      </c>
      <c r="K77" s="54" t="s">
        <v>30</v>
      </c>
      <c r="L77" s="678" t="s">
        <v>592</v>
      </c>
      <c r="M77" s="678" t="s">
        <v>593</v>
      </c>
      <c r="N77" s="678" t="s">
        <v>594</v>
      </c>
      <c r="O77" s="678" t="s">
        <v>595</v>
      </c>
      <c r="P77" s="678" t="s">
        <v>596</v>
      </c>
      <c r="Q77" s="678" t="s">
        <v>597</v>
      </c>
      <c r="R77" s="678" t="s">
        <v>598</v>
      </c>
    </row>
    <row r="78" spans="2:18" x14ac:dyDescent="0.3">
      <c r="B78" s="56">
        <v>1</v>
      </c>
      <c r="C78" s="63">
        <v>1</v>
      </c>
      <c r="D78" s="17">
        <v>2</v>
      </c>
      <c r="E78" s="57">
        <v>2</v>
      </c>
      <c r="F78" s="7">
        <v>2</v>
      </c>
      <c r="G78" s="335">
        <v>1</v>
      </c>
      <c r="H78" s="7">
        <v>1</v>
      </c>
      <c r="I78" s="189">
        <v>2</v>
      </c>
      <c r="J78" s="56">
        <v>1</v>
      </c>
      <c r="K78" s="58">
        <v>0</v>
      </c>
      <c r="L78" s="58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</row>
    <row r="79" spans="2:18" x14ac:dyDescent="0.3">
      <c r="B79" s="53">
        <v>2</v>
      </c>
      <c r="C79" s="53">
        <v>2</v>
      </c>
      <c r="D79" s="47"/>
      <c r="E79" s="188"/>
      <c r="F79" s="47"/>
      <c r="G79">
        <v>2</v>
      </c>
      <c r="H79" s="7">
        <v>2</v>
      </c>
      <c r="I79" s="190"/>
      <c r="J79" s="47"/>
      <c r="K79" s="679"/>
      <c r="L79" s="185"/>
      <c r="M79" s="7"/>
      <c r="N79" s="7"/>
      <c r="O79" s="7"/>
      <c r="P79" s="7"/>
      <c r="Q79" s="7"/>
      <c r="R79" s="7"/>
    </row>
    <row r="80" spans="2:18" x14ac:dyDescent="0.3">
      <c r="B80" s="49"/>
      <c r="C80" s="49"/>
      <c r="D80" s="49"/>
      <c r="E80" s="49"/>
      <c r="F80" s="47"/>
      <c r="G80" s="49"/>
      <c r="H80" s="47"/>
      <c r="I80" s="49"/>
      <c r="J80" s="49"/>
      <c r="K80" s="49"/>
      <c r="L80" s="7"/>
      <c r="M80" s="7"/>
      <c r="N80" s="7"/>
      <c r="O80" s="7"/>
      <c r="P80" s="7"/>
      <c r="Q80" s="7"/>
      <c r="R80" s="7"/>
    </row>
  </sheetData>
  <sortState xmlns:xlrd2="http://schemas.microsoft.com/office/spreadsheetml/2017/richdata2" ref="B23:B28">
    <sortCondition ref="B23"/>
  </sortState>
  <mergeCells count="7">
    <mergeCell ref="B22:J22"/>
    <mergeCell ref="B33:K33"/>
    <mergeCell ref="B49:K49"/>
    <mergeCell ref="B43:K43"/>
    <mergeCell ref="B76:K76"/>
    <mergeCell ref="B68:K68"/>
    <mergeCell ref="B55:K55"/>
  </mergeCells>
  <dataValidations count="2">
    <dataValidation type="list" allowBlank="1" showInputMessage="1" showErrorMessage="1" sqref="E2:E20 G2:G20" xr:uid="{00000000-0002-0000-0A00-000000000000}">
      <formula1>Fans</formula1>
    </dataValidation>
    <dataValidation type="list" allowBlank="1" showInputMessage="1" showErrorMessage="1" sqref="I2:I20" xr:uid="{00000000-0002-0000-0A00-000001000000}">
      <formula1>Backplane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A00-000003000000}">
          <x14:formula1>
            <xm:f>Motherboard!$A$2:$A$17</xm:f>
          </x14:formula1>
          <xm:sqref>F27:F31 F24:F25 B24:B31 D24:E31 C24:C26 C28:C31 H24:I31 J26:J31</xm:sqref>
        </x14:dataValidation>
        <x14:dataValidation type="list" allowBlank="1" showInputMessage="1" showErrorMessage="1" xr:uid="{00000000-0002-0000-0A00-000005000000}">
          <x14:formula1>
            <xm:f>Motherboard!$A$2:$A$19</xm:f>
          </x14:formula1>
          <xm:sqref>F26 C27 J24</xm:sqref>
        </x14:dataValidation>
        <x14:dataValidation type="list" allowBlank="1" showInputMessage="1" showErrorMessage="1" xr:uid="{00000000-0002-0000-0A00-000002000000}">
          <x14:formula1>
            <xm:f>Generic!$A$2:$A$3</xm:f>
          </x14:formula1>
          <xm:sqref>D2:D20</xm:sqref>
        </x14:dataValidation>
        <x14:dataValidation type="list" allowBlank="1" showInputMessage="1" showErrorMessage="1" xr:uid="{DAAAC2EB-E9B8-4158-AAFD-2A11D1F3DD9A}">
          <x14:formula1>
            <xm:f>Motherboard!$A$2:$A$31</xm:f>
          </x14:formula1>
          <xm:sqref>J25 P25:Q25 K26:Q31 K24:O25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3" tint="-0.249977111117893"/>
  </sheetPr>
  <dimension ref="A1:L11"/>
  <sheetViews>
    <sheetView workbookViewId="0">
      <selection activeCell="O8" sqref="O8"/>
    </sheetView>
  </sheetViews>
  <sheetFormatPr defaultRowHeight="14.4" x14ac:dyDescent="0.3"/>
  <cols>
    <col min="1" max="1" width="13.6640625" customWidth="1"/>
    <col min="2" max="2" width="10.44140625" customWidth="1"/>
    <col min="3" max="3" width="9.44140625" customWidth="1"/>
    <col min="4" max="4" width="10.5546875" bestFit="1" customWidth="1"/>
    <col min="9" max="9" width="14.109375" customWidth="1"/>
    <col min="10" max="10" width="21.6640625" bestFit="1" customWidth="1"/>
    <col min="11" max="11" width="21.6640625" customWidth="1"/>
    <col min="12" max="12" width="13.88671875" bestFit="1" customWidth="1"/>
  </cols>
  <sheetData>
    <row r="1" spans="1:12" x14ac:dyDescent="0.3">
      <c r="A1" s="15" t="s">
        <v>27</v>
      </c>
      <c r="B1" s="15" t="s">
        <v>78</v>
      </c>
      <c r="C1" s="15" t="s">
        <v>84</v>
      </c>
      <c r="D1" s="16" t="s">
        <v>26</v>
      </c>
      <c r="I1" s="694" t="s">
        <v>72</v>
      </c>
      <c r="J1" s="694"/>
      <c r="K1" s="694"/>
      <c r="L1" s="694"/>
    </row>
    <row r="2" spans="1:12" x14ac:dyDescent="0.3">
      <c r="A2" t="s">
        <v>30</v>
      </c>
      <c r="B2">
        <f>0.12*D2</f>
        <v>0</v>
      </c>
      <c r="C2">
        <v>0</v>
      </c>
      <c r="D2" s="1">
        <v>0</v>
      </c>
      <c r="I2" s="694" t="s">
        <v>80</v>
      </c>
      <c r="J2" s="694"/>
      <c r="K2" s="694"/>
      <c r="L2" s="46">
        <v>4</v>
      </c>
    </row>
    <row r="3" spans="1:12" ht="15.6" x14ac:dyDescent="0.35">
      <c r="A3" t="s">
        <v>51</v>
      </c>
      <c r="B3">
        <v>50</v>
      </c>
      <c r="C3">
        <v>200</v>
      </c>
      <c r="D3">
        <v>225</v>
      </c>
      <c r="I3" s="45" t="s">
        <v>71</v>
      </c>
      <c r="J3" s="45" t="s">
        <v>163</v>
      </c>
      <c r="K3" s="31" t="s">
        <v>164</v>
      </c>
      <c r="L3" s="31" t="s">
        <v>68</v>
      </c>
    </row>
    <row r="4" spans="1:12" x14ac:dyDescent="0.3">
      <c r="A4" t="s">
        <v>80</v>
      </c>
      <c r="B4">
        <v>50</v>
      </c>
      <c r="C4">
        <v>201</v>
      </c>
      <c r="D4">
        <v>234</v>
      </c>
      <c r="I4" s="7">
        <v>0</v>
      </c>
      <c r="J4" s="7">
        <f>VLOOKUP(I2,GPU[],3,FALSE)*L2</f>
        <v>804</v>
      </c>
      <c r="K4" s="7">
        <f>VLOOKUP(I2,GPU[],2,FALSE)*L2</f>
        <v>200</v>
      </c>
      <c r="L4" s="7">
        <f>(J4-K4)*(I4/100)+K4</f>
        <v>200</v>
      </c>
    </row>
    <row r="5" spans="1:12" x14ac:dyDescent="0.3">
      <c r="A5" t="s">
        <v>95</v>
      </c>
      <c r="B5">
        <v>50</v>
      </c>
      <c r="C5">
        <v>202</v>
      </c>
      <c r="D5">
        <v>225</v>
      </c>
      <c r="I5" s="7">
        <v>25</v>
      </c>
      <c r="J5" s="7">
        <f>VLOOKUP(I2,GPU[],3,FALSE)*L2</f>
        <v>804</v>
      </c>
      <c r="K5" s="7">
        <f>VLOOKUP(I2,GPU[],2,FALSE)*L2</f>
        <v>200</v>
      </c>
      <c r="L5" s="7">
        <f>(J5-K5)*(I5/100)+K5</f>
        <v>351</v>
      </c>
    </row>
    <row r="6" spans="1:12" x14ac:dyDescent="0.3">
      <c r="A6" t="s">
        <v>89</v>
      </c>
      <c r="B6" s="12">
        <v>50</v>
      </c>
      <c r="C6" s="12">
        <v>202</v>
      </c>
      <c r="D6" s="12">
        <v>225</v>
      </c>
      <c r="I6" s="7">
        <v>50</v>
      </c>
      <c r="J6" s="7">
        <f>VLOOKUP(I2,GPU[],3,FALSE)*L2</f>
        <v>804</v>
      </c>
      <c r="K6" s="7">
        <f>VLOOKUP(I2,GPU[],2,FALSE)*L2</f>
        <v>200</v>
      </c>
      <c r="L6" s="7">
        <f>(J6-K6)*(I6/100)+K6</f>
        <v>502</v>
      </c>
    </row>
    <row r="7" spans="1:12" x14ac:dyDescent="0.3">
      <c r="A7" t="s">
        <v>90</v>
      </c>
      <c r="B7" s="12">
        <v>50</v>
      </c>
      <c r="C7" s="12">
        <v>115</v>
      </c>
      <c r="D7" s="12">
        <v>130</v>
      </c>
      <c r="I7" s="7">
        <v>75</v>
      </c>
      <c r="J7" s="7">
        <f>VLOOKUP(I2,GPU[],3,FALSE)*L2</f>
        <v>804</v>
      </c>
      <c r="K7" s="7">
        <f>VLOOKUP(I2,GPU[],2,FALSE)*L2</f>
        <v>200</v>
      </c>
      <c r="L7" s="7">
        <f>(J7-K7)*(I7/100)+K7</f>
        <v>653</v>
      </c>
    </row>
    <row r="8" spans="1:12" x14ac:dyDescent="0.3">
      <c r="A8" t="s">
        <v>155</v>
      </c>
      <c r="B8">
        <v>50</v>
      </c>
      <c r="C8">
        <v>202</v>
      </c>
      <c r="D8">
        <v>225</v>
      </c>
      <c r="I8" s="7">
        <v>100</v>
      </c>
      <c r="J8" s="7">
        <f>VLOOKUP(I2,GPU[],3,FALSE)*L2</f>
        <v>804</v>
      </c>
      <c r="K8" s="7">
        <f>VLOOKUP(I2,GPU[],2,FALSE)*L2</f>
        <v>200</v>
      </c>
      <c r="L8" s="7">
        <f>(J8-K8)*(I8/100)+K8</f>
        <v>804</v>
      </c>
    </row>
    <row r="9" spans="1:12" x14ac:dyDescent="0.3">
      <c r="A9" t="s">
        <v>527</v>
      </c>
      <c r="B9">
        <v>55</v>
      </c>
      <c r="C9">
        <v>202</v>
      </c>
      <c r="D9">
        <v>225</v>
      </c>
    </row>
    <row r="10" spans="1:12" x14ac:dyDescent="0.3">
      <c r="A10" t="s">
        <v>525</v>
      </c>
      <c r="B10">
        <v>55</v>
      </c>
      <c r="C10">
        <v>202</v>
      </c>
      <c r="D10">
        <v>225</v>
      </c>
    </row>
    <row r="11" spans="1:12" x14ac:dyDescent="0.3">
      <c r="A11" t="s">
        <v>526</v>
      </c>
      <c r="B11">
        <v>55</v>
      </c>
      <c r="C11">
        <v>275</v>
      </c>
      <c r="D11">
        <v>300</v>
      </c>
    </row>
  </sheetData>
  <mergeCells count="2">
    <mergeCell ref="I1:L1"/>
    <mergeCell ref="I2:K2"/>
  </mergeCells>
  <dataValidations count="2">
    <dataValidation type="list" allowBlank="1" showInputMessage="1" showErrorMessage="1" sqref="I2" xr:uid="{00000000-0002-0000-0900-000000000000}">
      <formula1>GPUs</formula1>
    </dataValidation>
    <dataValidation type="whole" allowBlank="1" showInputMessage="1" showErrorMessage="1" sqref="L2" xr:uid="{00000000-0002-0000-0900-000001000000}">
      <formula1>1</formula1>
      <formula2>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>
    <tabColor theme="3" tint="-0.249977111117893"/>
  </sheetPr>
  <dimension ref="A1:S30"/>
  <sheetViews>
    <sheetView workbookViewId="0">
      <selection activeCell="B17" sqref="B17"/>
    </sheetView>
  </sheetViews>
  <sheetFormatPr defaultRowHeight="14.4" x14ac:dyDescent="0.3"/>
  <cols>
    <col min="1" max="1" width="20.109375" bestFit="1" customWidth="1"/>
    <col min="2" max="2" width="20.109375" customWidth="1"/>
    <col min="3" max="3" width="18.6640625" bestFit="1" customWidth="1"/>
    <col min="4" max="4" width="18.21875" bestFit="1" customWidth="1"/>
    <col min="5" max="5" width="18.6640625" bestFit="1" customWidth="1"/>
    <col min="6" max="6" width="15.88671875" customWidth="1"/>
    <col min="7" max="7" width="18.21875" bestFit="1" customWidth="1"/>
    <col min="8" max="8" width="15.88671875" customWidth="1"/>
    <col min="9" max="9" width="18.6640625" bestFit="1" customWidth="1"/>
    <col min="10" max="10" width="15.77734375" bestFit="1" customWidth="1"/>
    <col min="11" max="11" width="15.6640625" bestFit="1" customWidth="1"/>
    <col min="12" max="12" width="20" customWidth="1"/>
    <col min="13" max="13" width="22.33203125" customWidth="1"/>
    <col min="14" max="14" width="14" customWidth="1"/>
    <col min="15" max="15" width="15.5546875" bestFit="1" customWidth="1"/>
    <col min="16" max="16" width="13.88671875" customWidth="1"/>
    <col min="17" max="17" width="10.5546875" customWidth="1"/>
    <col min="18" max="18" width="10" bestFit="1" customWidth="1"/>
    <col min="19" max="19" width="12.6640625" bestFit="1" customWidth="1"/>
  </cols>
  <sheetData>
    <row r="1" spans="1:19" x14ac:dyDescent="0.3">
      <c r="A1" s="19" t="s">
        <v>30</v>
      </c>
      <c r="B1" s="20" t="s">
        <v>504</v>
      </c>
      <c r="C1" s="20" t="s">
        <v>297</v>
      </c>
      <c r="D1" s="20" t="s">
        <v>291</v>
      </c>
      <c r="E1" s="20" t="s">
        <v>528</v>
      </c>
      <c r="F1" s="20" t="s">
        <v>52</v>
      </c>
      <c r="G1" s="20" t="s">
        <v>510</v>
      </c>
      <c r="H1" s="20" t="s">
        <v>277</v>
      </c>
      <c r="I1" s="20" t="s">
        <v>73</v>
      </c>
      <c r="J1" s="20" t="s">
        <v>0</v>
      </c>
      <c r="K1" s="20" t="s">
        <v>274</v>
      </c>
      <c r="L1" s="20" t="s">
        <v>96</v>
      </c>
      <c r="M1" s="20" t="s">
        <v>275</v>
      </c>
      <c r="N1" s="20" t="s">
        <v>23</v>
      </c>
      <c r="O1" s="20" t="s">
        <v>34</v>
      </c>
      <c r="P1" s="20" t="s">
        <v>28</v>
      </c>
      <c r="Q1" s="20" t="s">
        <v>32</v>
      </c>
      <c r="R1" s="21" t="s">
        <v>33</v>
      </c>
      <c r="S1" s="36" t="s">
        <v>142</v>
      </c>
    </row>
    <row r="2" spans="1:19" x14ac:dyDescent="0.3">
      <c r="A2" s="7" t="s">
        <v>30</v>
      </c>
      <c r="B2" s="7" t="s">
        <v>30</v>
      </c>
      <c r="C2" s="7" t="s">
        <v>30</v>
      </c>
      <c r="D2" s="7" t="s">
        <v>30</v>
      </c>
      <c r="E2" s="7" t="s">
        <v>30</v>
      </c>
      <c r="F2" s="7" t="s">
        <v>30</v>
      </c>
      <c r="G2" s="488" t="s">
        <v>30</v>
      </c>
      <c r="H2" s="7" t="s">
        <v>30</v>
      </c>
      <c r="I2" s="7" t="s">
        <v>30</v>
      </c>
      <c r="J2" s="7" t="s">
        <v>30</v>
      </c>
      <c r="K2" s="7" t="s">
        <v>30</v>
      </c>
      <c r="L2" s="7" t="s">
        <v>30</v>
      </c>
      <c r="M2" s="7" t="s">
        <v>30</v>
      </c>
      <c r="N2" s="7" t="s">
        <v>30</v>
      </c>
      <c r="O2" s="7" t="s">
        <v>30</v>
      </c>
      <c r="P2" s="7" t="s">
        <v>30</v>
      </c>
      <c r="Q2" s="7" t="s">
        <v>30</v>
      </c>
      <c r="R2" s="7" t="s">
        <v>30</v>
      </c>
      <c r="S2" s="7" t="s">
        <v>30</v>
      </c>
    </row>
    <row r="3" spans="1:19" x14ac:dyDescent="0.3">
      <c r="A3" s="49"/>
      <c r="B3" s="24" t="s">
        <v>514</v>
      </c>
      <c r="C3" s="7" t="s">
        <v>262</v>
      </c>
      <c r="D3" s="7" t="s">
        <v>262</v>
      </c>
      <c r="E3" s="7" t="s">
        <v>567</v>
      </c>
      <c r="F3" s="159" t="s">
        <v>284</v>
      </c>
      <c r="G3" s="488" t="s">
        <v>285</v>
      </c>
      <c r="H3" s="7" t="s">
        <v>318</v>
      </c>
      <c r="I3" s="7" t="s">
        <v>74</v>
      </c>
      <c r="J3" s="40" t="s">
        <v>35</v>
      </c>
      <c r="K3" s="40" t="s">
        <v>35</v>
      </c>
      <c r="L3" s="40" t="s">
        <v>35</v>
      </c>
      <c r="M3" s="40" t="s">
        <v>35</v>
      </c>
      <c r="N3" s="40" t="s">
        <v>286</v>
      </c>
      <c r="O3" s="40" t="s">
        <v>286</v>
      </c>
      <c r="P3" s="40" t="s">
        <v>44</v>
      </c>
      <c r="Q3" s="52" t="s">
        <v>36</v>
      </c>
      <c r="R3" s="51" t="s">
        <v>36</v>
      </c>
      <c r="S3" s="40" t="s">
        <v>137</v>
      </c>
    </row>
    <row r="4" spans="1:19" x14ac:dyDescent="0.3">
      <c r="A4" s="49"/>
      <c r="B4" s="49"/>
      <c r="C4" s="7" t="s">
        <v>263</v>
      </c>
      <c r="D4" s="7" t="s">
        <v>263</v>
      </c>
      <c r="E4" s="7" t="s">
        <v>530</v>
      </c>
      <c r="F4" s="159" t="s">
        <v>285</v>
      </c>
      <c r="G4" s="49"/>
      <c r="H4" s="7" t="s">
        <v>281</v>
      </c>
      <c r="I4" s="7" t="s">
        <v>75</v>
      </c>
      <c r="J4" s="7" t="s">
        <v>4</v>
      </c>
      <c r="K4" s="7" t="s">
        <v>4</v>
      </c>
      <c r="L4" s="162" t="s">
        <v>4</v>
      </c>
      <c r="M4" s="7" t="s">
        <v>4</v>
      </c>
      <c r="N4" s="7" t="s">
        <v>287</v>
      </c>
      <c r="O4" s="7" t="s">
        <v>287</v>
      </c>
      <c r="P4" s="24" t="s">
        <v>42</v>
      </c>
      <c r="Q4" s="23" t="s">
        <v>37</v>
      </c>
      <c r="R4" s="37" t="s">
        <v>37</v>
      </c>
      <c r="S4" s="7" t="s">
        <v>138</v>
      </c>
    </row>
    <row r="5" spans="1:19" x14ac:dyDescent="0.3">
      <c r="A5" s="49"/>
      <c r="B5" s="49"/>
      <c r="C5" s="7" t="s">
        <v>320</v>
      </c>
      <c r="D5" s="7" t="s">
        <v>320</v>
      </c>
      <c r="E5" s="7" t="s">
        <v>531</v>
      </c>
      <c r="F5" s="49"/>
      <c r="G5" s="49"/>
      <c r="H5" s="7" t="s">
        <v>282</v>
      </c>
      <c r="I5" s="7" t="s">
        <v>190</v>
      </c>
      <c r="J5" s="7" t="s">
        <v>22</v>
      </c>
      <c r="K5" s="49"/>
      <c r="L5" s="7" t="s">
        <v>22</v>
      </c>
      <c r="M5" s="159" t="s">
        <v>93</v>
      </c>
      <c r="N5" s="22" t="s">
        <v>288</v>
      </c>
      <c r="O5" s="22" t="s">
        <v>288</v>
      </c>
      <c r="P5" s="24" t="s">
        <v>43</v>
      </c>
      <c r="Q5" s="23" t="s">
        <v>38</v>
      </c>
      <c r="R5" s="37" t="s">
        <v>38</v>
      </c>
      <c r="S5" s="7" t="s">
        <v>139</v>
      </c>
    </row>
    <row r="6" spans="1:19" x14ac:dyDescent="0.3">
      <c r="A6" s="49"/>
      <c r="B6" s="49"/>
      <c r="C6" s="7" t="s">
        <v>264</v>
      </c>
      <c r="D6" s="7" t="s">
        <v>264</v>
      </c>
      <c r="E6" s="7" t="s">
        <v>533</v>
      </c>
      <c r="F6" s="49"/>
      <c r="G6" s="49"/>
      <c r="H6" s="7" t="s">
        <v>283</v>
      </c>
      <c r="I6" s="7" t="s">
        <v>189</v>
      </c>
      <c r="J6" s="49"/>
      <c r="K6" s="49"/>
      <c r="L6" s="40" t="s">
        <v>93</v>
      </c>
      <c r="M6" s="7" t="s">
        <v>92</v>
      </c>
      <c r="N6" s="7" t="s">
        <v>289</v>
      </c>
      <c r="O6" s="7" t="s">
        <v>289</v>
      </c>
      <c r="P6" s="49"/>
      <c r="Q6" s="23" t="s">
        <v>39</v>
      </c>
      <c r="R6" s="37" t="s">
        <v>39</v>
      </c>
      <c r="S6" s="7" t="s">
        <v>140</v>
      </c>
    </row>
    <row r="7" spans="1:19" x14ac:dyDescent="0.3">
      <c r="A7" s="49"/>
      <c r="B7" s="49"/>
      <c r="C7" s="7" t="s">
        <v>500</v>
      </c>
      <c r="D7" s="7" t="s">
        <v>500</v>
      </c>
      <c r="E7" s="7" t="s">
        <v>532</v>
      </c>
      <c r="F7" s="49"/>
      <c r="G7" s="49"/>
      <c r="H7" s="49"/>
      <c r="I7" s="49"/>
      <c r="J7" s="49"/>
      <c r="K7" s="49"/>
      <c r="L7" s="7" t="s">
        <v>92</v>
      </c>
      <c r="M7" s="7" t="s">
        <v>91</v>
      </c>
      <c r="N7" s="49"/>
      <c r="O7" s="49"/>
      <c r="P7" s="49"/>
      <c r="Q7" s="23" t="s">
        <v>40</v>
      </c>
      <c r="R7" s="37" t="s">
        <v>40</v>
      </c>
      <c r="S7" s="7" t="s">
        <v>141</v>
      </c>
    </row>
    <row r="8" spans="1:19" x14ac:dyDescent="0.3">
      <c r="A8" s="49"/>
      <c r="B8" s="49"/>
      <c r="C8" s="7" t="s">
        <v>501</v>
      </c>
      <c r="D8" s="7" t="s">
        <v>501</v>
      </c>
      <c r="E8" s="48" t="s">
        <v>556</v>
      </c>
      <c r="F8" s="49"/>
      <c r="G8" s="49"/>
      <c r="H8" s="49"/>
      <c r="I8" s="49"/>
      <c r="J8" s="49"/>
      <c r="K8" s="49"/>
      <c r="L8" s="7" t="s">
        <v>91</v>
      </c>
      <c r="M8" s="49"/>
      <c r="N8" s="49"/>
      <c r="O8" s="49"/>
      <c r="P8" s="49"/>
      <c r="Q8" s="23" t="s">
        <v>41</v>
      </c>
      <c r="R8" s="25" t="s">
        <v>41</v>
      </c>
      <c r="S8" s="49"/>
    </row>
    <row r="9" spans="1:19" x14ac:dyDescent="0.3">
      <c r="A9" s="49"/>
      <c r="B9" s="49"/>
      <c r="C9" s="7" t="s">
        <v>502</v>
      </c>
      <c r="D9" s="7" t="s">
        <v>502</v>
      </c>
      <c r="E9" s="7" t="s">
        <v>574</v>
      </c>
      <c r="F9" s="49"/>
      <c r="G9" s="49"/>
      <c r="H9" s="49"/>
      <c r="I9" s="49"/>
      <c r="J9" s="49"/>
      <c r="K9" s="49"/>
      <c r="L9" s="674"/>
      <c r="M9" s="49"/>
      <c r="N9" s="49"/>
      <c r="O9" s="49"/>
      <c r="P9" s="49"/>
      <c r="Q9" s="49"/>
      <c r="R9" s="49"/>
      <c r="S9" s="49"/>
    </row>
    <row r="10" spans="1:19" x14ac:dyDescent="0.3">
      <c r="A10" s="49"/>
      <c r="B10" s="49"/>
      <c r="C10" s="7" t="s">
        <v>503</v>
      </c>
      <c r="D10" s="7" t="s">
        <v>503</v>
      </c>
      <c r="E10" s="7" t="s">
        <v>575</v>
      </c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</row>
    <row r="11" spans="1:19" x14ac:dyDescent="0.3">
      <c r="A11" s="49"/>
      <c r="B11" s="49"/>
      <c r="C11" s="49"/>
      <c r="D11" s="49"/>
      <c r="E11" s="7" t="s">
        <v>576</v>
      </c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</row>
    <row r="12" spans="1:19" x14ac:dyDescent="0.3">
      <c r="A12" s="49"/>
      <c r="B12" s="49"/>
      <c r="C12" s="49"/>
      <c r="D12" s="49"/>
      <c r="E12" s="7" t="s">
        <v>577</v>
      </c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</row>
    <row r="13" spans="1:19" x14ac:dyDescent="0.3">
      <c r="A13" s="49"/>
      <c r="B13" s="49"/>
      <c r="C13" s="49"/>
      <c r="D13" s="49"/>
      <c r="E13" s="7" t="s">
        <v>578</v>
      </c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</row>
    <row r="14" spans="1:19" x14ac:dyDescent="0.3">
      <c r="A14" s="49"/>
      <c r="B14" s="49"/>
      <c r="C14" s="49"/>
      <c r="D14" s="49"/>
      <c r="E14" s="7" t="s">
        <v>579</v>
      </c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</row>
    <row r="15" spans="1:19" ht="15" thickBot="1" x14ac:dyDescent="0.35">
      <c r="A15" s="49"/>
      <c r="B15" s="338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</row>
    <row r="16" spans="1:19" ht="15" thickBot="1" x14ac:dyDescent="0.35">
      <c r="A16" s="675"/>
      <c r="B16" s="676"/>
      <c r="C16" s="676"/>
      <c r="D16" s="676"/>
      <c r="E16" s="676"/>
      <c r="F16" s="676"/>
      <c r="G16" s="676"/>
      <c r="H16" s="676"/>
      <c r="I16" s="676"/>
      <c r="J16" s="676"/>
      <c r="K16" s="676"/>
      <c r="L16" s="676"/>
      <c r="M16" s="676"/>
      <c r="N16" s="676"/>
      <c r="O16" s="676"/>
      <c r="P16" s="676"/>
      <c r="Q16" s="676"/>
      <c r="R16" s="676"/>
      <c r="S16" s="677"/>
    </row>
    <row r="17" spans="1:19" x14ac:dyDescent="0.3">
      <c r="A17" s="8" t="s">
        <v>411</v>
      </c>
      <c r="B17" s="8" t="s">
        <v>584</v>
      </c>
      <c r="C17" s="8" t="s">
        <v>585</v>
      </c>
      <c r="D17" s="8" t="s">
        <v>586</v>
      </c>
      <c r="E17" s="8" t="s">
        <v>587</v>
      </c>
      <c r="F17" s="8" t="s">
        <v>588</v>
      </c>
      <c r="G17" s="8" t="s">
        <v>589</v>
      </c>
      <c r="H17" s="8" t="s">
        <v>590</v>
      </c>
      <c r="I17" s="8" t="s">
        <v>591</v>
      </c>
      <c r="J17" s="8" t="s">
        <v>606</v>
      </c>
      <c r="K17" s="8"/>
      <c r="L17" s="8"/>
      <c r="M17" s="8"/>
      <c r="N17" s="8"/>
      <c r="O17" s="8"/>
      <c r="P17" s="8"/>
      <c r="Q17" s="8"/>
      <c r="R17" s="8"/>
      <c r="S17" s="8"/>
    </row>
    <row r="18" spans="1:19" x14ac:dyDescent="0.3">
      <c r="A18" s="7" t="s">
        <v>30</v>
      </c>
      <c r="B18" s="7" t="s">
        <v>30</v>
      </c>
      <c r="C18" s="7" t="s">
        <v>30</v>
      </c>
      <c r="D18" s="7" t="s">
        <v>30</v>
      </c>
      <c r="E18" s="7" t="s">
        <v>30</v>
      </c>
      <c r="F18" s="7" t="s">
        <v>30</v>
      </c>
      <c r="G18" s="488" t="s">
        <v>30</v>
      </c>
      <c r="H18" s="7" t="s">
        <v>30</v>
      </c>
      <c r="I18" s="7" t="s">
        <v>30</v>
      </c>
      <c r="J18" s="7" t="s">
        <v>30</v>
      </c>
      <c r="K18" s="7" t="s">
        <v>30</v>
      </c>
      <c r="L18" s="7" t="s">
        <v>30</v>
      </c>
      <c r="M18" s="7" t="s">
        <v>30</v>
      </c>
      <c r="N18" s="7" t="s">
        <v>30</v>
      </c>
      <c r="O18" s="7" t="s">
        <v>30</v>
      </c>
      <c r="P18" s="7" t="s">
        <v>30</v>
      </c>
      <c r="Q18" s="7" t="s">
        <v>30</v>
      </c>
      <c r="R18" s="7" t="s">
        <v>30</v>
      </c>
      <c r="S18" s="7" t="s">
        <v>30</v>
      </c>
    </row>
    <row r="19" spans="1:19" x14ac:dyDescent="0.3">
      <c r="A19" s="48" t="s">
        <v>424</v>
      </c>
      <c r="B19" s="40" t="s">
        <v>530</v>
      </c>
      <c r="C19" s="40" t="s">
        <v>571</v>
      </c>
      <c r="D19" s="40" t="s">
        <v>567</v>
      </c>
      <c r="E19" s="40" t="s">
        <v>571</v>
      </c>
      <c r="F19" s="48" t="s">
        <v>581</v>
      </c>
      <c r="G19" s="40" t="s">
        <v>574</v>
      </c>
      <c r="H19" s="48" t="s">
        <v>581</v>
      </c>
      <c r="I19" s="40" t="s">
        <v>571</v>
      </c>
      <c r="J19" s="7" t="s">
        <v>514</v>
      </c>
    </row>
    <row r="20" spans="1:19" x14ac:dyDescent="0.3">
      <c r="A20" s="333" t="s">
        <v>425</v>
      </c>
      <c r="B20" s="7" t="s">
        <v>531</v>
      </c>
      <c r="C20" s="7" t="s">
        <v>572</v>
      </c>
      <c r="D20" s="7" t="s">
        <v>530</v>
      </c>
      <c r="E20" s="7" t="s">
        <v>572</v>
      </c>
      <c r="F20" s="7" t="s">
        <v>583</v>
      </c>
      <c r="G20" s="7" t="s">
        <v>567</v>
      </c>
      <c r="H20" s="7" t="s">
        <v>582</v>
      </c>
      <c r="I20" s="7" t="s">
        <v>572</v>
      </c>
    </row>
    <row r="21" spans="1:19" x14ac:dyDescent="0.3">
      <c r="B21" s="7" t="s">
        <v>533</v>
      </c>
      <c r="C21" s="7" t="s">
        <v>573</v>
      </c>
      <c r="D21" s="7" t="s">
        <v>531</v>
      </c>
      <c r="E21" s="7" t="s">
        <v>573</v>
      </c>
      <c r="I21" s="7" t="s">
        <v>573</v>
      </c>
    </row>
    <row r="22" spans="1:19" x14ac:dyDescent="0.3">
      <c r="B22" s="7" t="s">
        <v>532</v>
      </c>
      <c r="D22" s="7" t="s">
        <v>533</v>
      </c>
    </row>
    <row r="23" spans="1:19" x14ac:dyDescent="0.3">
      <c r="B23" s="48" t="s">
        <v>556</v>
      </c>
      <c r="D23" s="7" t="s">
        <v>532</v>
      </c>
    </row>
    <row r="24" spans="1:19" x14ac:dyDescent="0.3">
      <c r="B24" s="7" t="s">
        <v>575</v>
      </c>
      <c r="D24" s="48" t="s">
        <v>556</v>
      </c>
    </row>
    <row r="25" spans="1:19" x14ac:dyDescent="0.3">
      <c r="B25" s="7" t="s">
        <v>576</v>
      </c>
      <c r="D25" s="7" t="s">
        <v>574</v>
      </c>
    </row>
    <row r="26" spans="1:19" x14ac:dyDescent="0.3">
      <c r="B26" s="7" t="s">
        <v>577</v>
      </c>
      <c r="D26" s="7" t="s">
        <v>575</v>
      </c>
    </row>
    <row r="27" spans="1:19" x14ac:dyDescent="0.3">
      <c r="B27" s="7" t="s">
        <v>578</v>
      </c>
      <c r="D27" s="7" t="s">
        <v>576</v>
      </c>
    </row>
    <row r="28" spans="1:19" x14ac:dyDescent="0.3">
      <c r="B28" s="7" t="s">
        <v>579</v>
      </c>
      <c r="D28" s="7" t="s">
        <v>577</v>
      </c>
    </row>
    <row r="29" spans="1:19" x14ac:dyDescent="0.3">
      <c r="D29" s="7" t="s">
        <v>578</v>
      </c>
    </row>
    <row r="30" spans="1:19" x14ac:dyDescent="0.3">
      <c r="D30" s="7" t="s">
        <v>579</v>
      </c>
    </row>
  </sheetData>
  <phoneticPr fontId="57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theme="1"/>
    <pageSetUpPr fitToPage="1"/>
  </sheetPr>
  <dimension ref="B2:Q65"/>
  <sheetViews>
    <sheetView showGridLines="0" topLeftCell="B1" zoomScaleNormal="100" workbookViewId="0">
      <selection activeCell="D7" sqref="D7"/>
    </sheetView>
  </sheetViews>
  <sheetFormatPr defaultRowHeight="14.4" x14ac:dyDescent="0.3"/>
  <cols>
    <col min="1" max="1" width="3" customWidth="1"/>
    <col min="2" max="2" width="19.5546875" customWidth="1"/>
    <col min="3" max="3" width="24.5546875" customWidth="1"/>
    <col min="4" max="4" width="17" customWidth="1"/>
    <col min="5" max="5" width="11" customWidth="1"/>
    <col min="6" max="6" width="13.109375" customWidth="1"/>
    <col min="7" max="7" width="14.6640625" style="26" customWidth="1"/>
    <col min="8" max="8" width="81.109375" customWidth="1"/>
    <col min="9" max="9" width="11.88671875" customWidth="1"/>
    <col min="10" max="10" width="13.5546875" customWidth="1"/>
    <col min="11" max="11" width="6.6640625" customWidth="1"/>
    <col min="12" max="12" width="7.88671875" customWidth="1"/>
    <col min="13" max="13" width="8.88671875" customWidth="1"/>
    <col min="14" max="14" width="6.44140625" customWidth="1"/>
    <col min="15" max="15" width="6.88671875" customWidth="1"/>
    <col min="16" max="16" width="8.109375" customWidth="1"/>
    <col min="17" max="17" width="10.33203125" customWidth="1"/>
  </cols>
  <sheetData>
    <row r="2" spans="2:17" x14ac:dyDescent="0.3">
      <c r="B2" s="700" t="s">
        <v>316</v>
      </c>
      <c r="C2" s="700"/>
      <c r="D2" s="700"/>
      <c r="E2" s="700"/>
      <c r="F2" s="700"/>
      <c r="H2" s="704" t="s">
        <v>243</v>
      </c>
      <c r="I2" s="705"/>
      <c r="J2" s="705"/>
      <c r="K2" s="705"/>
      <c r="L2" s="705"/>
      <c r="M2" s="705"/>
      <c r="N2" s="705"/>
      <c r="O2" s="705"/>
      <c r="P2" s="705"/>
      <c r="Q2" s="706"/>
    </row>
    <row r="3" spans="2:17" x14ac:dyDescent="0.3">
      <c r="B3" s="31"/>
      <c r="C3" s="232" t="s">
        <v>406</v>
      </c>
      <c r="D3" s="232" t="s">
        <v>25</v>
      </c>
      <c r="E3" s="703" t="s">
        <v>45</v>
      </c>
      <c r="F3" s="703"/>
      <c r="H3" s="414" t="s">
        <v>119</v>
      </c>
      <c r="I3" s="415" t="s">
        <v>201</v>
      </c>
      <c r="J3" s="415" t="s">
        <v>261</v>
      </c>
      <c r="K3" s="415" t="s">
        <v>246</v>
      </c>
      <c r="L3" s="416" t="s">
        <v>120</v>
      </c>
      <c r="M3" s="417" t="s">
        <v>121</v>
      </c>
      <c r="N3" s="415" t="s">
        <v>122</v>
      </c>
      <c r="O3" s="415" t="s">
        <v>5</v>
      </c>
      <c r="P3" s="418" t="s">
        <v>123</v>
      </c>
      <c r="Q3" s="419" t="s">
        <v>276</v>
      </c>
    </row>
    <row r="4" spans="2:17" x14ac:dyDescent="0.3">
      <c r="B4" s="32" t="s">
        <v>103</v>
      </c>
      <c r="C4" s="697" t="s">
        <v>592</v>
      </c>
      <c r="D4" s="698"/>
      <c r="E4" s="698"/>
      <c r="F4" s="699"/>
      <c r="G4" s="26" t="str">
        <f>IF(C4='Chassis Type'!B2," &lt;-- Click here","")</f>
        <v/>
      </c>
      <c r="H4" s="420" t="str">
        <f>CONCATENATE(VLOOKUP(C11,Backplanes[],4,FALSE)," | ",(CONCATENATE(CONCATENATE(LEFT(C5,19)," | ",IF(D6=0,"",VLOOKUP(D6,Socket_Count_Conversions[],2,FALSE)),C6," | "),VLOOKUP(C7,RAM[],4,FALSE)*D7,"GB")),," | ",E20,"%",E30," ","",E21,"V"," | ","x",K4," PSU | ",M14)</f>
        <v>1U | SystemX3250-M6 | Single Xeon E3 1270 V5 | 32GB | 0% | 208V | x2 PSU | Change Me</v>
      </c>
      <c r="I4" s="421" t="str">
        <f>IF(F24="0A","0",LEFT(VLOOKUP(B23,Throttle_Presets[],5,FALSE),4))</f>
        <v>0.36</v>
      </c>
      <c r="J4" s="421" t="str">
        <f>LEFT(E24,FIND("W",E24,1)-1)</f>
        <v>76.5</v>
      </c>
      <c r="K4" s="422">
        <v>2</v>
      </c>
      <c r="L4" s="422">
        <f>D6</f>
        <v>1</v>
      </c>
      <c r="M4" s="422">
        <f>VLOOKUP(C6,Procs_Models[],5,FALSE)*D6</f>
        <v>4</v>
      </c>
      <c r="N4" s="421">
        <f>VLOOKUP(C6,Procs_Models[],6,FALSE)</f>
        <v>3.6</v>
      </c>
      <c r="O4" s="422">
        <f>VLOOKUP(C7,RAM[],4,FALSE)*D7</f>
        <v>32</v>
      </c>
      <c r="P4" s="422">
        <f>D16</f>
        <v>0</v>
      </c>
      <c r="Q4" s="422" t="str">
        <f>LEFT(E29,1)</f>
        <v>1</v>
      </c>
    </row>
    <row r="5" spans="2:17" ht="15" customHeight="1" x14ac:dyDescent="0.3">
      <c r="B5" s="32" t="s">
        <v>1</v>
      </c>
      <c r="C5" s="34" t="s">
        <v>606</v>
      </c>
      <c r="D5" s="33">
        <v>1</v>
      </c>
      <c r="E5" s="701">
        <f>VLOOKUP(C5,Motherboard_Models[],2,FALSE)*D5</f>
        <v>18</v>
      </c>
      <c r="F5" s="702"/>
      <c r="G5" s="29" t="str">
        <f>IF(C5="None"," &lt;-- Set component and quantity",IF(D5=0," &lt;-- Set quantity",""))</f>
        <v/>
      </c>
      <c r="H5" s="581"/>
      <c r="I5" s="708" t="str">
        <f>IF(OR(AND(C4="2U 6 Drive",K4=0),AND(C4="1U 4 Drive",K4=0),AND(C4="1U 4 Drive Ultra",K4=0),AND(C4="2U 12 Drive",K4=0),AND(C4="2U 12 Drive Ultra",K4=0),AND(C4="4U 24 Drive",K4=0),AND(C4="4U 36 Drive",K4=0),AND(C4="3U 8 Drive",K4=0)),"Set PSU count accordingly      ^^^^^","")</f>
        <v/>
      </c>
      <c r="J5" s="708"/>
      <c r="K5" s="708"/>
    </row>
    <row r="6" spans="2:17" x14ac:dyDescent="0.3">
      <c r="B6" s="32" t="s">
        <v>2</v>
      </c>
      <c r="C6" s="35" t="s">
        <v>514</v>
      </c>
      <c r="D6" s="33">
        <v>1</v>
      </c>
      <c r="E6" s="701">
        <f>VLOOKUP(C6,Procs_Models[],2,FALSE)*D6</f>
        <v>80</v>
      </c>
      <c r="F6" s="702"/>
      <c r="G6" s="29" t="str">
        <f>IF(C6="None"," &lt;-- Set component and quantity",IF(D6=0," &lt;-- Set quantity",""))</f>
        <v/>
      </c>
      <c r="J6" s="195"/>
      <c r="K6" s="195"/>
      <c r="L6" s="195"/>
      <c r="M6" s="195"/>
      <c r="N6" s="195"/>
      <c r="O6" s="195"/>
      <c r="P6" s="195"/>
    </row>
    <row r="7" spans="2:17" x14ac:dyDescent="0.3">
      <c r="B7" s="32" t="s">
        <v>5</v>
      </c>
      <c r="C7" s="35" t="s">
        <v>513</v>
      </c>
      <c r="D7" s="33">
        <v>2</v>
      </c>
      <c r="E7" s="701">
        <f>VLOOKUP(C7,RAM[],3,FALSE)*D7</f>
        <v>20.399999999999999</v>
      </c>
      <c r="F7" s="702"/>
      <c r="G7" s="29" t="str">
        <f>IF(C7="None"," &lt;-- Set component and quantity",IF(D7=0," &lt;-- Set quantity",""))</f>
        <v/>
      </c>
      <c r="I7" s="195"/>
    </row>
    <row r="8" spans="2:17" x14ac:dyDescent="0.3">
      <c r="B8" s="32" t="s">
        <v>8</v>
      </c>
      <c r="C8" s="169" t="str">
        <f>VLOOKUP(C4,Chassis_Models[],3,FALSE)</f>
        <v xml:space="preserve">USB Peripheral </v>
      </c>
      <c r="D8" s="55">
        <f>VLOOKUP(C4,Chassis_Models[],10,FALSE)</f>
        <v>1</v>
      </c>
      <c r="E8" s="707">
        <f>VLOOKUP(C8,Generic[],2,FALSE)*D8</f>
        <v>2.5</v>
      </c>
      <c r="F8" s="707"/>
      <c r="G8" s="29"/>
      <c r="H8" s="696" t="str">
        <f>IF(E20=0,"","Once configuration is complete      ")</f>
        <v/>
      </c>
      <c r="I8" s="696"/>
      <c r="J8" s="1"/>
      <c r="K8" s="1"/>
      <c r="L8" s="1"/>
      <c r="M8" s="1"/>
      <c r="N8" s="1"/>
      <c r="O8" s="1"/>
      <c r="P8" s="1"/>
    </row>
    <row r="9" spans="2:17" x14ac:dyDescent="0.3">
      <c r="B9" s="32" t="s">
        <v>77</v>
      </c>
      <c r="C9" s="169" t="str">
        <f>VLOOKUP(C4,Chassis_Models[],4,FALSE)</f>
        <v xml:space="preserve">40mm - 12K </v>
      </c>
      <c r="D9" s="55">
        <f>VLOOKUP(C4,Chassis_Models[],5,FALSE)</f>
        <v>4</v>
      </c>
      <c r="E9" s="707">
        <f>VLOOKUP(C9,Fan[],3,FALSE)*D9</f>
        <v>20</v>
      </c>
      <c r="F9" s="707"/>
      <c r="G9" s="29"/>
      <c r="H9" s="695" t="str">
        <f>IF(E20=0,"","use this button to copy values to the server list for use in the rack layout tab---&gt;&gt;")</f>
        <v/>
      </c>
      <c r="I9" s="695"/>
    </row>
    <row r="10" spans="2:17" x14ac:dyDescent="0.3">
      <c r="B10" s="32" t="s">
        <v>76</v>
      </c>
      <c r="C10" s="169" t="str">
        <f>VLOOKUP(C4,Chassis_Models[],6,FALSE)</f>
        <v>None</v>
      </c>
      <c r="D10" s="55">
        <f>VLOOKUP(C4,Chassis_Models[],7,FALSE)</f>
        <v>0</v>
      </c>
      <c r="E10" s="707">
        <f>VLOOKUP(C10,Fan[],3,FALSE)*D10</f>
        <v>0</v>
      </c>
      <c r="F10" s="707"/>
      <c r="G10" s="29"/>
    </row>
    <row r="11" spans="2:17" x14ac:dyDescent="0.3">
      <c r="B11" s="32" t="s">
        <v>9</v>
      </c>
      <c r="C11" s="169" t="str">
        <f>VLOOKUP(C4,Chassis_Models[],8,FALSE)</f>
        <v>SATA/SAS for 4 HDD</v>
      </c>
      <c r="D11" s="55">
        <f>VLOOKUP(C4,Chassis_Models[],10,FALSE)</f>
        <v>1</v>
      </c>
      <c r="E11" s="707">
        <f>VLOOKUP(C11,Backplanes[],2,FALSE)*D11</f>
        <v>6</v>
      </c>
      <c r="F11" s="707"/>
      <c r="G11" s="29"/>
      <c r="H11" s="171"/>
    </row>
    <row r="12" spans="2:17" x14ac:dyDescent="0.3">
      <c r="B12" s="32" t="s">
        <v>193</v>
      </c>
      <c r="C12" s="35" t="s">
        <v>30</v>
      </c>
      <c r="D12" s="33">
        <v>0</v>
      </c>
      <c r="E12" s="701">
        <f>VLOOKUP(C12,RAIDController[],3,FALSE)*D12</f>
        <v>0</v>
      </c>
      <c r="F12" s="702"/>
      <c r="G12" s="29" t="str">
        <f>IF(C12="None","",IF(D12=0," &lt;-- Set quantities",""))</f>
        <v/>
      </c>
      <c r="H12" s="171"/>
    </row>
    <row r="13" spans="2:17" x14ac:dyDescent="0.3">
      <c r="B13" s="32" t="s">
        <v>185</v>
      </c>
      <c r="C13" s="35" t="s">
        <v>30</v>
      </c>
      <c r="D13" s="33">
        <v>0</v>
      </c>
      <c r="E13" s="701">
        <f>VLOOKUP(C13,HardDrive[],3,FALSE)*D13</f>
        <v>0</v>
      </c>
      <c r="F13" s="702"/>
      <c r="G13" s="29" t="str">
        <f>IF(C13="None","",IF(D13=0," &lt;-- Set quantities",""))</f>
        <v/>
      </c>
    </row>
    <row r="14" spans="2:17" x14ac:dyDescent="0.3">
      <c r="B14" s="32" t="s">
        <v>13</v>
      </c>
      <c r="C14" s="35" t="s">
        <v>30</v>
      </c>
      <c r="D14" s="33">
        <v>0</v>
      </c>
      <c r="E14" s="701">
        <f>VLOOKUP(C14,HardDrive[],3,FALSE)*D14</f>
        <v>0</v>
      </c>
      <c r="F14" s="702"/>
      <c r="G14" s="29" t="str">
        <f>IF(C14="None","",IF(D14=0," &lt;-- Set quantities",""))</f>
        <v/>
      </c>
      <c r="J14" s="691" t="s">
        <v>319</v>
      </c>
      <c r="K14" s="692"/>
      <c r="L14" s="196"/>
      <c r="M14" s="732" t="s">
        <v>553</v>
      </c>
      <c r="N14" s="733"/>
      <c r="O14" s="733"/>
      <c r="P14" s="733"/>
      <c r="Q14" s="734"/>
    </row>
    <row r="15" spans="2:17" x14ac:dyDescent="0.3">
      <c r="B15" s="32" t="s">
        <v>24</v>
      </c>
      <c r="C15" s="35" t="s">
        <v>30</v>
      </c>
      <c r="D15" s="33">
        <v>0</v>
      </c>
      <c r="E15" s="701">
        <f>VLOOKUP(C15,NIC[],3,FALSE)*D15</f>
        <v>0</v>
      </c>
      <c r="F15" s="702"/>
      <c r="G15" s="29" t="str">
        <f>IF(C15="None","",IF(D15=0," &lt;-- Set quantities",""))</f>
        <v/>
      </c>
    </row>
    <row r="16" spans="2:17" x14ac:dyDescent="0.3">
      <c r="B16" s="32" t="s">
        <v>6</v>
      </c>
      <c r="C16" s="35" t="s">
        <v>30</v>
      </c>
      <c r="D16" s="33">
        <v>0</v>
      </c>
      <c r="E16" s="701">
        <f>VLOOKUP(C16,GPU[],4,FALSE)*D16</f>
        <v>0</v>
      </c>
      <c r="F16" s="702"/>
      <c r="G16" s="29" t="str">
        <f>IF(C16="None","",IF(D16=0," &lt;-- Set quantities",""))</f>
        <v/>
      </c>
    </row>
    <row r="17" spans="2:7" x14ac:dyDescent="0.3">
      <c r="B17" s="718"/>
      <c r="C17" s="719"/>
      <c r="D17" s="719"/>
      <c r="E17" s="719"/>
      <c r="F17" s="720"/>
      <c r="G17" s="27"/>
    </row>
    <row r="18" spans="2:7" x14ac:dyDescent="0.3">
      <c r="B18" s="715" t="s">
        <v>81</v>
      </c>
      <c r="C18" s="716"/>
      <c r="D18" s="717"/>
      <c r="E18" s="735" t="str">
        <f>(CONCATENATE(SUM(E5:F16),"W"))</f>
        <v>146.9W</v>
      </c>
      <c r="F18" s="736"/>
      <c r="G18" s="26" t="str">
        <f>IF(E18=E31," &lt;-- This is how big the power supply has to be","")</f>
        <v/>
      </c>
    </row>
    <row r="19" spans="2:7" x14ac:dyDescent="0.3">
      <c r="B19" s="718"/>
      <c r="C19" s="719"/>
      <c r="D19" s="719"/>
      <c r="E19" s="719"/>
      <c r="F19" s="720"/>
    </row>
    <row r="20" spans="2:7" x14ac:dyDescent="0.3">
      <c r="B20" s="712" t="s">
        <v>88</v>
      </c>
      <c r="C20" s="713"/>
      <c r="D20" s="714"/>
      <c r="E20" s="710">
        <v>0</v>
      </c>
      <c r="F20" s="711"/>
      <c r="G20" s="26" t="str">
        <f>IF(E20=0," &lt;-- Enter Value","")</f>
        <v xml:space="preserve"> &lt;-- Enter Value</v>
      </c>
    </row>
    <row r="21" spans="2:7" x14ac:dyDescent="0.3">
      <c r="B21" s="712" t="s">
        <v>85</v>
      </c>
      <c r="C21" s="713"/>
      <c r="D21" s="714"/>
      <c r="E21" s="710">
        <v>208</v>
      </c>
      <c r="F21" s="711"/>
      <c r="G21" s="28"/>
    </row>
    <row r="22" spans="2:7" x14ac:dyDescent="0.3">
      <c r="B22" s="728">
        <v>0.79</v>
      </c>
      <c r="C22" s="729"/>
      <c r="D22" s="729"/>
      <c r="E22" s="729"/>
      <c r="F22" s="730"/>
      <c r="G22" s="29"/>
    </row>
    <row r="23" spans="2:7" ht="15.75" customHeight="1" x14ac:dyDescent="0.3">
      <c r="B23" s="722" t="s">
        <v>394</v>
      </c>
      <c r="C23" s="723"/>
      <c r="D23" s="723"/>
      <c r="E23" s="723"/>
      <c r="F23" s="724"/>
      <c r="G23" s="29" t="str">
        <f>IF(E20=0," &lt;-- This can be changed","")</f>
        <v xml:space="preserve"> &lt;-- This can be changed</v>
      </c>
    </row>
    <row r="24" spans="2:7" ht="16.5" customHeight="1" x14ac:dyDescent="0.3">
      <c r="B24" s="725" t="str">
        <f>VLOOKUP(B23,Throttle_Presets[],3,FALSE)</f>
        <v>Procs and GPUs Throttled @ 0%</v>
      </c>
      <c r="C24" s="726"/>
      <c r="D24" s="727"/>
      <c r="E24" s="170" t="str">
        <f>VLOOKUP(B23,Throttle_Presets[],4,FALSE)</f>
        <v>76.5W</v>
      </c>
      <c r="F24" s="170" t="str">
        <f>VLOOKUP(B23,Throttle_Presets[],5,FALSE)</f>
        <v>0.36A</v>
      </c>
      <c r="G24" s="29"/>
    </row>
    <row r="25" spans="2:7" ht="12" customHeight="1" x14ac:dyDescent="0.3">
      <c r="B25" s="708" t="str">
        <f>IF(B23="MAX","Warning!! These results are very unlikely. Real world tests have never gotten this high.","")</f>
        <v/>
      </c>
      <c r="C25" s="708"/>
      <c r="D25" s="708"/>
      <c r="E25" s="708"/>
      <c r="F25" s="708"/>
      <c r="G25" s="29"/>
    </row>
    <row r="26" spans="2:7" x14ac:dyDescent="0.3">
      <c r="B26" s="731" t="s">
        <v>174</v>
      </c>
      <c r="C26" s="731"/>
      <c r="D26" s="731"/>
      <c r="E26" s="731"/>
      <c r="F26" s="731"/>
      <c r="G26" s="30"/>
    </row>
    <row r="27" spans="2:7" x14ac:dyDescent="0.3">
      <c r="B27" s="6" t="str">
        <f>VLOOKUP(C5,Motherboard_Models[],3,FALSE)</f>
        <v>_3250</v>
      </c>
      <c r="C27" s="7" t="str">
        <f>VLOOKUP(C4,Chassis_Models[],11,FALSE)</f>
        <v>_1U4DE3</v>
      </c>
      <c r="D27" s="7" t="str">
        <f>CONCATENATE("_",D6)</f>
        <v>_1</v>
      </c>
      <c r="E27" s="7" t="str">
        <f>CONCATENATE(VLOOKUP(C5,Motherboard_Models[],3,FALSE),CONCATENATE("_",D6))</f>
        <v>_3250_1</v>
      </c>
      <c r="F27" s="62" t="str">
        <f>CONCATENATE("RAM",B27)</f>
        <v>RAM_3250</v>
      </c>
    </row>
    <row r="28" spans="2:7" x14ac:dyDescent="0.3">
      <c r="B28" s="7" t="str">
        <f>CONCATENATE(C27,"_RAID")</f>
        <v>_1U4DE3_RAID</v>
      </c>
      <c r="C28" s="63" t="str">
        <f>IF(C12="None","None_RAIDNone",CONCATENATE(B28,C27))</f>
        <v>None_RAIDNone</v>
      </c>
      <c r="D28" s="65">
        <f>VLOOKUP(C4,Chassis_Models[],12,FALSE)</f>
        <v>4</v>
      </c>
      <c r="E28" s="7" t="str">
        <f>CONCATENATE("_",B27)</f>
        <v>__3250</v>
      </c>
      <c r="F28" s="64" t="str">
        <f>CONCATENATE(E28,"_Pop")</f>
        <v>__3250_Pop</v>
      </c>
    </row>
    <row r="29" spans="2:7" x14ac:dyDescent="0.3">
      <c r="B29" s="7" t="str">
        <f>CONCATENATE(C27,"_NIC")</f>
        <v>_1U4DE3_NIC</v>
      </c>
      <c r="C29" s="63" t="str">
        <f>IF(C15="None","None_NICNone",CONCATENATE(B29,C27))</f>
        <v>None_NICNone</v>
      </c>
      <c r="D29" s="63" t="str">
        <f>IF(AND(D28=4,OR(B27="DRI",B27="DRI_1.2")),"_1U","")</f>
        <v/>
      </c>
      <c r="E29" s="53" t="str">
        <f>VLOOKUP(C11,Backplanes[],4,FALSE)</f>
        <v>1U</v>
      </c>
      <c r="F29" s="172" t="str">
        <f>CONCATENATE(B27,D29)</f>
        <v>_3250</v>
      </c>
    </row>
    <row r="30" spans="2:7" x14ac:dyDescent="0.3">
      <c r="B30" s="7" t="str">
        <f>CONCATENATE(C27,"_GPU")</f>
        <v>_1U4DE3_GPU</v>
      </c>
      <c r="C30" s="7" t="str">
        <f>CONCATENATE(C27,"_GPU_Count")</f>
        <v>_1U4DE3_GPU_Count</v>
      </c>
      <c r="D30" s="63" t="str">
        <f>IF(C5="X10QBI",CONCATENATE(B28,B27),IF(C5="X10DRI-T4+",CONCATENATE(B28,B27),B28))</f>
        <v>_1U4DE3_RAID</v>
      </c>
      <c r="E30" s="63" t="str">
        <f>IF(ISBLANK(M14),""," |")</f>
        <v xml:space="preserve"> |</v>
      </c>
      <c r="F30" s="187"/>
    </row>
    <row r="31" spans="2:7" x14ac:dyDescent="0.3">
      <c r="B31" s="721"/>
      <c r="C31" s="721"/>
      <c r="D31" s="721"/>
      <c r="E31" s="1"/>
    </row>
    <row r="32" spans="2:7" x14ac:dyDescent="0.3">
      <c r="B32" s="688" t="s">
        <v>181</v>
      </c>
      <c r="C32" s="709"/>
      <c r="D32" s="709"/>
      <c r="E32" s="709"/>
      <c r="F32" s="709"/>
    </row>
    <row r="33" spans="2:7" x14ac:dyDescent="0.3">
      <c r="B33" s="59" t="s">
        <v>394</v>
      </c>
      <c r="C33" s="59"/>
      <c r="D33" s="138" t="str">
        <f>CONCATENATE("Procs and GPUs Throttled @ ",E20, "%")</f>
        <v>Procs and GPUs Throttled @ 0%</v>
      </c>
      <c r="E33" s="60" t="str">
        <f>CONCATENATE(LEFT((SUM(E5,E8,E9,E10,E11)+VLOOKUP(E20,GPUCalcs[],4,FALSE)+VLOOKUP(E20,ProcCalcs[],4,FALSE)+VLOOKUP(0,'Component Calc'!B16:E17,4,FALSE)+VLOOKUP(0,'Component Calc'!G4:J5,4,FALSE)+VLOOKUP(0,'Component Calc'!G10:J11,4,FALSE)+VLOOKUP(0,'Component Calc'!G16:J17,4,FALSE)),6),"W")</f>
        <v>76.5W</v>
      </c>
      <c r="F33" s="61" t="str">
        <f>CONCATENATE(LEFT((SUM(E5,E8,E9,E10,E11)+VLOOKUP(E20,'Component Calc'!B10:E11,4,FALSE)+VLOOKUP(E20,'Component Calc'!B4:E5,4,FALSE)+VLOOKUP(0,'Component Calc'!B16:E17,4,FALSE)+VLOOKUP(0,'Component Calc'!G4:J5,4,FALSE)+VLOOKUP(0,'Component Calc'!G10:J11,4,FALSE)+VLOOKUP(0,'Component Calc'!G16:J17,4,FALSE))/E21,4),"A")</f>
        <v>0.36A</v>
      </c>
    </row>
    <row r="34" spans="2:7" x14ac:dyDescent="0.3">
      <c r="B34" s="59" t="s">
        <v>392</v>
      </c>
      <c r="C34" s="59"/>
      <c r="D34" s="138" t="str">
        <f>CONCATENATE("Procs and RAM Throttled @ ",E20, "%")</f>
        <v>Procs and RAM Throttled @ 0%</v>
      </c>
      <c r="E34" s="61" t="str">
        <f>CONCATENATE(LEFT((SUM(E5,E8,E9,E10,E11)+VLOOKUP(E20,GPUCalcs[],4,FALSE)+VLOOKUP(E20,ProcCalcs[],4,FALSE)+VLOOKUP(E20,'Component Calc'!B16:E17,4,FALSE)+VLOOKUP(0,'Component Calc'!G4:J5,4,FALSE)+VLOOKUP(0,'Component Calc'!G10:J11,4,FALSE)+VLOOKUP(0,'Component Calc'!G16:J17,4,FALSE)),6),"W")</f>
        <v>76.5W</v>
      </c>
      <c r="F34" s="61" t="str">
        <f>CONCATENATE(LEFT((SUM(E5,E8,E9,E10,E11)+VLOOKUP(E20,'Component Calc'!B10:E11,4,FALSE)+VLOOKUP(E20,'Component Calc'!B4:E5,4,FALSE)+VLOOKUP(E20,'Component Calc'!B16:E17,4,FALSE)+VLOOKUP(0,'Component Calc'!G4:J5,4,FALSE)+VLOOKUP(E20,'Component Calc'!G10:J11,4,FALSE)+VLOOKUP(0,'Component Calc'!G16:J17,4,FALSE))/E21,4),"A")</f>
        <v>0.36A</v>
      </c>
    </row>
    <row r="35" spans="2:7" x14ac:dyDescent="0.3">
      <c r="B35" s="59" t="s">
        <v>410</v>
      </c>
      <c r="C35" s="59"/>
      <c r="D35" s="138" t="str">
        <f>CONCATENATE("Procs &amp; RAM Throttled @ ",E20, "%"," GPUs @ 100%")</f>
        <v>Procs &amp; RAM Throttled @ 0% GPUs @ 100%</v>
      </c>
      <c r="E35" s="234" t="str">
        <f>CONCATENATE(LEFT((SUM(E5,E8,E9,E10,E11)+VLOOKUP(100,GPUCalcs[],4,FALSE)+VLOOKUP(E20,ProcCalcs[],4,FALSE)+VLOOKUP(E20,'Component Calc'!B16:E17,4,FALSE)+VLOOKUP(0,'Component Calc'!G4:J5,4,FALSE)+VLOOKUP(0,'Component Calc'!G10:J11,4,FALSE)+VLOOKUP(0,'Component Calc'!G16:J17,4,FALSE)),6),"W")</f>
        <v>76.5W</v>
      </c>
      <c r="F35" s="234" t="str">
        <f>CONCATENATE(LEFT((SUM(E5,E8,E9,E10,E11)+VLOOKUP(100,GPUCalcs[],4,FALSE)+VLOOKUP(E20,'Component Calc'!B4:E5,4,FALSE)+VLOOKUP(E20,'Component Calc'!B16:E17,4,FALSE)+VLOOKUP(0,'Component Calc'!G4:J5,4,FALSE)+VLOOKUP(E20,'Component Calc'!G10:J11,4,FALSE)+VLOOKUP(0,'Component Calc'!G16:J17,4,FALSE))/E21,4),"A")</f>
        <v>0.36A</v>
      </c>
    </row>
    <row r="36" spans="2:7" x14ac:dyDescent="0.3">
      <c r="B36" s="59" t="s">
        <v>393</v>
      </c>
      <c r="C36" s="59"/>
      <c r="D36" s="138" t="str">
        <f>CONCATENATE("Procs, RAM, Drives Throttled @ ",E20, "%")</f>
        <v>Procs, RAM, Drives Throttled @ 0%</v>
      </c>
      <c r="E36" s="61" t="str">
        <f>CONCATENATE(LEFT((SUM(E5,E8,E9,E10,E11)+VLOOKUP(100,GPUCalcs[],4,FALSE)+VLOOKUP(E20,ProcCalcs[],4,FALSE)+VLOOKUP(0,'Component Calc'!B16:E17,4,FALSE)+VLOOKUP(E20,'Component Calc'!G4:J5,4,FALSE)+VLOOKUP(0,'Component Calc'!G10:J11,4,FALSE)+VLOOKUP(0,'Component Calc'!G16:J17,4,FALSE)),6),"W")</f>
        <v>76.5W</v>
      </c>
      <c r="F36" s="61" t="str">
        <f>CONCATENATE(LEFT((SUM(E5,E8,E9,E10,E11)+VLOOKUP(100,GPUCalcs[],4,FALSE)+VLOOKUP(E20,'Component Calc'!B4:E5,4,FALSE)+VLOOKUP(E20,'Component Calc'!B16:E17,4,FALSE)+VLOOKUP(E20,'Component Calc'!G4:J5,4,FALSE)+VLOOKUP(0,'Component Calc'!G10:J11,4,FALSE)+VLOOKUP(0,'Component Calc'!G16:J17,4,FALSE))/E21,4),"A")</f>
        <v>0.36A</v>
      </c>
    </row>
    <row r="37" spans="2:7" x14ac:dyDescent="0.3">
      <c r="B37" s="59" t="s">
        <v>136</v>
      </c>
      <c r="C37" s="59"/>
      <c r="D37" s="138" t="str">
        <f>CONCATENATE("Procs, GPU, RAM, and Drives Throttled @ ",E20, "%")</f>
        <v>Procs, GPU, RAM, and Drives Throttled @ 0%</v>
      </c>
      <c r="E37" s="61" t="str">
        <f>CONCATENATE(LEFT((SUM(E5,E8,E9,E10,E11)+VLOOKUP(E20,GPUCalcs[],4,FALSE)+VLOOKUP(E20,ProcCalcs[],4,FALSE)+VLOOKUP(E20,'Component Calc'!B16:E17,4,FALSE)+VLOOKUP(E20,'Component Calc'!G4:J5,4,FALSE)+VLOOKUP(0,'Component Calc'!G10:J11,4,FALSE)+VLOOKUP(0,'Component Calc'!G16:J17,4,FALSE)),6),"W")</f>
        <v>76.5W</v>
      </c>
      <c r="F37" s="61" t="str">
        <f>CONCATENATE(LEFT((SUM(E5,E8,E9,E10,E11)+VLOOKUP(E20,'Component Calc'!B10:E12,4,FALSE)+VLOOKUP(E20,'Component Calc'!B4:E6,4,FALSE)+VLOOKUP(E20,'Component Calc'!B16:E18,4,FALSE)+VLOOKUP(E20,'Component Calc'!G4:J6,4,FALSE)+VLOOKUP(0,'Component Calc'!G10:J11,4,FALSE)+VLOOKUP(0,'Component Calc'!G16:J17,4,FALSE))/E21,4),"A")</f>
        <v>0.36A</v>
      </c>
    </row>
    <row r="38" spans="2:7" x14ac:dyDescent="0.3">
      <c r="B38" s="59" t="s">
        <v>395</v>
      </c>
      <c r="C38" s="59"/>
      <c r="D38" s="138" t="str">
        <f>CONCATENATE("THROTTLE ALL THE THINGS @ ",E20, "%")</f>
        <v>THROTTLE ALL THE THINGS @ 0%</v>
      </c>
      <c r="E38" s="61" t="str">
        <f>CONCATENATE(LEFT((SUM(E5,E8,E9,E10,E11)+VLOOKUP(E20,GPUCalcs[],4,FALSE)+VLOOKUP(E20,ProcCalcs[],4,FALSE)+VLOOKUP(E20,'Component Calc'!B16:E17,4,FALSE)+VLOOKUP(E20,'Component Calc'!G4:J5,4,FALSE)+VLOOKUP(E20,'Component Calc'!G10:J11,4,FALSE)+VLOOKUP(E20,'Component Calc'!G16:J17,4,FALSE)),6),"W")</f>
        <v>76.5W</v>
      </c>
      <c r="F38" s="61" t="str">
        <f>CONCATENATE(LEFT((SUM(E5,E8,E9,E10,E11)+VLOOKUP(E20,'Component Calc'!B10:E11,4,FALSE)+VLOOKUP(E20,'Component Calc'!B4:E5,4,FALSE)+VLOOKUP(E20,'Component Calc'!B16:E17,4,FALSE)+VLOOKUP(E20,'Component Calc'!G4:J5,4,FALSE)+VLOOKUP(E20,'Component Calc'!G10:J11,4,FALSE)+VLOOKUP(E20,'Component Calc'!G16:J17,4,FALSE))/E21,4),"A")</f>
        <v>0.36A</v>
      </c>
      <c r="G38"/>
    </row>
    <row r="47" spans="2:7" x14ac:dyDescent="0.3">
      <c r="C47" s="26" t="b">
        <f>IF(C13="None",TRUE,IF((AND(C48=TRUE,C49=TRUE,C50=TRUE)=TRUE),TRUE,FALSE))</f>
        <v>1</v>
      </c>
    </row>
    <row r="48" spans="2:7" x14ac:dyDescent="0.3">
      <c r="C48" s="26" t="b">
        <f>IF((D13+D14)&lt;=D28,TRUE,FALSE)</f>
        <v>1</v>
      </c>
    </row>
    <row r="49" spans="3:3" x14ac:dyDescent="0.3">
      <c r="C49" s="26" t="b">
        <f>IF(D13=INT(D13),TRUE,FALSE)</f>
        <v>1</v>
      </c>
    </row>
    <row r="50" spans="3:3" x14ac:dyDescent="0.3">
      <c r="C50" s="26" t="b">
        <f>IF(D13&lt;0,FALSE,TRUE)</f>
        <v>1</v>
      </c>
    </row>
    <row r="53" spans="3:3" ht="15.75" customHeight="1" x14ac:dyDescent="0.3"/>
    <row r="54" spans="3:3" x14ac:dyDescent="0.3">
      <c r="C54" t="b">
        <f>IF(C14="None",TRUE,IF((AND(C55=TRUE,C56=TRUE,C57=TRUE)=TRUE),TRUE,FALSE))</f>
        <v>1</v>
      </c>
    </row>
    <row r="55" spans="3:3" x14ac:dyDescent="0.3">
      <c r="C55" t="b">
        <f>IF(C14="None",TRUE,IF((D13+D14)&lt;=D28,TRUE,FALSE))</f>
        <v>1</v>
      </c>
    </row>
    <row r="56" spans="3:3" x14ac:dyDescent="0.3">
      <c r="C56" t="b">
        <f>IF(D14=INT(D14),TRUE,FALSE)</f>
        <v>1</v>
      </c>
    </row>
    <row r="57" spans="3:3" x14ac:dyDescent="0.3">
      <c r="C57" t="b">
        <f>IF(D14&lt;0,FALSE,TRUE)</f>
        <v>1</v>
      </c>
    </row>
    <row r="58" spans="3:3" x14ac:dyDescent="0.3">
      <c r="C58" t="b">
        <f>AND(OR(C4="2U 12 Drive Ultra",C4="2U 12 Drive"),OR(D13&gt;0,D14&gt;0),C6="None",C5="None")</f>
        <v>0</v>
      </c>
    </row>
    <row r="65" spans="6:6" x14ac:dyDescent="0.3">
      <c r="F65" s="177"/>
    </row>
  </sheetData>
  <sheetProtection selectLockedCells="1"/>
  <protectedRanges>
    <protectedRange algorithmName="SHA-512" hashValue="RXJ8N287vjfXCVea+YdC4K4y6WmJsf8+S9u3b4o/v6LFJR3oCskYnbi8jL6F+WisA1a6NPFrEZNMgrIZyA4Pqw==" saltValue="ywrOvRbxB271i7snwt4oLA==" spinCount="100000" sqref="C4 C5:C7 C12:C16 D12:D16 D5:D7 M14 E20 E21" name="Chassis Configuration"/>
  </protectedRanges>
  <dataConsolidate/>
  <mergeCells count="36">
    <mergeCell ref="E10:F10"/>
    <mergeCell ref="E12:F12"/>
    <mergeCell ref="J14:K14"/>
    <mergeCell ref="M14:Q14"/>
    <mergeCell ref="B25:F25"/>
    <mergeCell ref="B19:F19"/>
    <mergeCell ref="B20:D20"/>
    <mergeCell ref="E18:F18"/>
    <mergeCell ref="E11:F11"/>
    <mergeCell ref="E13:F13"/>
    <mergeCell ref="E15:F15"/>
    <mergeCell ref="E14:F14"/>
    <mergeCell ref="B32:F32"/>
    <mergeCell ref="E21:F21"/>
    <mergeCell ref="B21:D21"/>
    <mergeCell ref="B18:D18"/>
    <mergeCell ref="E16:F16"/>
    <mergeCell ref="E20:F20"/>
    <mergeCell ref="B17:F17"/>
    <mergeCell ref="B31:D31"/>
    <mergeCell ref="B23:F23"/>
    <mergeCell ref="B24:D24"/>
    <mergeCell ref="B22:F22"/>
    <mergeCell ref="B26:F26"/>
    <mergeCell ref="H9:I9"/>
    <mergeCell ref="H8:I8"/>
    <mergeCell ref="C4:F4"/>
    <mergeCell ref="B2:F2"/>
    <mergeCell ref="E5:F5"/>
    <mergeCell ref="E6:F6"/>
    <mergeCell ref="E7:F7"/>
    <mergeCell ref="E3:F3"/>
    <mergeCell ref="H2:Q2"/>
    <mergeCell ref="E8:F8"/>
    <mergeCell ref="E9:F9"/>
    <mergeCell ref="I5:K5"/>
  </mergeCells>
  <conditionalFormatting sqref="D13:D14">
    <cfRule type="expression" dxfId="338" priority="10">
      <formula>ISFALSE(#REF!)</formula>
    </cfRule>
  </conditionalFormatting>
  <dataValidations count="16">
    <dataValidation type="list" allowBlank="1" showInputMessage="1" showErrorMessage="1" sqref="C7" xr:uid="{00000000-0002-0000-0C00-000000000000}">
      <formula1>INDIRECT($F$27)</formula1>
    </dataValidation>
    <dataValidation type="list" allowBlank="1" showInputMessage="1" showErrorMessage="1" sqref="C15" xr:uid="{00000000-0002-0000-0C00-000001000000}">
      <formula1>NICs</formula1>
    </dataValidation>
    <dataValidation type="list" allowBlank="1" showInputMessage="1" showErrorMessage="1" sqref="C16" xr:uid="{00000000-0002-0000-0C00-000002000000}">
      <formula1>INDIRECT($B$30)</formula1>
    </dataValidation>
    <dataValidation type="list" allowBlank="1" showInputMessage="1" showErrorMessage="1" sqref="C13:C14" xr:uid="{00000000-0002-0000-0C00-000003000000}">
      <formula1>HDDs</formula1>
    </dataValidation>
    <dataValidation type="list" allowBlank="1" showInputMessage="1" showErrorMessage="1" sqref="C6" xr:uid="{00000000-0002-0000-0C00-000004000000}">
      <formula1>INDIRECT(F29)</formula1>
    </dataValidation>
    <dataValidation type="list" allowBlank="1" showInputMessage="1" showErrorMessage="1" sqref="C5" xr:uid="{00000000-0002-0000-0C00-000005000000}">
      <formula1>INDIRECT($C$27)</formula1>
    </dataValidation>
    <dataValidation operator="equal" allowBlank="1" showInputMessage="1" showErrorMessage="1" sqref="D8" xr:uid="{00000000-0002-0000-0C00-000006000000}"/>
    <dataValidation type="list" operator="lessThan" allowBlank="1" showInputMessage="1" showErrorMessage="1" sqref="D16" xr:uid="{00000000-0002-0000-0C00-000007000000}">
      <formula1>INDIRECT($C$30)</formula1>
    </dataValidation>
    <dataValidation type="whole" operator="lessThanOrEqual" allowBlank="1" showInputMessage="1" showErrorMessage="1" sqref="D11" xr:uid="{00000000-0002-0000-0C00-000008000000}">
      <formula1>1</formula1>
    </dataValidation>
    <dataValidation type="list" allowBlank="1" showInputMessage="1" showErrorMessage="1" sqref="D7" xr:uid="{00000000-0002-0000-0C00-000009000000}">
      <formula1>INDIRECT($E$27)</formula1>
    </dataValidation>
    <dataValidation type="list" allowBlank="1" showInputMessage="1" showErrorMessage="1" sqref="C12" xr:uid="{00000000-0002-0000-0C00-00000A000000}">
      <formula1>INDIRECT($D$30)</formula1>
    </dataValidation>
    <dataValidation type="list" allowBlank="1" showInputMessage="1" showErrorMessage="1" sqref="D12" xr:uid="{00000000-0002-0000-0C00-00000B000000}">
      <formula1>INDIRECT($C$28)</formula1>
    </dataValidation>
    <dataValidation type="list" allowBlank="1" showInputMessage="1" showErrorMessage="1" sqref="D15" xr:uid="{00000000-0002-0000-0C00-00000C000000}">
      <formula1>INDIRECT($C$29)</formula1>
    </dataValidation>
    <dataValidation allowBlank="1" sqref="D13:D14" xr:uid="{00000000-0002-0000-0C00-00000D000000}"/>
    <dataValidation type="list" allowBlank="1" showErrorMessage="1" sqref="D6" xr:uid="{00000000-0002-0000-0C00-00000E000000}">
      <formula1>IF($C$6="None",INDIRECT($E$27),INDIRECT($F$28))</formula1>
    </dataValidation>
    <dataValidation type="list" allowBlank="1" showInputMessage="1" showErrorMessage="1" sqref="B23:F23" xr:uid="{00000000-0002-0000-0C00-00000F000000}">
      <formula1>$B$33:$B$38</formula1>
    </dataValidation>
  </dataValidations>
  <pageMargins left="0.7" right="0.7" top="0.75" bottom="0.75" header="0.3" footer="0.3"/>
  <pageSetup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1" r:id="rId4" name="Button 17">
              <controlPr defaultSize="0" autoFill="0" autoPict="0" macro="[0]!ClearConfig" altText="Clear Config">
                <anchor moveWithCells="1" sizeWithCells="1">
                  <from>
                    <xdr:col>8</xdr:col>
                    <xdr:colOff>15240</xdr:colOff>
                    <xdr:row>8</xdr:row>
                    <xdr:rowOff>175260</xdr:rowOff>
                  </from>
                  <to>
                    <xdr:col>15</xdr:col>
                    <xdr:colOff>220980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" r:id="rId5" name="Group Box 204">
              <controlPr defaultSize="0" autoFill="0" autoPict="0">
                <anchor moveWithCells="1">
                  <from>
                    <xdr:col>7</xdr:col>
                    <xdr:colOff>5364480</xdr:colOff>
                    <xdr:row>5</xdr:row>
                    <xdr:rowOff>83820</xdr:rowOff>
                  </from>
                  <to>
                    <xdr:col>15</xdr:col>
                    <xdr:colOff>403860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" r:id="rId6" name="Button 211">
              <controlPr defaultSize="0" autoFill="0" autoPict="0" macro="[0]!CopyToServerList" altText="_x000a_">
                <anchor moveWithCells="1" sizeWithCells="1">
                  <from>
                    <xdr:col>8</xdr:col>
                    <xdr:colOff>0</xdr:colOff>
                    <xdr:row>6</xdr:row>
                    <xdr:rowOff>121920</xdr:rowOff>
                  </from>
                  <to>
                    <xdr:col>15</xdr:col>
                    <xdr:colOff>205740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" r:id="rId7" name="Button 215">
              <controlPr defaultSize="0" autoFill="0" autoPict="0" macro="[0]!X10SLH_preconfig" altText="Clear Config">
                <anchor moveWithCells="1" sizeWithCells="1">
                  <from>
                    <xdr:col>7</xdr:col>
                    <xdr:colOff>838200</xdr:colOff>
                    <xdr:row>23</xdr:row>
                    <xdr:rowOff>38100</xdr:rowOff>
                  </from>
                  <to>
                    <xdr:col>7</xdr:col>
                    <xdr:colOff>4686300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0" r:id="rId8" name="Group Box 216">
              <controlPr defaultSize="0" autoFill="0" autoPict="0">
                <anchor moveWithCells="1" sizeWithCells="1">
                  <from>
                    <xdr:col>7</xdr:col>
                    <xdr:colOff>586740</xdr:colOff>
                    <xdr:row>18</xdr:row>
                    <xdr:rowOff>15240</xdr:rowOff>
                  </from>
                  <to>
                    <xdr:col>15</xdr:col>
                    <xdr:colOff>68580</xdr:colOff>
                    <xdr:row>58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1" r:id="rId9" name="Button 217">
              <controlPr defaultSize="0" autoFill="0" autoPict="0" macro="[0]!X10DRU2U_preconfig" altText="_x000a_">
                <anchor moveWithCells="1" sizeWithCells="1">
                  <from>
                    <xdr:col>8</xdr:col>
                    <xdr:colOff>259080</xdr:colOff>
                    <xdr:row>23</xdr:row>
                    <xdr:rowOff>38100</xdr:rowOff>
                  </from>
                  <to>
                    <xdr:col>14</xdr:col>
                    <xdr:colOff>312420</xdr:colOff>
                    <xdr:row>28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2" r:id="rId10" name="Button 218">
              <controlPr defaultSize="0" autoFill="0" autoPict="0" macro="[0]!X10DRU_preconfig" altText="Clear Config">
                <anchor moveWithCells="1" sizeWithCells="1">
                  <from>
                    <xdr:col>7</xdr:col>
                    <xdr:colOff>876300</xdr:colOff>
                    <xdr:row>35</xdr:row>
                    <xdr:rowOff>60960</xdr:rowOff>
                  </from>
                  <to>
                    <xdr:col>7</xdr:col>
                    <xdr:colOff>4724400</xdr:colOff>
                    <xdr:row>40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3" r:id="rId11" name="Button 219">
              <controlPr defaultSize="0" autoFill="0" autoPict="0" macro="[0]!X10DRI4U_preconfig" altText="_x000a_">
                <anchor moveWithCells="1" sizeWithCells="1">
                  <from>
                    <xdr:col>8</xdr:col>
                    <xdr:colOff>259080</xdr:colOff>
                    <xdr:row>35</xdr:row>
                    <xdr:rowOff>15240</xdr:rowOff>
                  </from>
                  <to>
                    <xdr:col>14</xdr:col>
                    <xdr:colOff>312420</xdr:colOff>
                    <xdr:row>40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5" r:id="rId12" name="Button 221">
              <controlPr defaultSize="0" autoFill="0" autoPict="0" macro="[0]!X10QBI_preconfig" altText="_x000a_">
                <anchor moveWithCells="1" sizeWithCells="1">
                  <from>
                    <xdr:col>7</xdr:col>
                    <xdr:colOff>899160</xdr:colOff>
                    <xdr:row>47</xdr:row>
                    <xdr:rowOff>137160</xdr:rowOff>
                  </from>
                  <to>
                    <xdr:col>7</xdr:col>
                    <xdr:colOff>4754880</xdr:colOff>
                    <xdr:row>53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0" r:id="rId13" name="Button 226">
              <controlPr defaultSize="0" autoFill="0" autoPict="0" macro="[0]!X10QBI_SAP_preconfig" altText="_x000a_">
                <anchor moveWithCells="1" sizeWithCells="1">
                  <from>
                    <xdr:col>13</xdr:col>
                    <xdr:colOff>99060</xdr:colOff>
                    <xdr:row>20</xdr:row>
                    <xdr:rowOff>38100</xdr:rowOff>
                  </from>
                  <to>
                    <xdr:col>16</xdr:col>
                    <xdr:colOff>563880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1" r:id="rId14" name="Button 227">
              <controlPr defaultSize="0" autoFill="0" autoPict="0" macro="[0]!ClearConfig" altText="Clear Config">
                <anchor moveWithCells="1" sizeWithCells="1">
                  <from>
                    <xdr:col>9</xdr:col>
                    <xdr:colOff>236220</xdr:colOff>
                    <xdr:row>10</xdr:row>
                    <xdr:rowOff>30480</xdr:rowOff>
                  </from>
                  <to>
                    <xdr:col>16</xdr:col>
                    <xdr:colOff>571500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2" r:id="rId15" name="Group Box 228">
              <controlPr defaultSize="0" autoFill="0" autoPict="0">
                <anchor moveWithCells="1">
                  <from>
                    <xdr:col>9</xdr:col>
                    <xdr:colOff>30480</xdr:colOff>
                    <xdr:row>6</xdr:row>
                    <xdr:rowOff>121920</xdr:rowOff>
                  </from>
                  <to>
                    <xdr:col>17</xdr:col>
                    <xdr:colOff>38100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3" r:id="rId16" name="Button 229">
              <controlPr defaultSize="0" autoFill="0" autoPict="0" macro="[0]!CopyToServerList" altText="_x000a_">
                <anchor moveWithCells="1" sizeWithCells="1">
                  <from>
                    <xdr:col>9</xdr:col>
                    <xdr:colOff>220980</xdr:colOff>
                    <xdr:row>7</xdr:row>
                    <xdr:rowOff>160020</xdr:rowOff>
                  </from>
                  <to>
                    <xdr:col>16</xdr:col>
                    <xdr:colOff>563880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4" r:id="rId17" name="Button 230">
              <controlPr defaultSize="0" autoFill="0" autoPict="0" macro="[0]!X10SLH_preconfig" altText="Clear Config">
                <anchor>
                  <from>
                    <xdr:col>9</xdr:col>
                    <xdr:colOff>160020</xdr:colOff>
                    <xdr:row>16</xdr:row>
                    <xdr:rowOff>0</xdr:rowOff>
                  </from>
                  <to>
                    <xdr:col>12</xdr:col>
                    <xdr:colOff>175260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5" r:id="rId18" name="Group Box 231">
              <controlPr defaultSize="0" autoFill="0" autoPict="0">
                <anchor>
                  <from>
                    <xdr:col>9</xdr:col>
                    <xdr:colOff>38100</xdr:colOff>
                    <xdr:row>15</xdr:row>
                    <xdr:rowOff>0</xdr:rowOff>
                  </from>
                  <to>
                    <xdr:col>17</xdr:col>
                    <xdr:colOff>30480</xdr:colOff>
                    <xdr:row>37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6" r:id="rId19" name="Button 232">
              <controlPr defaultSize="0" autoFill="0" autoPict="0" macro="[0]!X10DRU2U_preconfig" altText="_x000a_">
                <anchor>
                  <from>
                    <xdr:col>9</xdr:col>
                    <xdr:colOff>182880</xdr:colOff>
                    <xdr:row>18</xdr:row>
                    <xdr:rowOff>76200</xdr:rowOff>
                  </from>
                  <to>
                    <xdr:col>12</xdr:col>
                    <xdr:colOff>190500</xdr:colOff>
                    <xdr:row>19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7" r:id="rId20" name="Button 233">
              <controlPr defaultSize="0" autoFill="0" autoPict="0" macro="[0]!X10DRU_preconfig" altText="Clear Config">
                <anchor>
                  <from>
                    <xdr:col>13</xdr:col>
                    <xdr:colOff>160020</xdr:colOff>
                    <xdr:row>16</xdr:row>
                    <xdr:rowOff>7620</xdr:rowOff>
                  </from>
                  <to>
                    <xdr:col>16</xdr:col>
                    <xdr:colOff>617220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8" r:id="rId21" name="Button 234">
              <controlPr defaultSize="0" autoFill="0" autoPict="0" macro="[0]!X10DRI4U_preconfig" altText="_x000a_">
                <anchor>
                  <from>
                    <xdr:col>13</xdr:col>
                    <xdr:colOff>152400</xdr:colOff>
                    <xdr:row>18</xdr:row>
                    <xdr:rowOff>76200</xdr:rowOff>
                  </from>
                  <to>
                    <xdr:col>16</xdr:col>
                    <xdr:colOff>609600</xdr:colOff>
                    <xdr:row>19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" r:id="rId22" name="Button 235">
              <controlPr defaultSize="0" autoFill="0" autoPict="0" macro="[0]!X10QBI_preconfig" altText="Clear Config">
                <anchor>
                  <from>
                    <xdr:col>9</xdr:col>
                    <xdr:colOff>190500</xdr:colOff>
                    <xdr:row>20</xdr:row>
                    <xdr:rowOff>144780</xdr:rowOff>
                  </from>
                  <to>
                    <xdr:col>12</xdr:col>
                    <xdr:colOff>213360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0" r:id="rId23" name="Button 236">
              <controlPr defaultSize="0" autoFill="0" autoPict="0" macro="[0]!X10QBI_SAP_preconfig" altText="Clear Config">
                <anchor>
                  <from>
                    <xdr:col>13</xdr:col>
                    <xdr:colOff>160020</xdr:colOff>
                    <xdr:row>20</xdr:row>
                    <xdr:rowOff>144780</xdr:rowOff>
                  </from>
                  <to>
                    <xdr:col>16</xdr:col>
                    <xdr:colOff>632460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5" r:id="rId24" name="Button 241">
              <controlPr defaultSize="0" autoFill="0" autoPict="0" macro="[0]!Habanero_32GB_preconfig" altText="Clear Config">
                <anchor>
                  <from>
                    <xdr:col>9</xdr:col>
                    <xdr:colOff>190500</xdr:colOff>
                    <xdr:row>23</xdr:row>
                    <xdr:rowOff>198120</xdr:rowOff>
                  </from>
                  <to>
                    <xdr:col>12</xdr:col>
                    <xdr:colOff>213360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7" r:id="rId25" name="Button 243">
              <controlPr defaultSize="0" autoFill="0" autoPict="0" macro="[0]!Habanero_512GB_preconfig" altText="Clear Config">
                <anchor>
                  <from>
                    <xdr:col>9</xdr:col>
                    <xdr:colOff>198120</xdr:colOff>
                    <xdr:row>26</xdr:row>
                    <xdr:rowOff>99060</xdr:rowOff>
                  </from>
                  <to>
                    <xdr:col>12</xdr:col>
                    <xdr:colOff>220980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8" r:id="rId26" name="Button 244">
              <controlPr defaultSize="0" autoFill="0" autoPict="0" macro="[0]!Habanero_256GB_preconfig" altText="Clear Config">
                <anchor>
                  <from>
                    <xdr:col>13</xdr:col>
                    <xdr:colOff>121920</xdr:colOff>
                    <xdr:row>24</xdr:row>
                    <xdr:rowOff>7620</xdr:rowOff>
                  </from>
                  <to>
                    <xdr:col>16</xdr:col>
                    <xdr:colOff>594360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" r:id="rId27" name="Button 245">
              <controlPr defaultSize="0" autoFill="0" autoPict="0" macro="[0]!Habanero_512GB_SSD_preconfig" altText="Clear Config">
                <anchor>
                  <from>
                    <xdr:col>13</xdr:col>
                    <xdr:colOff>144780</xdr:colOff>
                    <xdr:row>26</xdr:row>
                    <xdr:rowOff>106680</xdr:rowOff>
                  </from>
                  <to>
                    <xdr:col>16</xdr:col>
                    <xdr:colOff>609600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5" r:id="rId28" name="Button 261">
              <controlPr defaultSize="0" autoFill="0" autoPict="0" macro="[0]!LocalDisk_64GB_preconfig" altText="Clear Config">
                <anchor>
                  <from>
                    <xdr:col>9</xdr:col>
                    <xdr:colOff>228600</xdr:colOff>
                    <xdr:row>30</xdr:row>
                    <xdr:rowOff>22860</xdr:rowOff>
                  </from>
                  <to>
                    <xdr:col>12</xdr:col>
                    <xdr:colOff>251460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7" r:id="rId29" name="Button 263">
              <controlPr defaultSize="0" autoFill="0" autoPict="0" macro="[0]!LocalDisk_128GB_preconfig" altText="Clear Config">
                <anchor>
                  <from>
                    <xdr:col>13</xdr:col>
                    <xdr:colOff>144780</xdr:colOff>
                    <xdr:row>30</xdr:row>
                    <xdr:rowOff>22860</xdr:rowOff>
                  </from>
                  <to>
                    <xdr:col>16</xdr:col>
                    <xdr:colOff>609600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8" r:id="rId30" name="Button 264">
              <controlPr defaultSize="0" autoFill="0" autoPict="0" macro="[0]!LocalDisk_256GB_preconfig" altText="Clear Config">
                <anchor>
                  <from>
                    <xdr:col>9</xdr:col>
                    <xdr:colOff>251460</xdr:colOff>
                    <xdr:row>32</xdr:row>
                    <xdr:rowOff>99060</xdr:rowOff>
                  </from>
                  <to>
                    <xdr:col>12</xdr:col>
                    <xdr:colOff>266700</xdr:colOff>
                    <xdr:row>33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9" r:id="rId31" name="Button 265">
              <controlPr defaultSize="0" autoFill="0" autoPict="0" macro="[0]!LocalDisk_512GB_preconfig" altText="Clear Config">
                <anchor>
                  <from>
                    <xdr:col>13</xdr:col>
                    <xdr:colOff>152400</xdr:colOff>
                    <xdr:row>32</xdr:row>
                    <xdr:rowOff>114300</xdr:rowOff>
                  </from>
                  <to>
                    <xdr:col>16</xdr:col>
                    <xdr:colOff>617220</xdr:colOff>
                    <xdr:row>33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5" r:id="rId32" name="Button 271">
              <controlPr defaultSize="0" autoFill="0" autoPict="0" macro="[0]!LocalDisk_512GB_17TB_preconfig" altText="Clear Config">
                <anchor>
                  <from>
                    <xdr:col>9</xdr:col>
                    <xdr:colOff>236220</xdr:colOff>
                    <xdr:row>35</xdr:row>
                    <xdr:rowOff>0</xdr:rowOff>
                  </from>
                  <to>
                    <xdr:col>12</xdr:col>
                    <xdr:colOff>259080</xdr:colOff>
                    <xdr:row>36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3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lessThanOrEqual" allowBlank="1" showInputMessage="1" showErrorMessage="1" xr:uid="{00000000-0002-0000-0C00-000010000000}">
          <x14:formula1>
            <xm:f>IF($C$5="None",Processor!$H$2,Processor!$H$2:$H$3)</xm:f>
          </x14:formula1>
          <xm:sqref>D5</xm:sqref>
        </x14:dataValidation>
        <x14:dataValidation type="list" allowBlank="1" showInputMessage="1" showErrorMessage="1" xr:uid="{00000000-0002-0000-0C00-000011000000}">
          <x14:formula1>
            <xm:f>'Chassis Type'!$B$2:$B$18</xm:f>
          </x14:formula1>
          <xm:sqref>C4:F4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972F2C"/>
    <pageSetUpPr fitToPage="1"/>
  </sheetPr>
  <dimension ref="A1:J179"/>
  <sheetViews>
    <sheetView showGridLines="0" topLeftCell="A19" zoomScaleNormal="100" workbookViewId="0">
      <pane xSplit="1" topLeftCell="B1" activePane="topRight" state="frozen"/>
      <selection activeCell="E46" sqref="E46"/>
      <selection pane="topRight" activeCell="K50" sqref="K50"/>
    </sheetView>
  </sheetViews>
  <sheetFormatPr defaultColWidth="9.109375" defaultRowHeight="14.4" x14ac:dyDescent="0.3"/>
  <cols>
    <col min="1" max="1" width="84.88671875" style="69" bestFit="1" customWidth="1"/>
    <col min="2" max="2" width="11.33203125" style="71" customWidth="1"/>
    <col min="3" max="3" width="11.5546875" style="71" customWidth="1"/>
    <col min="4" max="4" width="6.33203125" style="71" customWidth="1"/>
    <col min="5" max="5" width="8.109375" style="71" customWidth="1"/>
    <col min="6" max="6" width="6.88671875" style="71" customWidth="1"/>
    <col min="7" max="8" width="7.109375" style="71" customWidth="1"/>
    <col min="9" max="9" width="9" style="71" customWidth="1"/>
    <col min="10" max="10" width="6.6640625" style="66" customWidth="1"/>
    <col min="11" max="16384" width="9.109375" style="66"/>
  </cols>
  <sheetData>
    <row r="1" spans="1:10" x14ac:dyDescent="0.3">
      <c r="A1" s="737" t="s">
        <v>195</v>
      </c>
      <c r="B1" s="738"/>
      <c r="C1" s="738"/>
      <c r="D1" s="738"/>
      <c r="E1" s="738"/>
      <c r="F1" s="738"/>
      <c r="G1" s="738"/>
      <c r="H1" s="738"/>
      <c r="I1" s="738"/>
      <c r="J1" s="738"/>
    </row>
    <row r="2" spans="1:10" s="67" customFormat="1" ht="17.25" customHeight="1" x14ac:dyDescent="0.3">
      <c r="A2" s="128" t="s">
        <v>119</v>
      </c>
      <c r="B2" s="129" t="s">
        <v>201</v>
      </c>
      <c r="C2" s="129" t="s">
        <v>261</v>
      </c>
      <c r="D2" s="136" t="s">
        <v>244</v>
      </c>
      <c r="E2" s="130" t="s">
        <v>120</v>
      </c>
      <c r="F2" s="130" t="s">
        <v>121</v>
      </c>
      <c r="G2" s="129" t="s">
        <v>122</v>
      </c>
      <c r="H2" s="129" t="s">
        <v>5</v>
      </c>
      <c r="I2" s="129" t="s">
        <v>123</v>
      </c>
      <c r="J2" s="176" t="s">
        <v>276</v>
      </c>
    </row>
    <row r="3" spans="1:10" s="68" customFormat="1" x14ac:dyDescent="0.3">
      <c r="A3" s="220" t="s">
        <v>380</v>
      </c>
      <c r="B3" s="432">
        <v>0.53</v>
      </c>
      <c r="C3" s="433">
        <v>110.24000000000001</v>
      </c>
      <c r="D3" s="221">
        <v>1</v>
      </c>
      <c r="E3" s="444">
        <v>1</v>
      </c>
      <c r="F3" s="444">
        <v>4</v>
      </c>
      <c r="G3" s="433">
        <v>3.5</v>
      </c>
      <c r="H3" s="445">
        <v>16</v>
      </c>
      <c r="I3" s="445">
        <v>0</v>
      </c>
      <c r="J3" s="446">
        <v>1</v>
      </c>
    </row>
    <row r="4" spans="1:10" s="68" customFormat="1" x14ac:dyDescent="0.3">
      <c r="A4" s="233" t="s">
        <v>408</v>
      </c>
      <c r="B4" s="432">
        <v>0.53</v>
      </c>
      <c r="C4" s="433">
        <v>110.24000000000001</v>
      </c>
      <c r="D4" s="221">
        <v>2</v>
      </c>
      <c r="E4" s="444">
        <v>1</v>
      </c>
      <c r="F4" s="444">
        <v>4</v>
      </c>
      <c r="G4" s="433">
        <v>3.5</v>
      </c>
      <c r="H4" s="445">
        <v>16</v>
      </c>
      <c r="I4" s="445">
        <v>0</v>
      </c>
      <c r="J4" s="446">
        <v>1</v>
      </c>
    </row>
    <row r="5" spans="1:10" s="68" customFormat="1" x14ac:dyDescent="0.3">
      <c r="A5" s="220" t="s">
        <v>386</v>
      </c>
      <c r="B5" s="432">
        <v>0.99</v>
      </c>
      <c r="C5" s="433">
        <v>205.92</v>
      </c>
      <c r="D5" s="221">
        <v>2</v>
      </c>
      <c r="E5" s="444">
        <v>2</v>
      </c>
      <c r="F5" s="444">
        <v>12</v>
      </c>
      <c r="G5" s="433">
        <v>2.4</v>
      </c>
      <c r="H5" s="445">
        <v>64</v>
      </c>
      <c r="I5" s="445">
        <v>0</v>
      </c>
      <c r="J5" s="446">
        <v>1</v>
      </c>
    </row>
    <row r="6" spans="1:10" s="68" customFormat="1" x14ac:dyDescent="0.3">
      <c r="A6" s="220" t="s">
        <v>387</v>
      </c>
      <c r="B6" s="432">
        <v>1.05</v>
      </c>
      <c r="C6" s="433">
        <v>218.4</v>
      </c>
      <c r="D6" s="221">
        <v>2</v>
      </c>
      <c r="E6" s="444">
        <v>2</v>
      </c>
      <c r="F6" s="444">
        <v>20</v>
      </c>
      <c r="G6" s="433">
        <v>2.2999999999999998</v>
      </c>
      <c r="H6" s="445">
        <v>64</v>
      </c>
      <c r="I6" s="445">
        <v>0</v>
      </c>
      <c r="J6" s="446">
        <v>1</v>
      </c>
    </row>
    <row r="7" spans="1:10" s="68" customFormat="1" x14ac:dyDescent="0.3">
      <c r="A7" s="220" t="s">
        <v>388</v>
      </c>
      <c r="B7" s="432">
        <v>1.21</v>
      </c>
      <c r="C7" s="433">
        <v>251.68</v>
      </c>
      <c r="D7" s="221">
        <v>2</v>
      </c>
      <c r="E7" s="444">
        <v>2</v>
      </c>
      <c r="F7" s="444">
        <v>24</v>
      </c>
      <c r="G7" s="433">
        <v>2.6</v>
      </c>
      <c r="H7" s="445">
        <v>64</v>
      </c>
      <c r="I7" s="445">
        <v>0</v>
      </c>
      <c r="J7" s="446">
        <v>1</v>
      </c>
    </row>
    <row r="8" spans="1:10" s="68" customFormat="1" x14ac:dyDescent="0.3">
      <c r="A8" s="220" t="s">
        <v>389</v>
      </c>
      <c r="B8" s="432">
        <v>1.1200000000000001</v>
      </c>
      <c r="C8" s="433">
        <v>232.96000000000004</v>
      </c>
      <c r="D8" s="221">
        <v>2</v>
      </c>
      <c r="E8" s="444">
        <v>2</v>
      </c>
      <c r="F8" s="444">
        <v>20</v>
      </c>
      <c r="G8" s="433">
        <v>2.2999999999999998</v>
      </c>
      <c r="H8" s="445">
        <v>64</v>
      </c>
      <c r="I8" s="445">
        <v>0</v>
      </c>
      <c r="J8" s="446">
        <v>2</v>
      </c>
    </row>
    <row r="9" spans="1:10" s="68" customFormat="1" x14ac:dyDescent="0.3">
      <c r="A9" s="222" t="s">
        <v>390</v>
      </c>
      <c r="B9" s="434">
        <v>2.27</v>
      </c>
      <c r="C9" s="435">
        <v>472.16</v>
      </c>
      <c r="D9" s="223">
        <v>2</v>
      </c>
      <c r="E9" s="447">
        <v>4</v>
      </c>
      <c r="F9" s="447">
        <v>48</v>
      </c>
      <c r="G9" s="435">
        <v>2.2999999999999998</v>
      </c>
      <c r="H9" s="448">
        <v>256</v>
      </c>
      <c r="I9" s="448">
        <v>0</v>
      </c>
      <c r="J9" s="446">
        <v>4</v>
      </c>
    </row>
    <row r="10" spans="1:10" s="68" customFormat="1" x14ac:dyDescent="0.3">
      <c r="A10" s="220" t="s">
        <v>399</v>
      </c>
      <c r="B10" s="432">
        <v>2.27</v>
      </c>
      <c r="C10" s="433">
        <v>472.16</v>
      </c>
      <c r="D10" s="221">
        <v>3</v>
      </c>
      <c r="E10" s="444">
        <v>4</v>
      </c>
      <c r="F10" s="444">
        <v>48</v>
      </c>
      <c r="G10" s="433">
        <v>2.2999999999999998</v>
      </c>
      <c r="H10" s="445">
        <v>256</v>
      </c>
      <c r="I10" s="445">
        <v>0</v>
      </c>
      <c r="J10" s="446">
        <v>4</v>
      </c>
    </row>
    <row r="11" spans="1:10" s="68" customFormat="1" x14ac:dyDescent="0.3">
      <c r="A11" s="220" t="s">
        <v>391</v>
      </c>
      <c r="B11" s="432">
        <v>2.27</v>
      </c>
      <c r="C11" s="433">
        <v>472.16</v>
      </c>
      <c r="D11" s="221">
        <v>4</v>
      </c>
      <c r="E11" s="444">
        <v>4</v>
      </c>
      <c r="F11" s="444">
        <v>48</v>
      </c>
      <c r="G11" s="433">
        <v>2.2999999999999998</v>
      </c>
      <c r="H11" s="445">
        <v>256</v>
      </c>
      <c r="I11" s="445">
        <v>0</v>
      </c>
      <c r="J11" s="446">
        <v>4</v>
      </c>
    </row>
    <row r="12" spans="1:10" s="68" customFormat="1" x14ac:dyDescent="0.3">
      <c r="A12" s="220" t="s">
        <v>398</v>
      </c>
      <c r="B12" s="432">
        <v>6.02</v>
      </c>
      <c r="C12" s="433">
        <v>1252.1599999999999</v>
      </c>
      <c r="D12" s="221">
        <v>2</v>
      </c>
      <c r="E12" s="444">
        <v>4</v>
      </c>
      <c r="F12" s="444">
        <v>60</v>
      </c>
      <c r="G12" s="433">
        <v>2.8</v>
      </c>
      <c r="H12" s="445">
        <v>6144</v>
      </c>
      <c r="I12" s="445">
        <v>0</v>
      </c>
      <c r="J12" s="446">
        <v>4</v>
      </c>
    </row>
    <row r="13" spans="1:10" s="68" customFormat="1" x14ac:dyDescent="0.3">
      <c r="A13" s="220" t="s">
        <v>400</v>
      </c>
      <c r="B13" s="432">
        <v>2.4700000000000002</v>
      </c>
      <c r="C13" s="433">
        <v>513.76</v>
      </c>
      <c r="D13" s="221">
        <v>2</v>
      </c>
      <c r="E13" s="444">
        <v>2</v>
      </c>
      <c r="F13" s="444">
        <v>24</v>
      </c>
      <c r="G13" s="433">
        <v>2.6</v>
      </c>
      <c r="H13" s="445">
        <v>768</v>
      </c>
      <c r="I13" s="445">
        <v>0</v>
      </c>
      <c r="J13" s="446">
        <v>1</v>
      </c>
    </row>
    <row r="14" spans="1:10" s="68" customFormat="1" x14ac:dyDescent="0.3">
      <c r="A14" s="220" t="s">
        <v>401</v>
      </c>
      <c r="B14" s="432">
        <v>2.4700000000000002</v>
      </c>
      <c r="C14" s="433">
        <v>513.76</v>
      </c>
      <c r="D14" s="221">
        <v>2</v>
      </c>
      <c r="E14" s="444">
        <v>2</v>
      </c>
      <c r="F14" s="444">
        <v>24</v>
      </c>
      <c r="G14" s="433">
        <v>2.6</v>
      </c>
      <c r="H14" s="445">
        <v>768</v>
      </c>
      <c r="I14" s="445">
        <v>0</v>
      </c>
      <c r="J14" s="446">
        <v>1</v>
      </c>
    </row>
    <row r="15" spans="1:10" s="68" customFormat="1" x14ac:dyDescent="0.3">
      <c r="A15" s="220" t="s">
        <v>407</v>
      </c>
      <c r="B15" s="432">
        <v>5.5</v>
      </c>
      <c r="C15" s="433">
        <v>1144</v>
      </c>
      <c r="D15" s="221">
        <v>2</v>
      </c>
      <c r="E15" s="444">
        <v>2</v>
      </c>
      <c r="F15" s="444">
        <v>20</v>
      </c>
      <c r="G15" s="433">
        <v>2.2999999999999998</v>
      </c>
      <c r="H15" s="445">
        <v>64</v>
      </c>
      <c r="I15" s="445">
        <v>4</v>
      </c>
      <c r="J15" s="446">
        <v>2</v>
      </c>
    </row>
    <row r="16" spans="1:10" s="68" customFormat="1" x14ac:dyDescent="0.3">
      <c r="A16" s="233" t="s">
        <v>409</v>
      </c>
      <c r="B16" s="432">
        <v>1.83</v>
      </c>
      <c r="C16" s="433">
        <v>380.64</v>
      </c>
      <c r="D16" s="221">
        <v>2</v>
      </c>
      <c r="E16" s="444">
        <v>2</v>
      </c>
      <c r="F16" s="444">
        <v>28</v>
      </c>
      <c r="G16" s="433">
        <v>2</v>
      </c>
      <c r="H16" s="445">
        <v>256</v>
      </c>
      <c r="I16" s="445">
        <v>0</v>
      </c>
      <c r="J16" s="446">
        <v>1</v>
      </c>
    </row>
    <row r="17" spans="1:10" s="68" customFormat="1" x14ac:dyDescent="0.3">
      <c r="A17" s="336" t="s">
        <v>426</v>
      </c>
      <c r="B17" s="436">
        <v>2.69</v>
      </c>
      <c r="C17" s="437">
        <f>Server_Configs[[#This Row],[Amps]]*208</f>
        <v>559.52</v>
      </c>
      <c r="D17" s="337">
        <v>2</v>
      </c>
      <c r="E17" s="449">
        <v>1</v>
      </c>
      <c r="F17" s="449">
        <v>8</v>
      </c>
      <c r="G17" s="437">
        <v>3.8570000000000002</v>
      </c>
      <c r="H17" s="450">
        <v>32</v>
      </c>
      <c r="I17" s="450">
        <v>0</v>
      </c>
      <c r="J17" s="451">
        <v>2</v>
      </c>
    </row>
    <row r="18" spans="1:10" s="68" customFormat="1" x14ac:dyDescent="0.3">
      <c r="A18" s="336" t="s">
        <v>427</v>
      </c>
      <c r="B18" s="436">
        <v>3.12</v>
      </c>
      <c r="C18" s="437">
        <v>648.96</v>
      </c>
      <c r="D18" s="337">
        <v>2</v>
      </c>
      <c r="E18" s="449">
        <v>1</v>
      </c>
      <c r="F18" s="449">
        <v>10</v>
      </c>
      <c r="G18" s="437">
        <v>3.492</v>
      </c>
      <c r="H18" s="450">
        <v>256</v>
      </c>
      <c r="I18" s="450">
        <v>0</v>
      </c>
      <c r="J18" s="451">
        <v>2</v>
      </c>
    </row>
    <row r="19" spans="1:10" s="68" customFormat="1" x14ac:dyDescent="0.3">
      <c r="A19" s="336" t="s">
        <v>429</v>
      </c>
      <c r="B19" s="436">
        <v>3.32</v>
      </c>
      <c r="C19" s="437">
        <v>690.56</v>
      </c>
      <c r="D19" s="337">
        <v>2</v>
      </c>
      <c r="E19" s="449">
        <v>1</v>
      </c>
      <c r="F19" s="449">
        <v>10</v>
      </c>
      <c r="G19" s="437">
        <v>3.492</v>
      </c>
      <c r="H19" s="450">
        <v>512</v>
      </c>
      <c r="I19" s="450">
        <v>0</v>
      </c>
      <c r="J19" s="451">
        <v>2</v>
      </c>
    </row>
    <row r="20" spans="1:10" s="68" customFormat="1" x14ac:dyDescent="0.3">
      <c r="A20" s="336" t="s">
        <v>428</v>
      </c>
      <c r="B20" s="436">
        <v>3.34</v>
      </c>
      <c r="C20" s="437">
        <v>694.72</v>
      </c>
      <c r="D20" s="337">
        <v>2</v>
      </c>
      <c r="E20" s="449">
        <v>1</v>
      </c>
      <c r="F20" s="449">
        <v>10</v>
      </c>
      <c r="G20" s="437">
        <v>3.492</v>
      </c>
      <c r="H20" s="450">
        <v>512</v>
      </c>
      <c r="I20" s="450">
        <v>0</v>
      </c>
      <c r="J20" s="451">
        <v>2</v>
      </c>
    </row>
    <row r="21" spans="1:10" s="68" customFormat="1" x14ac:dyDescent="0.3">
      <c r="A21" s="339" t="s">
        <v>430</v>
      </c>
      <c r="B21" s="438">
        <v>2.06</v>
      </c>
      <c r="C21" s="439">
        <v>428.48</v>
      </c>
      <c r="D21" s="340">
        <v>2</v>
      </c>
      <c r="E21" s="452">
        <v>2</v>
      </c>
      <c r="F21" s="452">
        <v>16</v>
      </c>
      <c r="G21" s="439">
        <v>2.1</v>
      </c>
      <c r="H21" s="453">
        <v>768</v>
      </c>
      <c r="I21" s="453">
        <v>0</v>
      </c>
      <c r="J21" s="454">
        <v>4</v>
      </c>
    </row>
    <row r="22" spans="1:10" s="68" customFormat="1" x14ac:dyDescent="0.3">
      <c r="A22" s="339" t="s">
        <v>431</v>
      </c>
      <c r="B22" s="438">
        <v>1.1200000000000001</v>
      </c>
      <c r="C22" s="439">
        <v>232.96000000000004</v>
      </c>
      <c r="D22" s="340">
        <v>2</v>
      </c>
      <c r="E22" s="452">
        <v>2</v>
      </c>
      <c r="F22" s="452">
        <v>20</v>
      </c>
      <c r="G22" s="439">
        <v>2.2999999999999998</v>
      </c>
      <c r="H22" s="453">
        <v>64</v>
      </c>
      <c r="I22" s="453">
        <v>0</v>
      </c>
      <c r="J22" s="454">
        <v>2</v>
      </c>
    </row>
    <row r="23" spans="1:10" s="68" customFormat="1" x14ac:dyDescent="0.3">
      <c r="A23" s="339" t="s">
        <v>432</v>
      </c>
      <c r="B23" s="438">
        <v>1.83</v>
      </c>
      <c r="C23" s="439">
        <v>380.64</v>
      </c>
      <c r="D23" s="340">
        <v>2</v>
      </c>
      <c r="E23" s="452">
        <v>2</v>
      </c>
      <c r="F23" s="452">
        <v>28</v>
      </c>
      <c r="G23" s="439">
        <v>2</v>
      </c>
      <c r="H23" s="453">
        <v>256</v>
      </c>
      <c r="I23" s="453">
        <v>0</v>
      </c>
      <c r="J23" s="454">
        <v>1</v>
      </c>
    </row>
    <row r="24" spans="1:10" s="68" customFormat="1" x14ac:dyDescent="0.3">
      <c r="A24" s="233" t="s">
        <v>434</v>
      </c>
      <c r="B24" s="440">
        <v>2.4700000000000002</v>
      </c>
      <c r="C24" s="441">
        <v>513.76</v>
      </c>
      <c r="D24" s="349">
        <v>2</v>
      </c>
      <c r="E24" s="455">
        <v>1</v>
      </c>
      <c r="F24" s="455">
        <v>10</v>
      </c>
      <c r="G24" s="441">
        <v>3.492</v>
      </c>
      <c r="H24" s="456">
        <v>256</v>
      </c>
      <c r="I24" s="456">
        <v>0</v>
      </c>
      <c r="J24" s="457">
        <v>2</v>
      </c>
    </row>
    <row r="25" spans="1:10" s="68" customFormat="1" x14ac:dyDescent="0.3">
      <c r="A25" s="233" t="s">
        <v>435</v>
      </c>
      <c r="B25" s="440">
        <v>2.27</v>
      </c>
      <c r="C25" s="441">
        <v>472.16</v>
      </c>
      <c r="D25" s="349">
        <v>2</v>
      </c>
      <c r="E25" s="455">
        <v>1</v>
      </c>
      <c r="F25" s="455">
        <v>8</v>
      </c>
      <c r="G25" s="441">
        <v>3.8570000000000002</v>
      </c>
      <c r="H25" s="456">
        <v>64</v>
      </c>
      <c r="I25" s="456">
        <v>0</v>
      </c>
      <c r="J25" s="457">
        <v>2</v>
      </c>
    </row>
    <row r="26" spans="1:10" s="68" customFormat="1" x14ac:dyDescent="0.3">
      <c r="A26" s="233" t="s">
        <v>436</v>
      </c>
      <c r="B26" s="440">
        <v>2.82</v>
      </c>
      <c r="C26" s="441">
        <v>586.55999999999995</v>
      </c>
      <c r="D26" s="349">
        <v>2</v>
      </c>
      <c r="E26" s="455">
        <v>1</v>
      </c>
      <c r="F26" s="455">
        <v>10</v>
      </c>
      <c r="G26" s="441">
        <v>3.492</v>
      </c>
      <c r="H26" s="456">
        <v>512</v>
      </c>
      <c r="I26" s="456">
        <v>0</v>
      </c>
      <c r="J26" s="457">
        <v>2</v>
      </c>
    </row>
    <row r="27" spans="1:10" s="68" customFormat="1" x14ac:dyDescent="0.3">
      <c r="A27" s="233" t="s">
        <v>437</v>
      </c>
      <c r="B27" s="440">
        <v>2.84</v>
      </c>
      <c r="C27" s="441">
        <v>590.72</v>
      </c>
      <c r="D27" s="349">
        <v>2</v>
      </c>
      <c r="E27" s="455">
        <v>1</v>
      </c>
      <c r="F27" s="455">
        <v>10</v>
      </c>
      <c r="G27" s="441">
        <v>3.492</v>
      </c>
      <c r="H27" s="456">
        <v>512</v>
      </c>
      <c r="I27" s="456">
        <v>0</v>
      </c>
      <c r="J27" s="457">
        <v>2</v>
      </c>
    </row>
    <row r="28" spans="1:10" s="68" customFormat="1" x14ac:dyDescent="0.3">
      <c r="A28" s="233" t="s">
        <v>442</v>
      </c>
      <c r="B28" s="440">
        <v>1.73</v>
      </c>
      <c r="C28" s="441">
        <v>359.84</v>
      </c>
      <c r="D28" s="349">
        <v>2</v>
      </c>
      <c r="E28" s="455">
        <v>2</v>
      </c>
      <c r="F28" s="455">
        <v>28</v>
      </c>
      <c r="G28" s="441">
        <v>2</v>
      </c>
      <c r="H28" s="456">
        <v>64</v>
      </c>
      <c r="I28" s="456">
        <v>0</v>
      </c>
      <c r="J28" s="457">
        <v>1</v>
      </c>
    </row>
    <row r="29" spans="1:10" s="68" customFormat="1" x14ac:dyDescent="0.3">
      <c r="A29" s="233" t="s">
        <v>439</v>
      </c>
      <c r="B29" s="440">
        <v>1.78</v>
      </c>
      <c r="C29" s="441">
        <v>370.24</v>
      </c>
      <c r="D29" s="349">
        <v>2</v>
      </c>
      <c r="E29" s="455">
        <v>2</v>
      </c>
      <c r="F29" s="455">
        <v>28</v>
      </c>
      <c r="G29" s="441">
        <v>2</v>
      </c>
      <c r="H29" s="456">
        <v>128</v>
      </c>
      <c r="I29" s="456">
        <v>0</v>
      </c>
      <c r="J29" s="457">
        <v>1</v>
      </c>
    </row>
    <row r="30" spans="1:10" s="68" customFormat="1" x14ac:dyDescent="0.3">
      <c r="A30" s="233" t="s">
        <v>441</v>
      </c>
      <c r="B30" s="440">
        <v>1.82</v>
      </c>
      <c r="C30" s="441">
        <v>378.56</v>
      </c>
      <c r="D30" s="349">
        <v>2</v>
      </c>
      <c r="E30" s="455">
        <v>2</v>
      </c>
      <c r="F30" s="455">
        <v>28</v>
      </c>
      <c r="G30" s="441">
        <v>2</v>
      </c>
      <c r="H30" s="456">
        <v>256</v>
      </c>
      <c r="I30" s="456">
        <v>0</v>
      </c>
      <c r="J30" s="457">
        <v>1</v>
      </c>
    </row>
    <row r="31" spans="1:10" s="68" customFormat="1" x14ac:dyDescent="0.3">
      <c r="A31" s="233" t="s">
        <v>443</v>
      </c>
      <c r="B31" s="440">
        <v>2.21</v>
      </c>
      <c r="C31" s="441">
        <v>459.68</v>
      </c>
      <c r="D31" s="349">
        <v>2</v>
      </c>
      <c r="E31" s="455">
        <v>2</v>
      </c>
      <c r="F31" s="455">
        <v>28</v>
      </c>
      <c r="G31" s="441">
        <v>2</v>
      </c>
      <c r="H31" s="456">
        <v>512</v>
      </c>
      <c r="I31" s="456">
        <v>0</v>
      </c>
      <c r="J31" s="457">
        <v>1</v>
      </c>
    </row>
    <row r="32" spans="1:10" s="68" customFormat="1" x14ac:dyDescent="0.3">
      <c r="A32" s="233" t="s">
        <v>461</v>
      </c>
      <c r="B32" s="440">
        <v>5</v>
      </c>
      <c r="C32" s="441">
        <v>1040</v>
      </c>
      <c r="D32" s="349">
        <v>4</v>
      </c>
      <c r="E32" s="455">
        <v>2</v>
      </c>
      <c r="F32" s="455">
        <v>20</v>
      </c>
      <c r="G32" s="441">
        <v>2</v>
      </c>
      <c r="H32" s="456">
        <v>64</v>
      </c>
      <c r="I32" s="456">
        <v>4</v>
      </c>
      <c r="J32" s="457">
        <v>2</v>
      </c>
    </row>
    <row r="33" spans="1:10" s="68" customFormat="1" x14ac:dyDescent="0.3">
      <c r="A33" s="475" t="s">
        <v>498</v>
      </c>
      <c r="B33" s="476">
        <v>6.8</v>
      </c>
      <c r="C33" s="477">
        <v>1414</v>
      </c>
      <c r="D33" s="478">
        <v>4</v>
      </c>
      <c r="E33" s="479">
        <v>2</v>
      </c>
      <c r="F33" s="479">
        <v>0</v>
      </c>
      <c r="G33" s="477">
        <v>0</v>
      </c>
      <c r="H33" s="480">
        <v>0</v>
      </c>
      <c r="I33" s="480">
        <v>0</v>
      </c>
      <c r="J33" s="457">
        <v>4</v>
      </c>
    </row>
    <row r="34" spans="1:10" s="68" customFormat="1" x14ac:dyDescent="0.3">
      <c r="A34" s="412" t="s">
        <v>462</v>
      </c>
      <c r="B34" s="442">
        <v>1.77</v>
      </c>
      <c r="C34" s="443">
        <v>368.16</v>
      </c>
      <c r="D34" s="413">
        <v>2</v>
      </c>
      <c r="E34" s="458">
        <v>2</v>
      </c>
      <c r="F34" s="458">
        <v>24</v>
      </c>
      <c r="G34" s="443">
        <v>2.6</v>
      </c>
      <c r="H34" s="459">
        <v>256</v>
      </c>
      <c r="I34" s="459">
        <v>0</v>
      </c>
      <c r="J34" s="460">
        <v>4</v>
      </c>
    </row>
    <row r="35" spans="1:10" s="68" customFormat="1" x14ac:dyDescent="0.3">
      <c r="A35" s="233" t="s">
        <v>497</v>
      </c>
      <c r="B35" s="440">
        <v>2.76</v>
      </c>
      <c r="C35" s="441">
        <v>575.70000000000005</v>
      </c>
      <c r="D35" s="349">
        <v>2</v>
      </c>
      <c r="E35" s="455">
        <v>2</v>
      </c>
      <c r="F35" s="455">
        <v>12</v>
      </c>
      <c r="G35" s="441">
        <v>2.4</v>
      </c>
      <c r="H35" s="456">
        <v>256</v>
      </c>
      <c r="I35" s="456">
        <v>0</v>
      </c>
      <c r="J35" s="457">
        <v>4</v>
      </c>
    </row>
    <row r="36" spans="1:10" s="68" customFormat="1" x14ac:dyDescent="0.3">
      <c r="A36" s="233" t="s">
        <v>499</v>
      </c>
      <c r="B36" s="440">
        <v>1.66</v>
      </c>
      <c r="C36" s="441">
        <f>Server_Configs[[#This Row],[Amps]]*208</f>
        <v>345.28</v>
      </c>
      <c r="D36" s="349">
        <v>2</v>
      </c>
      <c r="E36" s="455">
        <v>2</v>
      </c>
      <c r="F36" s="455">
        <v>24</v>
      </c>
      <c r="G36" s="441">
        <v>2.6</v>
      </c>
      <c r="H36" s="456">
        <v>256</v>
      </c>
      <c r="I36" s="456">
        <v>0</v>
      </c>
      <c r="J36" s="457">
        <v>1</v>
      </c>
    </row>
    <row r="37" spans="1:10" s="68" customFormat="1" x14ac:dyDescent="0.3">
      <c r="A37" s="233" t="s">
        <v>558</v>
      </c>
      <c r="B37" s="440">
        <v>1.29</v>
      </c>
      <c r="C37" s="441">
        <v>269</v>
      </c>
      <c r="D37" s="349">
        <v>2</v>
      </c>
      <c r="E37" s="455">
        <v>2</v>
      </c>
      <c r="F37" s="455">
        <v>20</v>
      </c>
      <c r="G37" s="441">
        <v>2.2999999999999998</v>
      </c>
      <c r="H37" s="456">
        <v>128</v>
      </c>
      <c r="I37" s="456">
        <v>0</v>
      </c>
      <c r="J37" s="457">
        <v>1</v>
      </c>
    </row>
    <row r="38" spans="1:10" s="68" customFormat="1" x14ac:dyDescent="0.3">
      <c r="A38" s="233" t="s">
        <v>559</v>
      </c>
      <c r="B38" s="440">
        <v>0.69</v>
      </c>
      <c r="C38" s="441">
        <v>143.53</v>
      </c>
      <c r="D38" s="349">
        <v>2</v>
      </c>
      <c r="E38" s="455">
        <v>1</v>
      </c>
      <c r="F38" s="455">
        <v>4</v>
      </c>
      <c r="G38" s="441">
        <v>3.5</v>
      </c>
      <c r="H38" s="456">
        <v>32</v>
      </c>
      <c r="I38" s="456">
        <v>0</v>
      </c>
      <c r="J38" s="457">
        <v>1</v>
      </c>
    </row>
    <row r="39" spans="1:10" s="68" customFormat="1" x14ac:dyDescent="0.3">
      <c r="A39" s="233" t="s">
        <v>515</v>
      </c>
      <c r="B39" s="440">
        <v>0.87</v>
      </c>
      <c r="C39" s="441">
        <v>181.3</v>
      </c>
      <c r="D39" s="349">
        <v>2</v>
      </c>
      <c r="E39" s="455">
        <v>2</v>
      </c>
      <c r="F39" s="455">
        <v>0</v>
      </c>
      <c r="G39" s="441">
        <v>0</v>
      </c>
      <c r="H39" s="456">
        <v>64</v>
      </c>
      <c r="I39" s="456">
        <v>0</v>
      </c>
      <c r="J39" s="457">
        <v>1</v>
      </c>
    </row>
    <row r="40" spans="1:10" s="68" customFormat="1" x14ac:dyDescent="0.3">
      <c r="A40" s="233" t="s">
        <v>516</v>
      </c>
      <c r="B40" s="440">
        <v>1.29</v>
      </c>
      <c r="C40" s="441">
        <v>270.3</v>
      </c>
      <c r="D40" s="349">
        <v>2</v>
      </c>
      <c r="E40" s="455">
        <v>2</v>
      </c>
      <c r="F40" s="455">
        <v>0</v>
      </c>
      <c r="G40" s="441">
        <v>0</v>
      </c>
      <c r="H40" s="456">
        <v>64</v>
      </c>
      <c r="I40" s="456">
        <v>0</v>
      </c>
      <c r="J40" s="457">
        <v>1</v>
      </c>
    </row>
    <row r="41" spans="1:10" s="68" customFormat="1" x14ac:dyDescent="0.3">
      <c r="A41" s="233" t="s">
        <v>517</v>
      </c>
      <c r="B41" s="440">
        <v>1.72</v>
      </c>
      <c r="C41" s="441">
        <v>359.3</v>
      </c>
      <c r="D41" s="349">
        <v>2</v>
      </c>
      <c r="E41" s="455">
        <v>2</v>
      </c>
      <c r="F41" s="455">
        <v>0</v>
      </c>
      <c r="G41" s="441">
        <v>0</v>
      </c>
      <c r="H41" s="456">
        <v>64</v>
      </c>
      <c r="I41" s="456">
        <v>0</v>
      </c>
      <c r="J41" s="457">
        <v>1</v>
      </c>
    </row>
    <row r="42" spans="1:10" s="68" customFormat="1" x14ac:dyDescent="0.3">
      <c r="A42" s="233" t="s">
        <v>524</v>
      </c>
      <c r="B42" s="440">
        <v>1.83</v>
      </c>
      <c r="C42" s="441">
        <v>382.2</v>
      </c>
      <c r="D42" s="349">
        <v>2</v>
      </c>
      <c r="E42" s="455">
        <v>2</v>
      </c>
      <c r="F42" s="455">
        <v>0</v>
      </c>
      <c r="G42" s="441">
        <v>0</v>
      </c>
      <c r="H42" s="456">
        <v>512</v>
      </c>
      <c r="I42" s="456">
        <v>0</v>
      </c>
      <c r="J42" s="457">
        <v>1</v>
      </c>
    </row>
    <row r="43" spans="1:10" s="68" customFormat="1" x14ac:dyDescent="0.3">
      <c r="A43" s="233" t="s">
        <v>561</v>
      </c>
      <c r="B43" s="440">
        <v>2.09</v>
      </c>
      <c r="C43" s="441">
        <v>436.2</v>
      </c>
      <c r="D43" s="349">
        <v>2</v>
      </c>
      <c r="E43" s="455">
        <v>1</v>
      </c>
      <c r="F43" s="455">
        <v>32</v>
      </c>
      <c r="G43" s="441">
        <v>2.1</v>
      </c>
      <c r="H43" s="456">
        <v>768</v>
      </c>
      <c r="I43" s="456">
        <v>0</v>
      </c>
      <c r="J43" s="457">
        <v>1</v>
      </c>
    </row>
    <row r="44" spans="1:10" s="68" customFormat="1" x14ac:dyDescent="0.3">
      <c r="A44" s="233" t="s">
        <v>560</v>
      </c>
      <c r="B44" s="440">
        <v>1.77</v>
      </c>
      <c r="C44" s="441">
        <v>370.2</v>
      </c>
      <c r="D44" s="349">
        <v>2</v>
      </c>
      <c r="E44" s="455">
        <v>1</v>
      </c>
      <c r="F44" s="455">
        <v>32</v>
      </c>
      <c r="G44" s="441">
        <v>2.1</v>
      </c>
      <c r="H44" s="456">
        <v>384</v>
      </c>
      <c r="I44" s="456">
        <v>0</v>
      </c>
      <c r="J44" s="457">
        <v>1</v>
      </c>
    </row>
    <row r="45" spans="1:10" s="68" customFormat="1" x14ac:dyDescent="0.3">
      <c r="A45" s="233" t="s">
        <v>540</v>
      </c>
      <c r="B45" s="440">
        <f>4.79</f>
        <v>4.79</v>
      </c>
      <c r="C45" s="441">
        <f>Server_Configs[[#This Row],[Amps]]*208</f>
        <v>996.32</v>
      </c>
      <c r="D45" s="349">
        <v>8</v>
      </c>
      <c r="E45" s="455">
        <v>8</v>
      </c>
      <c r="F45" s="455">
        <f>16*8</f>
        <v>128</v>
      </c>
      <c r="G45" s="441">
        <v>2.6</v>
      </c>
      <c r="H45" s="456">
        <v>8192</v>
      </c>
      <c r="I45" s="456">
        <v>0</v>
      </c>
      <c r="J45" s="457">
        <v>8</v>
      </c>
    </row>
    <row r="46" spans="1:10" s="68" customFormat="1" x14ac:dyDescent="0.3">
      <c r="A46" s="233" t="s">
        <v>542</v>
      </c>
      <c r="B46" s="440">
        <v>0.78</v>
      </c>
      <c r="C46" s="441">
        <v>163.28</v>
      </c>
      <c r="D46" s="349">
        <v>2</v>
      </c>
      <c r="E46" s="455">
        <v>0</v>
      </c>
      <c r="F46" s="455">
        <v>0</v>
      </c>
      <c r="G46" s="441">
        <v>0</v>
      </c>
      <c r="H46" s="456">
        <v>0</v>
      </c>
      <c r="I46" s="456">
        <v>0</v>
      </c>
      <c r="J46" s="457">
        <v>2</v>
      </c>
    </row>
    <row r="47" spans="1:10" s="68" customFormat="1" x14ac:dyDescent="0.3">
      <c r="A47" s="233" t="s">
        <v>552</v>
      </c>
      <c r="B47" s="440">
        <v>1.31</v>
      </c>
      <c r="C47" s="441">
        <v>273.2</v>
      </c>
      <c r="D47" s="349">
        <v>2</v>
      </c>
      <c r="E47" s="455">
        <v>2</v>
      </c>
      <c r="F47" s="455">
        <v>28</v>
      </c>
      <c r="G47" s="441">
        <v>2</v>
      </c>
      <c r="H47" s="456">
        <v>128</v>
      </c>
      <c r="I47" s="456">
        <v>0</v>
      </c>
      <c r="J47" s="457">
        <v>1</v>
      </c>
    </row>
    <row r="48" spans="1:10" s="68" customFormat="1" x14ac:dyDescent="0.3">
      <c r="A48" s="233" t="s">
        <v>554</v>
      </c>
      <c r="B48" s="440">
        <v>3.12</v>
      </c>
      <c r="C48" s="441">
        <v>650.20000000000005</v>
      </c>
      <c r="D48" s="349">
        <v>2</v>
      </c>
      <c r="E48" s="455">
        <v>2</v>
      </c>
      <c r="F48" s="455">
        <v>36</v>
      </c>
      <c r="G48" s="441">
        <v>2.2999999999999998</v>
      </c>
      <c r="H48" s="456">
        <v>384</v>
      </c>
      <c r="I48" s="456">
        <v>2</v>
      </c>
      <c r="J48" s="457">
        <v>2</v>
      </c>
    </row>
    <row r="49" spans="1:10" s="68" customFormat="1" x14ac:dyDescent="0.3">
      <c r="A49" s="233" t="s">
        <v>555</v>
      </c>
      <c r="B49" s="440">
        <v>8.76</v>
      </c>
      <c r="C49" s="441">
        <v>1822.5</v>
      </c>
      <c r="D49" s="349">
        <v>4</v>
      </c>
      <c r="E49" s="455">
        <v>0</v>
      </c>
      <c r="F49" s="455">
        <v>0</v>
      </c>
      <c r="G49" s="441">
        <v>0</v>
      </c>
      <c r="H49" s="456">
        <v>0</v>
      </c>
      <c r="I49" s="456">
        <v>8</v>
      </c>
      <c r="J49" s="457">
        <v>4</v>
      </c>
    </row>
    <row r="50" spans="1:10" s="68" customFormat="1" x14ac:dyDescent="0.3">
      <c r="A50" s="233" t="s">
        <v>565</v>
      </c>
      <c r="B50" s="440">
        <v>2.27</v>
      </c>
      <c r="C50" s="441">
        <v>473.7</v>
      </c>
      <c r="D50" s="349">
        <v>2</v>
      </c>
      <c r="E50" s="455">
        <v>2</v>
      </c>
      <c r="F50" s="455">
        <v>40</v>
      </c>
      <c r="G50" s="441">
        <v>2.4</v>
      </c>
      <c r="H50" s="456">
        <v>768</v>
      </c>
      <c r="I50" s="456">
        <v>0</v>
      </c>
      <c r="J50" s="457">
        <v>1</v>
      </c>
    </row>
    <row r="51" spans="1:10" s="68" customFormat="1" x14ac:dyDescent="0.3">
      <c r="A51" s="69"/>
      <c r="B51" s="70"/>
      <c r="C51" s="70"/>
      <c r="D51" s="70"/>
      <c r="E51" s="70"/>
      <c r="F51" s="70"/>
      <c r="G51" s="70"/>
      <c r="H51" s="70"/>
      <c r="I51" s="70"/>
    </row>
    <row r="52" spans="1:10" s="68" customFormat="1" x14ac:dyDescent="0.3">
      <c r="A52" s="69"/>
      <c r="B52" s="70"/>
      <c r="C52" s="70"/>
      <c r="D52" s="70"/>
      <c r="E52" s="70"/>
      <c r="F52" s="70"/>
      <c r="G52" s="70"/>
      <c r="H52" s="70"/>
      <c r="I52" s="70"/>
    </row>
    <row r="53" spans="1:10" s="68" customFormat="1" x14ac:dyDescent="0.3">
      <c r="A53" s="69"/>
      <c r="B53" s="70"/>
      <c r="C53" s="70"/>
      <c r="D53" s="70"/>
      <c r="E53" s="70"/>
      <c r="F53" s="70"/>
      <c r="G53" s="70"/>
      <c r="H53" s="70"/>
      <c r="I53" s="70"/>
    </row>
    <row r="54" spans="1:10" s="68" customFormat="1" x14ac:dyDescent="0.3">
      <c r="A54" s="69"/>
      <c r="B54" s="70"/>
      <c r="C54" s="70"/>
      <c r="D54" s="70"/>
      <c r="E54" s="70"/>
      <c r="F54" s="70"/>
      <c r="G54" s="70"/>
      <c r="H54" s="70"/>
      <c r="I54" s="70"/>
    </row>
    <row r="55" spans="1:10" s="68" customFormat="1" x14ac:dyDescent="0.3">
      <c r="A55" s="69"/>
      <c r="B55" s="70"/>
      <c r="C55" s="70"/>
      <c r="D55" s="70"/>
      <c r="E55" s="70"/>
      <c r="F55" s="70"/>
      <c r="G55" s="70"/>
      <c r="H55" s="70"/>
      <c r="I55" s="70"/>
    </row>
    <row r="56" spans="1:10" s="68" customFormat="1" x14ac:dyDescent="0.3">
      <c r="A56" s="69"/>
      <c r="B56" s="70"/>
      <c r="C56" s="70"/>
      <c r="D56" s="70"/>
      <c r="E56" s="70"/>
      <c r="F56" s="70"/>
      <c r="G56" s="70"/>
      <c r="H56" s="70"/>
      <c r="I56" s="70"/>
    </row>
    <row r="57" spans="1:10" s="68" customFormat="1" x14ac:dyDescent="0.3">
      <c r="A57" s="69"/>
      <c r="B57" s="70"/>
      <c r="C57" s="70"/>
      <c r="D57" s="70"/>
      <c r="E57" s="70"/>
      <c r="F57" s="70"/>
      <c r="G57" s="70"/>
      <c r="H57" s="70"/>
      <c r="I57" s="70"/>
    </row>
    <row r="58" spans="1:10" s="68" customFormat="1" x14ac:dyDescent="0.3">
      <c r="A58" s="69"/>
      <c r="B58" s="70"/>
      <c r="C58" s="70"/>
      <c r="D58" s="70"/>
      <c r="E58" s="70"/>
      <c r="F58" s="70"/>
      <c r="G58" s="70"/>
      <c r="H58" s="70"/>
      <c r="I58" s="70"/>
    </row>
    <row r="59" spans="1:10" s="68" customFormat="1" x14ac:dyDescent="0.3">
      <c r="A59" s="69"/>
      <c r="B59" s="70"/>
      <c r="C59" s="70"/>
      <c r="D59" s="70"/>
      <c r="E59" s="70"/>
      <c r="F59" s="70"/>
      <c r="G59" s="70"/>
      <c r="H59" s="70"/>
      <c r="I59" s="70"/>
    </row>
    <row r="60" spans="1:10" s="68" customFormat="1" x14ac:dyDescent="0.3">
      <c r="A60" s="69"/>
      <c r="B60" s="70"/>
      <c r="C60" s="70"/>
      <c r="D60" s="70"/>
      <c r="E60" s="70"/>
      <c r="F60" s="70"/>
      <c r="G60" s="70"/>
      <c r="H60" s="70"/>
      <c r="I60" s="70"/>
    </row>
    <row r="61" spans="1:10" s="68" customFormat="1" x14ac:dyDescent="0.3">
      <c r="A61" s="69"/>
      <c r="B61" s="70"/>
      <c r="C61" s="70"/>
      <c r="D61" s="70"/>
      <c r="E61" s="70"/>
      <c r="F61" s="70"/>
      <c r="G61" s="70"/>
      <c r="H61" s="70"/>
      <c r="I61" s="70"/>
    </row>
    <row r="62" spans="1:10" s="68" customFormat="1" x14ac:dyDescent="0.3">
      <c r="A62" s="69"/>
      <c r="B62" s="70"/>
      <c r="C62" s="70"/>
      <c r="D62" s="70"/>
      <c r="E62" s="70"/>
      <c r="F62" s="70"/>
      <c r="G62" s="70"/>
      <c r="H62" s="70"/>
      <c r="I62" s="70"/>
    </row>
    <row r="63" spans="1:10" s="68" customFormat="1" x14ac:dyDescent="0.3">
      <c r="A63" s="69"/>
      <c r="B63" s="70"/>
      <c r="C63" s="70"/>
      <c r="D63" s="70"/>
      <c r="E63" s="70"/>
      <c r="F63" s="70"/>
      <c r="G63" s="70"/>
      <c r="H63" s="70"/>
      <c r="I63" s="70"/>
    </row>
    <row r="64" spans="1:10" s="68" customFormat="1" x14ac:dyDescent="0.3">
      <c r="A64" s="69"/>
      <c r="B64" s="70"/>
      <c r="C64" s="70"/>
      <c r="D64" s="70"/>
      <c r="E64" s="70"/>
      <c r="F64" s="70"/>
      <c r="G64" s="70"/>
      <c r="H64" s="70"/>
      <c r="I64" s="70"/>
    </row>
    <row r="65" spans="1:9" s="68" customFormat="1" x14ac:dyDescent="0.3">
      <c r="A65" s="69"/>
      <c r="B65" s="70"/>
      <c r="C65" s="70"/>
      <c r="D65" s="70"/>
      <c r="E65" s="70"/>
      <c r="F65" s="70"/>
      <c r="G65" s="70"/>
      <c r="H65" s="70"/>
      <c r="I65" s="70"/>
    </row>
    <row r="66" spans="1:9" s="68" customFormat="1" x14ac:dyDescent="0.3">
      <c r="A66" s="69"/>
      <c r="B66" s="70"/>
      <c r="C66" s="70"/>
      <c r="D66" s="70"/>
      <c r="E66" s="70"/>
      <c r="F66" s="70"/>
      <c r="G66" s="70"/>
      <c r="H66" s="70"/>
      <c r="I66" s="70"/>
    </row>
    <row r="67" spans="1:9" s="68" customFormat="1" x14ac:dyDescent="0.3">
      <c r="A67" s="69"/>
      <c r="B67" s="70"/>
      <c r="C67" s="70"/>
      <c r="D67" s="70"/>
      <c r="E67" s="70"/>
      <c r="F67" s="70"/>
      <c r="G67" s="70"/>
      <c r="H67" s="70"/>
      <c r="I67" s="70"/>
    </row>
    <row r="68" spans="1:9" s="68" customFormat="1" x14ac:dyDescent="0.3">
      <c r="A68" s="69"/>
      <c r="B68" s="70"/>
      <c r="C68" s="70"/>
      <c r="D68" s="70"/>
      <c r="E68" s="70"/>
      <c r="F68" s="70"/>
      <c r="G68" s="70"/>
      <c r="H68" s="70"/>
      <c r="I68" s="70"/>
    </row>
    <row r="69" spans="1:9" s="68" customFormat="1" x14ac:dyDescent="0.3">
      <c r="A69" s="69"/>
      <c r="B69" s="70"/>
      <c r="C69" s="70"/>
      <c r="D69" s="70"/>
      <c r="E69" s="70"/>
      <c r="F69" s="70"/>
      <c r="G69" s="70"/>
      <c r="H69" s="70"/>
      <c r="I69" s="70"/>
    </row>
    <row r="70" spans="1:9" s="68" customFormat="1" x14ac:dyDescent="0.3">
      <c r="A70" s="69"/>
      <c r="B70" s="70"/>
      <c r="C70" s="70"/>
      <c r="D70" s="70"/>
      <c r="E70" s="70"/>
      <c r="F70" s="70"/>
      <c r="G70" s="70"/>
      <c r="H70" s="70"/>
      <c r="I70" s="70"/>
    </row>
    <row r="71" spans="1:9" s="68" customFormat="1" x14ac:dyDescent="0.3">
      <c r="A71" s="69"/>
      <c r="B71" s="70"/>
      <c r="C71" s="70"/>
      <c r="D71" s="70"/>
      <c r="E71" s="70"/>
      <c r="F71" s="70"/>
      <c r="G71" s="70"/>
      <c r="H71" s="70"/>
      <c r="I71" s="70"/>
    </row>
    <row r="72" spans="1:9" s="68" customFormat="1" x14ac:dyDescent="0.3">
      <c r="A72" s="69"/>
      <c r="B72" s="70"/>
      <c r="C72" s="70"/>
      <c r="D72" s="70"/>
      <c r="E72" s="70"/>
      <c r="F72" s="70"/>
      <c r="G72" s="70"/>
      <c r="H72" s="70"/>
      <c r="I72" s="70"/>
    </row>
    <row r="73" spans="1:9" s="68" customFormat="1" x14ac:dyDescent="0.3">
      <c r="A73" s="69"/>
      <c r="B73" s="70"/>
      <c r="C73" s="70"/>
      <c r="D73" s="70"/>
      <c r="E73" s="70"/>
      <c r="F73" s="70"/>
      <c r="G73" s="70"/>
      <c r="H73" s="70"/>
      <c r="I73" s="70"/>
    </row>
    <row r="74" spans="1:9" s="68" customFormat="1" x14ac:dyDescent="0.3">
      <c r="A74" s="69"/>
      <c r="B74" s="70"/>
      <c r="C74" s="70"/>
      <c r="D74" s="70"/>
      <c r="E74" s="70"/>
      <c r="F74" s="70"/>
      <c r="G74" s="70"/>
      <c r="H74" s="70"/>
      <c r="I74" s="70"/>
    </row>
    <row r="75" spans="1:9" s="68" customFormat="1" x14ac:dyDescent="0.3">
      <c r="A75" s="69"/>
      <c r="B75" s="70"/>
      <c r="C75" s="70"/>
      <c r="D75" s="70"/>
      <c r="E75" s="70"/>
      <c r="F75" s="70"/>
      <c r="G75" s="70"/>
      <c r="H75" s="70"/>
      <c r="I75" s="70"/>
    </row>
    <row r="76" spans="1:9" s="68" customFormat="1" x14ac:dyDescent="0.3">
      <c r="A76" s="69"/>
      <c r="B76" s="70"/>
      <c r="C76" s="70"/>
      <c r="D76" s="70"/>
      <c r="E76" s="70"/>
      <c r="F76" s="70"/>
      <c r="G76" s="70"/>
      <c r="H76" s="70"/>
      <c r="I76" s="70"/>
    </row>
    <row r="77" spans="1:9" s="68" customFormat="1" x14ac:dyDescent="0.3">
      <c r="A77" s="69"/>
      <c r="B77" s="70"/>
      <c r="C77" s="70"/>
      <c r="D77" s="70"/>
      <c r="E77" s="70"/>
      <c r="F77" s="70"/>
      <c r="G77" s="70"/>
      <c r="H77" s="70"/>
      <c r="I77" s="70"/>
    </row>
    <row r="78" spans="1:9" s="68" customFormat="1" x14ac:dyDescent="0.3">
      <c r="A78" s="69"/>
      <c r="B78" s="70"/>
      <c r="C78" s="70"/>
      <c r="D78" s="70"/>
      <c r="E78" s="70"/>
      <c r="F78" s="70"/>
      <c r="G78" s="70"/>
      <c r="H78" s="70"/>
      <c r="I78" s="70"/>
    </row>
    <row r="79" spans="1:9" s="68" customFormat="1" x14ac:dyDescent="0.3">
      <c r="A79" s="69"/>
      <c r="B79" s="70"/>
      <c r="C79" s="70"/>
      <c r="D79" s="70"/>
      <c r="E79" s="70"/>
      <c r="F79" s="70"/>
      <c r="G79" s="70"/>
      <c r="H79" s="70"/>
      <c r="I79" s="70"/>
    </row>
    <row r="80" spans="1:9" s="68" customFormat="1" x14ac:dyDescent="0.3">
      <c r="A80" s="69"/>
      <c r="B80" s="70"/>
      <c r="C80" s="70"/>
      <c r="D80" s="70"/>
      <c r="E80" s="70"/>
      <c r="F80" s="70"/>
      <c r="G80" s="70"/>
      <c r="H80" s="70"/>
      <c r="I80" s="70"/>
    </row>
    <row r="81" spans="1:9" s="68" customFormat="1" x14ac:dyDescent="0.3">
      <c r="A81" s="69"/>
      <c r="B81" s="70"/>
      <c r="C81" s="70"/>
      <c r="D81" s="70"/>
      <c r="E81" s="70"/>
      <c r="F81" s="70"/>
      <c r="G81" s="70"/>
      <c r="H81" s="70"/>
      <c r="I81" s="70"/>
    </row>
    <row r="82" spans="1:9" s="68" customFormat="1" x14ac:dyDescent="0.3">
      <c r="A82" s="69"/>
      <c r="B82" s="70"/>
      <c r="C82" s="70"/>
      <c r="D82" s="70"/>
      <c r="E82" s="70"/>
      <c r="F82" s="70"/>
      <c r="G82" s="70"/>
      <c r="H82" s="70"/>
      <c r="I82" s="70"/>
    </row>
    <row r="83" spans="1:9" s="68" customFormat="1" x14ac:dyDescent="0.3">
      <c r="A83" s="69"/>
      <c r="B83" s="70"/>
      <c r="C83" s="70"/>
      <c r="D83" s="70"/>
      <c r="E83" s="70"/>
      <c r="F83" s="70"/>
      <c r="G83" s="70"/>
      <c r="H83" s="70"/>
      <c r="I83" s="70"/>
    </row>
    <row r="84" spans="1:9" s="68" customFormat="1" x14ac:dyDescent="0.3">
      <c r="A84" s="69"/>
      <c r="B84" s="70"/>
      <c r="C84" s="70"/>
      <c r="D84" s="70"/>
      <c r="E84" s="70"/>
      <c r="F84" s="70"/>
      <c r="G84" s="70"/>
      <c r="H84" s="70"/>
      <c r="I84" s="70"/>
    </row>
    <row r="85" spans="1:9" s="68" customFormat="1" x14ac:dyDescent="0.3">
      <c r="A85" s="69"/>
      <c r="B85" s="70"/>
      <c r="C85" s="70"/>
      <c r="D85" s="70"/>
      <c r="E85" s="70"/>
      <c r="F85" s="70"/>
      <c r="G85" s="70"/>
      <c r="H85" s="70"/>
      <c r="I85" s="70"/>
    </row>
    <row r="86" spans="1:9" s="68" customFormat="1" x14ac:dyDescent="0.3">
      <c r="A86" s="69"/>
      <c r="B86" s="70"/>
      <c r="C86" s="70"/>
      <c r="D86" s="70"/>
      <c r="E86" s="70"/>
      <c r="F86" s="70"/>
      <c r="G86" s="70"/>
      <c r="H86" s="70"/>
      <c r="I86" s="70"/>
    </row>
    <row r="87" spans="1:9" s="68" customFormat="1" x14ac:dyDescent="0.3">
      <c r="A87" s="69"/>
      <c r="B87" s="70"/>
      <c r="C87" s="70"/>
      <c r="D87" s="70"/>
      <c r="E87" s="70"/>
      <c r="F87" s="70"/>
      <c r="G87" s="70"/>
      <c r="H87" s="70"/>
      <c r="I87" s="70"/>
    </row>
    <row r="88" spans="1:9" s="68" customFormat="1" x14ac:dyDescent="0.3">
      <c r="A88" s="69"/>
      <c r="B88" s="70"/>
      <c r="C88" s="70"/>
      <c r="D88" s="70"/>
      <c r="E88" s="70"/>
      <c r="F88" s="70"/>
      <c r="G88" s="70"/>
      <c r="H88" s="70"/>
      <c r="I88" s="70"/>
    </row>
    <row r="89" spans="1:9" s="68" customFormat="1" x14ac:dyDescent="0.3">
      <c r="A89" s="69"/>
      <c r="B89" s="70"/>
      <c r="C89" s="70"/>
      <c r="D89" s="70"/>
      <c r="E89" s="70"/>
      <c r="F89" s="70"/>
      <c r="G89" s="70"/>
      <c r="H89" s="70"/>
      <c r="I89" s="70"/>
    </row>
    <row r="90" spans="1:9" s="68" customFormat="1" x14ac:dyDescent="0.3">
      <c r="A90" s="69"/>
      <c r="B90" s="70"/>
      <c r="C90" s="70"/>
      <c r="D90" s="70"/>
      <c r="E90" s="70"/>
      <c r="F90" s="70"/>
      <c r="G90" s="70"/>
      <c r="H90" s="70"/>
      <c r="I90" s="70"/>
    </row>
    <row r="91" spans="1:9" s="68" customFormat="1" x14ac:dyDescent="0.3">
      <c r="A91" s="69"/>
      <c r="B91" s="70"/>
      <c r="C91" s="70"/>
      <c r="D91" s="70"/>
      <c r="E91" s="70"/>
      <c r="F91" s="70"/>
      <c r="G91" s="70"/>
      <c r="H91" s="70"/>
      <c r="I91" s="70"/>
    </row>
    <row r="92" spans="1:9" s="68" customFormat="1" x14ac:dyDescent="0.3">
      <c r="A92" s="69"/>
      <c r="B92" s="70"/>
      <c r="C92" s="70"/>
      <c r="D92" s="70"/>
      <c r="E92" s="70"/>
      <c r="F92" s="70"/>
      <c r="G92" s="70"/>
      <c r="H92" s="70"/>
      <c r="I92" s="70"/>
    </row>
    <row r="93" spans="1:9" s="68" customFormat="1" x14ac:dyDescent="0.3">
      <c r="A93" s="69"/>
      <c r="B93" s="70"/>
      <c r="C93" s="70"/>
      <c r="D93" s="70"/>
      <c r="E93" s="70"/>
      <c r="F93" s="70"/>
      <c r="G93" s="70"/>
      <c r="H93" s="70"/>
      <c r="I93" s="70"/>
    </row>
    <row r="94" spans="1:9" s="68" customFormat="1" x14ac:dyDescent="0.3">
      <c r="A94" s="69"/>
      <c r="B94" s="70"/>
      <c r="C94" s="70"/>
      <c r="D94" s="70"/>
      <c r="E94" s="70"/>
      <c r="F94" s="70"/>
      <c r="G94" s="70"/>
      <c r="H94" s="70"/>
      <c r="I94" s="70"/>
    </row>
    <row r="95" spans="1:9" s="68" customFormat="1" x14ac:dyDescent="0.3">
      <c r="A95" s="69"/>
      <c r="B95" s="70"/>
      <c r="C95" s="70"/>
      <c r="D95" s="70"/>
      <c r="E95" s="70"/>
      <c r="F95" s="70"/>
      <c r="G95" s="70"/>
      <c r="H95" s="70"/>
      <c r="I95" s="70"/>
    </row>
    <row r="96" spans="1:9" s="68" customFormat="1" x14ac:dyDescent="0.3">
      <c r="A96" s="69"/>
      <c r="B96" s="70"/>
      <c r="C96" s="70"/>
      <c r="D96" s="70"/>
      <c r="E96" s="70"/>
      <c r="F96" s="70"/>
      <c r="G96" s="70"/>
      <c r="H96" s="70"/>
      <c r="I96" s="70"/>
    </row>
    <row r="97" spans="1:9" s="68" customFormat="1" x14ac:dyDescent="0.3">
      <c r="A97" s="69"/>
      <c r="B97" s="70"/>
      <c r="C97" s="70"/>
      <c r="D97" s="70"/>
      <c r="E97" s="70"/>
      <c r="F97" s="70"/>
      <c r="G97" s="70"/>
      <c r="H97" s="70"/>
      <c r="I97" s="70"/>
    </row>
    <row r="98" spans="1:9" s="68" customFormat="1" x14ac:dyDescent="0.3">
      <c r="A98" s="69"/>
      <c r="B98" s="70"/>
      <c r="C98" s="70"/>
      <c r="D98" s="70"/>
      <c r="E98" s="70"/>
      <c r="F98" s="70"/>
      <c r="G98" s="70"/>
      <c r="H98" s="70"/>
      <c r="I98" s="70"/>
    </row>
    <row r="99" spans="1:9" s="68" customFormat="1" x14ac:dyDescent="0.3">
      <c r="A99" s="69"/>
      <c r="B99" s="70"/>
      <c r="C99" s="70"/>
      <c r="D99" s="70"/>
      <c r="E99" s="70"/>
      <c r="F99" s="70"/>
      <c r="G99" s="70"/>
      <c r="H99" s="70"/>
      <c r="I99" s="70"/>
    </row>
    <row r="100" spans="1:9" s="68" customFormat="1" x14ac:dyDescent="0.3">
      <c r="A100" s="69"/>
      <c r="B100" s="70"/>
      <c r="C100" s="70"/>
      <c r="D100" s="70"/>
      <c r="E100" s="70"/>
      <c r="F100" s="70"/>
      <c r="G100" s="70"/>
      <c r="H100" s="70"/>
      <c r="I100" s="70"/>
    </row>
    <row r="101" spans="1:9" s="68" customFormat="1" x14ac:dyDescent="0.3">
      <c r="A101" s="69"/>
      <c r="B101" s="70"/>
      <c r="C101" s="70"/>
      <c r="D101" s="70"/>
      <c r="E101" s="70"/>
      <c r="F101" s="70"/>
      <c r="G101" s="70"/>
      <c r="H101" s="70"/>
      <c r="I101" s="70"/>
    </row>
    <row r="102" spans="1:9" s="68" customFormat="1" x14ac:dyDescent="0.3">
      <c r="A102" s="69"/>
      <c r="B102" s="70"/>
      <c r="C102" s="70"/>
      <c r="D102" s="70"/>
      <c r="E102" s="70"/>
      <c r="F102" s="70"/>
      <c r="G102" s="70"/>
      <c r="H102" s="70"/>
      <c r="I102" s="70"/>
    </row>
    <row r="103" spans="1:9" s="68" customFormat="1" x14ac:dyDescent="0.3">
      <c r="A103" s="69"/>
      <c r="B103" s="70"/>
      <c r="C103" s="70"/>
      <c r="D103" s="70"/>
      <c r="E103" s="70"/>
      <c r="F103" s="70"/>
      <c r="G103" s="70"/>
      <c r="H103" s="70"/>
      <c r="I103" s="70"/>
    </row>
    <row r="104" spans="1:9" s="68" customFormat="1" x14ac:dyDescent="0.3">
      <c r="A104" s="69"/>
      <c r="B104" s="70"/>
      <c r="C104" s="70"/>
      <c r="D104" s="70"/>
      <c r="E104" s="70"/>
      <c r="F104" s="70"/>
      <c r="G104" s="70"/>
      <c r="H104" s="70"/>
      <c r="I104" s="70"/>
    </row>
    <row r="105" spans="1:9" s="68" customFormat="1" x14ac:dyDescent="0.3">
      <c r="A105" s="69"/>
      <c r="B105" s="70"/>
      <c r="C105" s="70"/>
      <c r="D105" s="70"/>
      <c r="E105" s="70"/>
      <c r="F105" s="70"/>
      <c r="G105" s="70"/>
      <c r="H105" s="70"/>
      <c r="I105" s="70"/>
    </row>
    <row r="106" spans="1:9" s="68" customFormat="1" x14ac:dyDescent="0.3">
      <c r="A106" s="69"/>
      <c r="B106" s="70"/>
      <c r="C106" s="70"/>
      <c r="D106" s="70"/>
      <c r="E106" s="70"/>
      <c r="F106" s="70"/>
      <c r="G106" s="70"/>
      <c r="H106" s="70"/>
      <c r="I106" s="70"/>
    </row>
    <row r="107" spans="1:9" s="68" customFormat="1" x14ac:dyDescent="0.3">
      <c r="A107" s="69"/>
      <c r="B107" s="70"/>
      <c r="C107" s="70"/>
      <c r="D107" s="70"/>
      <c r="E107" s="70"/>
      <c r="F107" s="70"/>
      <c r="G107" s="70"/>
      <c r="H107" s="70"/>
      <c r="I107" s="70"/>
    </row>
    <row r="108" spans="1:9" s="68" customFormat="1" x14ac:dyDescent="0.3">
      <c r="A108" s="69"/>
      <c r="B108" s="70"/>
      <c r="C108" s="70"/>
      <c r="D108" s="70"/>
      <c r="E108" s="70"/>
      <c r="F108" s="70"/>
      <c r="G108" s="70"/>
      <c r="H108" s="70"/>
      <c r="I108" s="70"/>
    </row>
    <row r="109" spans="1:9" s="68" customFormat="1" x14ac:dyDescent="0.3">
      <c r="A109" s="69"/>
      <c r="B109" s="70"/>
      <c r="C109" s="70"/>
      <c r="D109" s="70"/>
      <c r="E109" s="70"/>
      <c r="F109" s="70"/>
      <c r="G109" s="70"/>
      <c r="H109" s="70"/>
      <c r="I109" s="70"/>
    </row>
    <row r="110" spans="1:9" s="68" customFormat="1" x14ac:dyDescent="0.3">
      <c r="A110" s="69"/>
      <c r="B110" s="70"/>
      <c r="C110" s="70"/>
      <c r="D110" s="70"/>
      <c r="E110" s="70"/>
      <c r="F110" s="70"/>
      <c r="G110" s="70"/>
      <c r="H110" s="70"/>
      <c r="I110" s="70"/>
    </row>
    <row r="111" spans="1:9" s="68" customFormat="1" x14ac:dyDescent="0.3">
      <c r="A111" s="69"/>
      <c r="B111" s="70"/>
      <c r="C111" s="70"/>
      <c r="D111" s="70"/>
      <c r="E111" s="70"/>
      <c r="F111" s="70"/>
      <c r="G111" s="70"/>
      <c r="H111" s="70"/>
      <c r="I111" s="70"/>
    </row>
    <row r="112" spans="1:9" s="68" customFormat="1" x14ac:dyDescent="0.3">
      <c r="A112" s="69"/>
      <c r="B112" s="70"/>
      <c r="C112" s="70"/>
      <c r="D112" s="70"/>
      <c r="E112" s="70"/>
      <c r="F112" s="70"/>
      <c r="G112" s="70"/>
      <c r="H112" s="70"/>
      <c r="I112" s="70"/>
    </row>
    <row r="113" spans="1:9" s="68" customFormat="1" x14ac:dyDescent="0.3">
      <c r="A113" s="69"/>
      <c r="B113" s="70"/>
      <c r="C113" s="70"/>
      <c r="D113" s="70"/>
      <c r="E113" s="70"/>
      <c r="F113" s="70"/>
      <c r="G113" s="70"/>
      <c r="H113" s="70"/>
      <c r="I113" s="70"/>
    </row>
    <row r="114" spans="1:9" s="68" customFormat="1" x14ac:dyDescent="0.3">
      <c r="A114" s="69"/>
      <c r="B114" s="70"/>
      <c r="C114" s="70"/>
      <c r="D114" s="70"/>
      <c r="E114" s="70"/>
      <c r="F114" s="70"/>
      <c r="G114" s="70"/>
      <c r="H114" s="70"/>
      <c r="I114" s="70"/>
    </row>
    <row r="115" spans="1:9" s="68" customFormat="1" x14ac:dyDescent="0.3">
      <c r="A115" s="69"/>
      <c r="B115" s="70"/>
      <c r="C115" s="70"/>
      <c r="D115" s="70"/>
      <c r="E115" s="70"/>
      <c r="F115" s="70"/>
      <c r="G115" s="70"/>
      <c r="H115" s="70"/>
      <c r="I115" s="70"/>
    </row>
    <row r="116" spans="1:9" s="68" customFormat="1" x14ac:dyDescent="0.3">
      <c r="A116" s="69"/>
      <c r="B116" s="70"/>
      <c r="C116" s="70"/>
      <c r="D116" s="70"/>
      <c r="E116" s="70"/>
      <c r="F116" s="70"/>
      <c r="G116" s="70"/>
      <c r="H116" s="70"/>
      <c r="I116" s="70"/>
    </row>
    <row r="117" spans="1:9" s="68" customFormat="1" x14ac:dyDescent="0.3">
      <c r="A117" s="69"/>
      <c r="B117" s="70"/>
      <c r="C117" s="70"/>
      <c r="D117" s="70"/>
      <c r="E117" s="70"/>
      <c r="F117" s="70"/>
      <c r="G117" s="70"/>
      <c r="H117" s="70"/>
      <c r="I117" s="70"/>
    </row>
    <row r="118" spans="1:9" s="68" customFormat="1" x14ac:dyDescent="0.3">
      <c r="A118" s="69"/>
      <c r="B118" s="70"/>
      <c r="C118" s="70"/>
      <c r="D118" s="70"/>
      <c r="E118" s="70"/>
      <c r="F118" s="70"/>
      <c r="G118" s="70"/>
      <c r="H118" s="70"/>
      <c r="I118" s="70"/>
    </row>
    <row r="119" spans="1:9" s="68" customFormat="1" x14ac:dyDescent="0.3">
      <c r="A119" s="69"/>
      <c r="B119" s="70"/>
      <c r="C119" s="70"/>
      <c r="D119" s="70"/>
      <c r="E119" s="70"/>
      <c r="F119" s="70"/>
      <c r="G119" s="70"/>
      <c r="H119" s="70"/>
      <c r="I119" s="70"/>
    </row>
    <row r="120" spans="1:9" s="68" customFormat="1" x14ac:dyDescent="0.3">
      <c r="A120" s="69"/>
      <c r="B120" s="70"/>
      <c r="C120" s="70"/>
      <c r="D120" s="70"/>
      <c r="E120" s="70"/>
      <c r="F120" s="70"/>
      <c r="G120" s="70"/>
      <c r="H120" s="70"/>
      <c r="I120" s="70"/>
    </row>
    <row r="121" spans="1:9" s="68" customFormat="1" x14ac:dyDescent="0.3">
      <c r="A121" s="69"/>
      <c r="B121" s="70"/>
      <c r="C121" s="70"/>
      <c r="D121" s="70"/>
      <c r="E121" s="70"/>
      <c r="F121" s="70"/>
      <c r="G121" s="70"/>
      <c r="H121" s="70"/>
      <c r="I121" s="70"/>
    </row>
    <row r="122" spans="1:9" s="68" customFormat="1" x14ac:dyDescent="0.3">
      <c r="A122" s="69"/>
      <c r="B122" s="70"/>
      <c r="C122" s="70"/>
      <c r="D122" s="70"/>
      <c r="E122" s="70"/>
      <c r="F122" s="70"/>
      <c r="G122" s="70"/>
      <c r="H122" s="70"/>
      <c r="I122" s="70"/>
    </row>
    <row r="123" spans="1:9" s="68" customFormat="1" x14ac:dyDescent="0.3">
      <c r="A123" s="69"/>
      <c r="B123" s="70"/>
      <c r="C123" s="70"/>
      <c r="D123" s="70"/>
      <c r="E123" s="70"/>
      <c r="F123" s="70"/>
      <c r="G123" s="70"/>
      <c r="H123" s="70"/>
      <c r="I123" s="70"/>
    </row>
    <row r="124" spans="1:9" s="68" customFormat="1" x14ac:dyDescent="0.3">
      <c r="A124" s="69"/>
      <c r="B124" s="70"/>
      <c r="C124" s="70"/>
      <c r="D124" s="70"/>
      <c r="E124" s="70"/>
      <c r="F124" s="70"/>
      <c r="G124" s="70"/>
      <c r="H124" s="70"/>
      <c r="I124" s="70"/>
    </row>
    <row r="125" spans="1:9" s="68" customFormat="1" x14ac:dyDescent="0.3">
      <c r="A125" s="69"/>
      <c r="B125" s="70"/>
      <c r="C125" s="70"/>
      <c r="D125" s="70"/>
      <c r="E125" s="70"/>
      <c r="F125" s="70"/>
      <c r="G125" s="70"/>
      <c r="H125" s="70"/>
      <c r="I125" s="70"/>
    </row>
    <row r="126" spans="1:9" s="68" customFormat="1" x14ac:dyDescent="0.3">
      <c r="A126" s="69"/>
      <c r="B126" s="70"/>
      <c r="C126" s="70"/>
      <c r="D126" s="70"/>
      <c r="E126" s="70"/>
      <c r="F126" s="70"/>
      <c r="G126" s="70"/>
      <c r="H126" s="70"/>
      <c r="I126" s="70"/>
    </row>
    <row r="127" spans="1:9" s="68" customFormat="1" x14ac:dyDescent="0.3">
      <c r="A127" s="69"/>
      <c r="B127" s="70"/>
      <c r="C127" s="70"/>
      <c r="D127" s="70"/>
      <c r="E127" s="70"/>
      <c r="F127" s="70"/>
      <c r="G127" s="70"/>
      <c r="H127" s="70"/>
      <c r="I127" s="70"/>
    </row>
    <row r="128" spans="1:9" s="68" customFormat="1" x14ac:dyDescent="0.3">
      <c r="A128" s="69"/>
      <c r="B128" s="70"/>
      <c r="C128" s="70"/>
      <c r="D128" s="70"/>
      <c r="E128" s="70"/>
      <c r="F128" s="70"/>
      <c r="G128" s="70"/>
      <c r="H128" s="70"/>
      <c r="I128" s="70"/>
    </row>
    <row r="129" spans="1:9" s="68" customFormat="1" x14ac:dyDescent="0.3">
      <c r="A129" s="69"/>
      <c r="B129" s="70"/>
      <c r="C129" s="70"/>
      <c r="D129" s="70"/>
      <c r="E129" s="70"/>
      <c r="F129" s="70"/>
      <c r="G129" s="70"/>
      <c r="H129" s="70"/>
      <c r="I129" s="70"/>
    </row>
    <row r="130" spans="1:9" s="68" customFormat="1" x14ac:dyDescent="0.3">
      <c r="A130" s="69"/>
      <c r="B130" s="70"/>
      <c r="C130" s="70"/>
      <c r="D130" s="70"/>
      <c r="E130" s="70"/>
      <c r="F130" s="70"/>
      <c r="G130" s="70"/>
      <c r="H130" s="70"/>
      <c r="I130" s="70"/>
    </row>
    <row r="131" spans="1:9" s="68" customFormat="1" x14ac:dyDescent="0.3">
      <c r="A131" s="69"/>
      <c r="B131" s="70"/>
      <c r="C131" s="70"/>
      <c r="D131" s="70"/>
      <c r="E131" s="70"/>
      <c r="F131" s="70"/>
      <c r="G131" s="70"/>
      <c r="H131" s="70"/>
      <c r="I131" s="70"/>
    </row>
    <row r="132" spans="1:9" s="68" customFormat="1" x14ac:dyDescent="0.3">
      <c r="A132" s="69"/>
      <c r="B132" s="70"/>
      <c r="C132" s="70"/>
      <c r="D132" s="70"/>
      <c r="E132" s="70"/>
      <c r="F132" s="70"/>
      <c r="G132" s="70"/>
      <c r="H132" s="70"/>
      <c r="I132" s="70"/>
    </row>
    <row r="133" spans="1:9" s="68" customFormat="1" x14ac:dyDescent="0.3">
      <c r="A133" s="69"/>
      <c r="B133" s="70"/>
      <c r="C133" s="70"/>
      <c r="D133" s="70"/>
      <c r="E133" s="70"/>
      <c r="F133" s="70"/>
      <c r="G133" s="70"/>
      <c r="H133" s="70"/>
      <c r="I133" s="70"/>
    </row>
    <row r="134" spans="1:9" s="68" customFormat="1" x14ac:dyDescent="0.3">
      <c r="A134" s="69"/>
      <c r="B134" s="70"/>
      <c r="C134" s="70"/>
      <c r="D134" s="70"/>
      <c r="E134" s="70"/>
      <c r="F134" s="70"/>
      <c r="G134" s="70"/>
      <c r="H134" s="70"/>
      <c r="I134" s="70"/>
    </row>
    <row r="135" spans="1:9" s="68" customFormat="1" x14ac:dyDescent="0.3">
      <c r="A135" s="69"/>
      <c r="B135" s="70"/>
      <c r="C135" s="70"/>
      <c r="D135" s="70"/>
      <c r="E135" s="70"/>
      <c r="F135" s="70"/>
      <c r="G135" s="70"/>
      <c r="H135" s="70"/>
      <c r="I135" s="70"/>
    </row>
    <row r="136" spans="1:9" s="68" customFormat="1" x14ac:dyDescent="0.3">
      <c r="A136" s="69"/>
      <c r="B136" s="70"/>
      <c r="C136" s="70"/>
      <c r="D136" s="70"/>
      <c r="E136" s="70"/>
      <c r="F136" s="70"/>
      <c r="G136" s="70"/>
      <c r="H136" s="70"/>
      <c r="I136" s="70"/>
    </row>
    <row r="137" spans="1:9" s="68" customFormat="1" x14ac:dyDescent="0.3">
      <c r="A137" s="69"/>
      <c r="B137" s="70"/>
      <c r="C137" s="70"/>
      <c r="D137" s="70"/>
      <c r="E137" s="70"/>
      <c r="F137" s="70"/>
      <c r="G137" s="70"/>
      <c r="H137" s="70"/>
      <c r="I137" s="70"/>
    </row>
    <row r="138" spans="1:9" s="68" customFormat="1" x14ac:dyDescent="0.3">
      <c r="A138" s="69"/>
      <c r="B138" s="70"/>
      <c r="C138" s="70"/>
      <c r="D138" s="70"/>
      <c r="E138" s="70"/>
      <c r="F138" s="70"/>
      <c r="G138" s="70"/>
      <c r="H138" s="70"/>
      <c r="I138" s="70"/>
    </row>
    <row r="139" spans="1:9" s="68" customFormat="1" x14ac:dyDescent="0.3">
      <c r="A139" s="69"/>
      <c r="B139" s="70"/>
      <c r="C139" s="70"/>
      <c r="D139" s="70"/>
      <c r="E139" s="70"/>
      <c r="F139" s="70"/>
      <c r="G139" s="70"/>
      <c r="H139" s="70"/>
      <c r="I139" s="70"/>
    </row>
    <row r="140" spans="1:9" s="68" customFormat="1" x14ac:dyDescent="0.3">
      <c r="A140" s="69"/>
      <c r="B140" s="70"/>
      <c r="C140" s="70"/>
      <c r="D140" s="70"/>
      <c r="E140" s="70"/>
      <c r="F140" s="70"/>
      <c r="G140" s="70"/>
      <c r="H140" s="70"/>
      <c r="I140" s="70"/>
    </row>
    <row r="141" spans="1:9" s="68" customFormat="1" x14ac:dyDescent="0.3">
      <c r="A141" s="69"/>
      <c r="B141" s="70"/>
      <c r="C141" s="70"/>
      <c r="D141" s="70"/>
      <c r="E141" s="70"/>
      <c r="F141" s="70"/>
      <c r="G141" s="70"/>
      <c r="H141" s="70"/>
      <c r="I141" s="70"/>
    </row>
    <row r="142" spans="1:9" s="68" customFormat="1" x14ac:dyDescent="0.3">
      <c r="A142" s="69"/>
      <c r="B142" s="70"/>
      <c r="C142" s="70"/>
      <c r="D142" s="70"/>
      <c r="E142" s="70"/>
      <c r="F142" s="70"/>
      <c r="G142" s="70"/>
      <c r="H142" s="70"/>
      <c r="I142" s="70"/>
    </row>
    <row r="143" spans="1:9" s="68" customFormat="1" x14ac:dyDescent="0.3">
      <c r="A143" s="69"/>
      <c r="B143" s="70"/>
      <c r="C143" s="70"/>
      <c r="D143" s="70"/>
      <c r="E143" s="70"/>
      <c r="F143" s="70"/>
      <c r="G143" s="70"/>
      <c r="H143" s="70"/>
      <c r="I143" s="70"/>
    </row>
    <row r="144" spans="1:9" s="68" customFormat="1" x14ac:dyDescent="0.3">
      <c r="A144" s="69"/>
      <c r="B144" s="70"/>
      <c r="C144" s="70"/>
      <c r="D144" s="70"/>
      <c r="E144" s="70"/>
      <c r="F144" s="70"/>
      <c r="G144" s="70"/>
      <c r="H144" s="70"/>
      <c r="I144" s="70"/>
    </row>
    <row r="145" spans="1:9" s="68" customFormat="1" x14ac:dyDescent="0.3">
      <c r="A145" s="69"/>
      <c r="B145" s="70"/>
      <c r="C145" s="70"/>
      <c r="D145" s="70"/>
      <c r="E145" s="70"/>
      <c r="F145" s="70"/>
      <c r="G145" s="70"/>
      <c r="H145" s="70"/>
      <c r="I145" s="70"/>
    </row>
    <row r="146" spans="1:9" s="68" customFormat="1" x14ac:dyDescent="0.3">
      <c r="A146" s="69"/>
      <c r="B146" s="70"/>
      <c r="C146" s="70"/>
      <c r="D146" s="70"/>
      <c r="E146" s="70"/>
      <c r="F146" s="70"/>
      <c r="G146" s="70"/>
      <c r="H146" s="70"/>
      <c r="I146" s="70"/>
    </row>
    <row r="147" spans="1:9" s="68" customFormat="1" x14ac:dyDescent="0.3">
      <c r="A147" s="69"/>
      <c r="B147" s="70"/>
      <c r="C147" s="70"/>
      <c r="D147" s="70"/>
      <c r="E147" s="70"/>
      <c r="F147" s="70"/>
      <c r="G147" s="70"/>
      <c r="H147" s="70"/>
      <c r="I147" s="70"/>
    </row>
    <row r="148" spans="1:9" s="68" customFormat="1" x14ac:dyDescent="0.3">
      <c r="A148" s="69"/>
      <c r="B148" s="70"/>
      <c r="C148" s="70"/>
      <c r="D148" s="70"/>
      <c r="E148" s="70"/>
      <c r="F148" s="70"/>
      <c r="G148" s="70"/>
      <c r="H148" s="70"/>
      <c r="I148" s="70"/>
    </row>
    <row r="149" spans="1:9" s="68" customFormat="1" x14ac:dyDescent="0.3">
      <c r="A149" s="69"/>
      <c r="B149" s="70"/>
      <c r="C149" s="70"/>
      <c r="D149" s="70"/>
      <c r="E149" s="70"/>
      <c r="F149" s="70"/>
      <c r="G149" s="70"/>
      <c r="H149" s="70"/>
      <c r="I149" s="70"/>
    </row>
    <row r="150" spans="1:9" s="68" customFormat="1" x14ac:dyDescent="0.3">
      <c r="A150" s="69"/>
      <c r="B150" s="70"/>
      <c r="C150" s="70"/>
      <c r="D150" s="70"/>
      <c r="E150" s="70"/>
      <c r="F150" s="70"/>
      <c r="G150" s="70"/>
      <c r="H150" s="70"/>
      <c r="I150" s="70"/>
    </row>
    <row r="151" spans="1:9" s="68" customFormat="1" x14ac:dyDescent="0.3">
      <c r="A151" s="69"/>
      <c r="B151" s="70"/>
      <c r="C151" s="70"/>
      <c r="D151" s="70"/>
      <c r="E151" s="70"/>
      <c r="F151" s="70"/>
      <c r="G151" s="70"/>
      <c r="H151" s="70"/>
      <c r="I151" s="70"/>
    </row>
    <row r="152" spans="1:9" s="68" customFormat="1" x14ac:dyDescent="0.3">
      <c r="A152" s="69"/>
      <c r="B152" s="70"/>
      <c r="C152" s="70"/>
      <c r="D152" s="70"/>
      <c r="E152" s="70"/>
      <c r="F152" s="70"/>
      <c r="G152" s="70"/>
      <c r="H152" s="70"/>
      <c r="I152" s="70"/>
    </row>
    <row r="153" spans="1:9" s="68" customFormat="1" x14ac:dyDescent="0.3">
      <c r="A153" s="69"/>
      <c r="B153" s="70"/>
      <c r="C153" s="70"/>
      <c r="D153" s="70"/>
      <c r="E153" s="70"/>
      <c r="F153" s="70"/>
      <c r="G153" s="70"/>
      <c r="H153" s="70"/>
      <c r="I153" s="70"/>
    </row>
    <row r="154" spans="1:9" s="68" customFormat="1" x14ac:dyDescent="0.3">
      <c r="A154" s="69"/>
      <c r="B154" s="70"/>
      <c r="C154" s="70"/>
      <c r="D154" s="70"/>
      <c r="E154" s="70"/>
      <c r="F154" s="70"/>
      <c r="G154" s="70"/>
      <c r="H154" s="70"/>
      <c r="I154" s="70"/>
    </row>
    <row r="155" spans="1:9" s="68" customFormat="1" x14ac:dyDescent="0.3">
      <c r="A155" s="69"/>
      <c r="B155" s="70"/>
      <c r="C155" s="70"/>
      <c r="D155" s="70"/>
      <c r="E155" s="70"/>
      <c r="F155" s="70"/>
      <c r="G155" s="70"/>
      <c r="H155" s="70"/>
      <c r="I155" s="70"/>
    </row>
    <row r="156" spans="1:9" s="68" customFormat="1" x14ac:dyDescent="0.3">
      <c r="A156" s="69"/>
      <c r="B156" s="70"/>
      <c r="C156" s="70"/>
      <c r="D156" s="70"/>
      <c r="E156" s="70"/>
      <c r="F156" s="70"/>
      <c r="G156" s="70"/>
      <c r="H156" s="70"/>
      <c r="I156" s="70"/>
    </row>
    <row r="157" spans="1:9" s="68" customFormat="1" x14ac:dyDescent="0.3">
      <c r="A157" s="69"/>
      <c r="B157" s="70"/>
      <c r="C157" s="70"/>
      <c r="D157" s="70"/>
      <c r="E157" s="70"/>
      <c r="F157" s="70"/>
      <c r="G157" s="70"/>
      <c r="H157" s="70"/>
      <c r="I157" s="70"/>
    </row>
    <row r="158" spans="1:9" s="68" customFormat="1" x14ac:dyDescent="0.3">
      <c r="A158" s="69"/>
      <c r="B158" s="70"/>
      <c r="C158" s="70"/>
      <c r="D158" s="70"/>
      <c r="E158" s="70"/>
      <c r="F158" s="70"/>
      <c r="G158" s="70"/>
      <c r="H158" s="70"/>
      <c r="I158" s="70"/>
    </row>
    <row r="159" spans="1:9" s="68" customFormat="1" x14ac:dyDescent="0.3">
      <c r="A159" s="69"/>
      <c r="B159" s="70"/>
      <c r="C159" s="70"/>
      <c r="D159" s="70"/>
      <c r="E159" s="70"/>
      <c r="F159" s="70"/>
      <c r="G159" s="70"/>
      <c r="H159" s="70"/>
      <c r="I159" s="70"/>
    </row>
    <row r="160" spans="1:9" s="68" customFormat="1" x14ac:dyDescent="0.3">
      <c r="A160" s="69"/>
      <c r="B160" s="70"/>
      <c r="C160" s="70"/>
      <c r="D160" s="70"/>
      <c r="E160" s="70"/>
      <c r="F160" s="70"/>
      <c r="G160" s="70"/>
      <c r="H160" s="70"/>
      <c r="I160" s="70"/>
    </row>
    <row r="161" spans="1:9" s="68" customFormat="1" x14ac:dyDescent="0.3">
      <c r="A161" s="69"/>
      <c r="B161" s="70"/>
      <c r="C161" s="70"/>
      <c r="D161" s="70"/>
      <c r="E161" s="70"/>
      <c r="F161" s="70"/>
      <c r="G161" s="70"/>
      <c r="H161" s="70"/>
      <c r="I161" s="70"/>
    </row>
    <row r="162" spans="1:9" s="68" customFormat="1" x14ac:dyDescent="0.3">
      <c r="A162" s="69"/>
      <c r="B162" s="70"/>
      <c r="C162" s="70"/>
      <c r="D162" s="70"/>
      <c r="E162" s="70"/>
      <c r="F162" s="70"/>
      <c r="G162" s="70"/>
      <c r="H162" s="70"/>
      <c r="I162" s="70"/>
    </row>
    <row r="163" spans="1:9" s="68" customFormat="1" x14ac:dyDescent="0.3">
      <c r="A163" s="69"/>
      <c r="B163" s="70"/>
      <c r="C163" s="70"/>
      <c r="D163" s="70"/>
      <c r="E163" s="70"/>
      <c r="F163" s="70"/>
      <c r="G163" s="70"/>
      <c r="H163" s="70"/>
      <c r="I163" s="70"/>
    </row>
    <row r="164" spans="1:9" s="68" customFormat="1" x14ac:dyDescent="0.3">
      <c r="A164" s="69"/>
      <c r="B164" s="70"/>
      <c r="C164" s="70"/>
      <c r="D164" s="70"/>
      <c r="E164" s="70"/>
      <c r="F164" s="70"/>
      <c r="G164" s="70"/>
      <c r="H164" s="70"/>
      <c r="I164" s="70"/>
    </row>
    <row r="165" spans="1:9" s="68" customFormat="1" x14ac:dyDescent="0.3">
      <c r="A165" s="69"/>
      <c r="B165" s="70"/>
      <c r="C165" s="70"/>
      <c r="D165" s="70"/>
      <c r="E165" s="70"/>
      <c r="F165" s="70"/>
      <c r="G165" s="70"/>
      <c r="H165" s="70"/>
      <c r="I165" s="70"/>
    </row>
    <row r="166" spans="1:9" s="68" customFormat="1" x14ac:dyDescent="0.3">
      <c r="A166" s="69"/>
      <c r="B166" s="70"/>
      <c r="C166" s="70"/>
      <c r="D166" s="70"/>
      <c r="E166" s="70"/>
      <c r="F166" s="70"/>
      <c r="G166" s="70"/>
      <c r="H166" s="70"/>
      <c r="I166" s="70"/>
    </row>
    <row r="167" spans="1:9" s="68" customFormat="1" x14ac:dyDescent="0.3">
      <c r="A167" s="69"/>
      <c r="B167" s="70"/>
      <c r="C167" s="70"/>
      <c r="D167" s="70"/>
      <c r="E167" s="70"/>
      <c r="F167" s="70"/>
      <c r="G167" s="70"/>
      <c r="H167" s="70"/>
      <c r="I167" s="70"/>
    </row>
    <row r="168" spans="1:9" s="68" customFormat="1" x14ac:dyDescent="0.3">
      <c r="A168" s="69"/>
      <c r="B168" s="70"/>
      <c r="C168" s="70"/>
      <c r="D168" s="70"/>
      <c r="E168" s="70"/>
      <c r="F168" s="70"/>
      <c r="G168" s="70"/>
      <c r="H168" s="70"/>
      <c r="I168" s="70"/>
    </row>
    <row r="169" spans="1:9" s="68" customFormat="1" x14ac:dyDescent="0.3">
      <c r="A169" s="69"/>
      <c r="B169" s="70"/>
      <c r="C169" s="70"/>
      <c r="D169" s="70"/>
      <c r="E169" s="70"/>
      <c r="F169" s="70"/>
      <c r="G169" s="70"/>
      <c r="H169" s="70"/>
      <c r="I169" s="70"/>
    </row>
    <row r="170" spans="1:9" s="68" customFormat="1" x14ac:dyDescent="0.3">
      <c r="A170" s="69"/>
      <c r="B170" s="70"/>
      <c r="C170" s="70"/>
      <c r="D170" s="70"/>
      <c r="E170" s="70"/>
      <c r="F170" s="70"/>
      <c r="G170" s="70"/>
      <c r="H170" s="70"/>
      <c r="I170" s="70"/>
    </row>
    <row r="171" spans="1:9" s="68" customFormat="1" x14ac:dyDescent="0.3">
      <c r="A171" s="69"/>
      <c r="B171" s="70"/>
      <c r="C171" s="70"/>
      <c r="D171" s="70"/>
      <c r="E171" s="70"/>
      <c r="F171" s="70"/>
      <c r="G171" s="70"/>
      <c r="H171" s="70"/>
      <c r="I171" s="70"/>
    </row>
    <row r="172" spans="1:9" s="68" customFormat="1" x14ac:dyDescent="0.3">
      <c r="A172" s="69"/>
      <c r="B172" s="70"/>
      <c r="C172" s="70"/>
      <c r="D172" s="70"/>
      <c r="E172" s="70"/>
      <c r="F172" s="70"/>
      <c r="G172" s="70"/>
      <c r="H172" s="70"/>
      <c r="I172" s="70"/>
    </row>
    <row r="173" spans="1:9" s="68" customFormat="1" x14ac:dyDescent="0.3">
      <c r="A173" s="69"/>
      <c r="B173" s="70"/>
      <c r="C173" s="70"/>
      <c r="D173" s="70"/>
      <c r="E173" s="70"/>
      <c r="F173" s="70"/>
      <c r="G173" s="70"/>
      <c r="H173" s="70"/>
      <c r="I173" s="70"/>
    </row>
    <row r="174" spans="1:9" s="68" customFormat="1" x14ac:dyDescent="0.3">
      <c r="A174" s="69"/>
      <c r="B174" s="70"/>
      <c r="C174" s="70"/>
      <c r="D174" s="70"/>
      <c r="E174" s="70"/>
      <c r="F174" s="70"/>
      <c r="G174" s="70"/>
      <c r="H174" s="70"/>
      <c r="I174" s="70"/>
    </row>
    <row r="175" spans="1:9" s="68" customFormat="1" x14ac:dyDescent="0.3">
      <c r="A175" s="69"/>
      <c r="B175" s="70"/>
      <c r="C175" s="70"/>
      <c r="D175" s="70"/>
      <c r="E175" s="70"/>
      <c r="F175" s="70"/>
      <c r="G175" s="70"/>
      <c r="H175" s="70"/>
      <c r="I175" s="70"/>
    </row>
    <row r="176" spans="1:9" s="68" customFormat="1" x14ac:dyDescent="0.3">
      <c r="A176" s="69"/>
      <c r="B176" s="70"/>
      <c r="C176" s="70"/>
      <c r="D176" s="70"/>
      <c r="E176" s="70"/>
      <c r="F176" s="70"/>
      <c r="G176" s="70"/>
      <c r="H176" s="70"/>
      <c r="I176" s="70"/>
    </row>
    <row r="177" spans="1:10" s="68" customFormat="1" x14ac:dyDescent="0.3">
      <c r="A177" s="69"/>
      <c r="B177" s="70"/>
      <c r="C177" s="70"/>
      <c r="D177" s="70"/>
      <c r="E177" s="70"/>
      <c r="F177" s="70"/>
      <c r="G177" s="70"/>
      <c r="H177" s="70"/>
      <c r="I177" s="70"/>
    </row>
    <row r="178" spans="1:10" x14ac:dyDescent="0.3">
      <c r="B178" s="70"/>
      <c r="C178" s="70"/>
      <c r="D178" s="70"/>
      <c r="E178" s="70"/>
      <c r="F178" s="70"/>
      <c r="G178" s="70"/>
      <c r="H178" s="70"/>
      <c r="I178" s="70"/>
      <c r="J178" s="68"/>
    </row>
    <row r="179" spans="1:10" x14ac:dyDescent="0.3">
      <c r="B179" s="70"/>
      <c r="C179" s="70"/>
      <c r="D179" s="70"/>
      <c r="E179" s="70"/>
      <c r="F179" s="70"/>
      <c r="G179" s="70"/>
      <c r="H179" s="70"/>
      <c r="I179" s="70"/>
      <c r="J179" s="68"/>
    </row>
  </sheetData>
  <sheetProtection selectLockedCells="1"/>
  <mergeCells count="1">
    <mergeCell ref="A1:J1"/>
  </mergeCells>
  <conditionalFormatting sqref="A12:A18 A1:A3 A5:A9 A20:A31 A34:A1048576">
    <cfRule type="duplicateValues" dxfId="323" priority="68"/>
  </conditionalFormatting>
  <conditionalFormatting sqref="A11">
    <cfRule type="duplicateValues" dxfId="322" priority="8"/>
  </conditionalFormatting>
  <conditionalFormatting sqref="A11">
    <cfRule type="duplicateValues" dxfId="321" priority="9"/>
  </conditionalFormatting>
  <conditionalFormatting sqref="A11:A12 A3 A5:A9">
    <cfRule type="duplicateValues" dxfId="320" priority="81"/>
  </conditionalFormatting>
  <conditionalFormatting sqref="A10">
    <cfRule type="duplicateValues" dxfId="319" priority="5"/>
  </conditionalFormatting>
  <conditionalFormatting sqref="A10">
    <cfRule type="duplicateValues" dxfId="318" priority="6"/>
  </conditionalFormatting>
  <conditionalFormatting sqref="A10">
    <cfRule type="duplicateValues" dxfId="317" priority="7"/>
  </conditionalFormatting>
  <conditionalFormatting sqref="A4">
    <cfRule type="duplicateValues" dxfId="316" priority="3"/>
  </conditionalFormatting>
  <conditionalFormatting sqref="A4">
    <cfRule type="duplicateValues" dxfId="315" priority="4"/>
  </conditionalFormatting>
  <conditionalFormatting sqref="A19">
    <cfRule type="duplicateValues" dxfId="314" priority="2"/>
  </conditionalFormatting>
  <conditionalFormatting sqref="A32:A33">
    <cfRule type="duplicateValues" dxfId="313" priority="1"/>
  </conditionalFormatting>
  <pageMargins left="0.75" right="0.75" top="1" bottom="1" header="0.5" footer="0.5"/>
  <pageSetup scale="82" orientation="landscape" r:id="rId1"/>
  <headerFooter alignWithMargins="0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tabColor theme="6" tint="-0.499984740745262"/>
  </sheetPr>
  <dimension ref="A1:K19"/>
  <sheetViews>
    <sheetView showGridLines="0" zoomScaleNormal="100" workbookViewId="0">
      <selection activeCell="N11" sqref="N11"/>
    </sheetView>
  </sheetViews>
  <sheetFormatPr defaultRowHeight="14.4" x14ac:dyDescent="0.3"/>
  <cols>
    <col min="2" max="2" width="10.88671875" customWidth="1"/>
    <col min="3" max="3" width="9.6640625" customWidth="1"/>
    <col min="4" max="4" width="10.88671875" customWidth="1"/>
    <col min="5" max="5" width="12.33203125" customWidth="1"/>
    <col min="6" max="10" width="10.88671875" customWidth="1"/>
  </cols>
  <sheetData>
    <row r="1" spans="1:11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1" x14ac:dyDescent="0.3">
      <c r="A2" s="49"/>
      <c r="B2" s="739" t="s">
        <v>98</v>
      </c>
      <c r="C2" s="739"/>
      <c r="D2" s="739"/>
      <c r="E2" s="739"/>
      <c r="F2" s="49"/>
      <c r="G2" s="739" t="s">
        <v>99</v>
      </c>
      <c r="H2" s="739"/>
      <c r="I2" s="739"/>
      <c r="J2" s="739"/>
      <c r="K2" s="49"/>
    </row>
    <row r="3" spans="1:11" ht="15.6" x14ac:dyDescent="0.35">
      <c r="A3" s="49"/>
      <c r="B3" s="224" t="s">
        <v>71</v>
      </c>
      <c r="C3" s="225" t="s">
        <v>161</v>
      </c>
      <c r="D3" s="226" t="s">
        <v>160</v>
      </c>
      <c r="E3" s="227" t="s">
        <v>162</v>
      </c>
      <c r="F3" s="49"/>
      <c r="G3" s="228" t="s">
        <v>71</v>
      </c>
      <c r="H3" s="228" t="s">
        <v>161</v>
      </c>
      <c r="I3" s="229" t="s">
        <v>160</v>
      </c>
      <c r="J3" s="230" t="s">
        <v>162</v>
      </c>
      <c r="K3" s="49"/>
    </row>
    <row r="4" spans="1:11" x14ac:dyDescent="0.3">
      <c r="A4" s="49"/>
      <c r="B4" s="159">
        <v>0</v>
      </c>
      <c r="C4" s="7">
        <f>VLOOKUP('Server Configuration'!C6,Procs_Models[],4,FALSE)*'Server Configuration'!D6</f>
        <v>80</v>
      </c>
      <c r="D4" s="7">
        <f>VLOOKUP('Server Configuration'!C6,Procs_Models[],3,FALSE)*'Server Configuration'!D6</f>
        <v>18</v>
      </c>
      <c r="E4" s="160">
        <f>(C4-D4)*(B4/100)+D4</f>
        <v>18</v>
      </c>
      <c r="F4" s="49"/>
      <c r="G4" s="7">
        <v>0</v>
      </c>
      <c r="H4" s="7">
        <f>VLOOKUP('Server Configuration'!C13,HardDrive[],3,FALSE)*'Server Configuration'!D13+VLOOKUP('Server Configuration'!C14,HardDrive[],3,FALSE)*'Server Configuration'!D14</f>
        <v>0</v>
      </c>
      <c r="I4" s="7">
        <f>VLOOKUP('Server Configuration'!C13,HardDrive[],2,FALSE)*'Server Configuration'!D13+VLOOKUP('Server Configuration'!C14,HardDrive[],2,FALSE)*'Server Configuration'!D14</f>
        <v>0</v>
      </c>
      <c r="J4" s="43">
        <f>(H4-I4)*(G4/100)+I4</f>
        <v>0</v>
      </c>
      <c r="K4" s="49"/>
    </row>
    <row r="5" spans="1:11" x14ac:dyDescent="0.3">
      <c r="A5" s="49"/>
      <c r="B5" s="159">
        <f>'Server Configuration'!E20</f>
        <v>0</v>
      </c>
      <c r="C5" s="7">
        <f>VLOOKUP('Server Configuration'!C6,Procs_Models[],4,FALSE)*'Server Configuration'!D6</f>
        <v>80</v>
      </c>
      <c r="D5" s="7">
        <f>VLOOKUP('Server Configuration'!C6,Procs_Models[],3,FALSE)*'Server Configuration'!D6</f>
        <v>18</v>
      </c>
      <c r="E5" s="160">
        <f>(C5-D5)*(B5/100)+D5</f>
        <v>18</v>
      </c>
      <c r="F5" s="49"/>
      <c r="G5" s="7">
        <f>'Server Configuration'!E20</f>
        <v>0</v>
      </c>
      <c r="H5" s="7">
        <f>VLOOKUP('Server Configuration'!C13,HardDrive[],3,FALSE)*'Server Configuration'!D13+VLOOKUP('Server Configuration'!C14,HardDrive[],3,FALSE)*'Server Configuration'!D14</f>
        <v>0</v>
      </c>
      <c r="I5" s="7">
        <f>VLOOKUP('Server Configuration'!C13,HardDrive[],2,FALSE)*'Server Configuration'!D13+VLOOKUP('Server Configuration'!C14,HardDrive[],2,FALSE)*'Server Configuration'!D14</f>
        <v>0</v>
      </c>
      <c r="J5" s="43">
        <f>(H5-I5)*(G5/100)+I5</f>
        <v>0</v>
      </c>
      <c r="K5" s="49"/>
    </row>
    <row r="6" spans="1:11" x14ac:dyDescent="0.3">
      <c r="A6" s="49"/>
      <c r="B6" s="161">
        <v>50</v>
      </c>
      <c r="C6" s="162">
        <f>VLOOKUP('Server Configuration'!C6,Procs_Models[],4,FALSE)*'Server Configuration'!D6</f>
        <v>80</v>
      </c>
      <c r="D6" s="162">
        <f>VLOOKUP('Server Configuration'!C6,Procs_Models[],3,FALSE)*'Server Configuration'!D6</f>
        <v>18</v>
      </c>
      <c r="E6" s="163">
        <f>(C6-D6)*(B6/100)+D6</f>
        <v>49</v>
      </c>
      <c r="F6" s="49"/>
      <c r="G6" s="7">
        <v>50</v>
      </c>
      <c r="H6" s="7">
        <f>VLOOKUP('Server Configuration'!C13,HardDrive[],3,FALSE)*'Server Configuration'!D13+VLOOKUP('Server Configuration'!C14,HardDrive[],3,FALSE)*'Server Configuration'!D14</f>
        <v>0</v>
      </c>
      <c r="I6" s="7">
        <f>VLOOKUP('Server Configuration'!C13,HardDrive[],2,FALSE)*'Server Configuration'!D13+VLOOKUP('Server Configuration'!C14,HardDrive[],2,FALSE)*'Server Configuration'!D14</f>
        <v>0</v>
      </c>
      <c r="J6" s="43">
        <f>(H6-I6)*(G6/100)+I6</f>
        <v>0</v>
      </c>
      <c r="K6" s="49"/>
    </row>
    <row r="7" spans="1:11" x14ac:dyDescent="0.3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</row>
    <row r="8" spans="1:11" x14ac:dyDescent="0.3">
      <c r="A8" s="49"/>
      <c r="B8" s="691" t="s">
        <v>97</v>
      </c>
      <c r="C8" s="692"/>
      <c r="D8" s="692"/>
      <c r="E8" s="693"/>
      <c r="F8" s="49"/>
      <c r="G8" s="691" t="s">
        <v>100</v>
      </c>
      <c r="H8" s="692"/>
      <c r="I8" s="692"/>
      <c r="J8" s="693"/>
      <c r="K8" s="49"/>
    </row>
    <row r="9" spans="1:11" ht="15.6" x14ac:dyDescent="0.35">
      <c r="A9" s="49"/>
      <c r="B9" s="224" t="s">
        <v>71</v>
      </c>
      <c r="C9" s="225" t="s">
        <v>161</v>
      </c>
      <c r="D9" s="226" t="s">
        <v>160</v>
      </c>
      <c r="E9" s="227" t="s">
        <v>162</v>
      </c>
      <c r="F9" s="49"/>
      <c r="G9" s="228" t="s">
        <v>71</v>
      </c>
      <c r="H9" s="228" t="s">
        <v>161</v>
      </c>
      <c r="I9" s="229" t="s">
        <v>160</v>
      </c>
      <c r="J9" s="230" t="s">
        <v>162</v>
      </c>
      <c r="K9" s="49"/>
    </row>
    <row r="10" spans="1:11" x14ac:dyDescent="0.3">
      <c r="A10" s="49"/>
      <c r="B10" s="159">
        <v>0</v>
      </c>
      <c r="C10" s="7">
        <f>VLOOKUP('Server Configuration'!C16,GPU[],3,FALSE)*'Server Configuration'!D16</f>
        <v>0</v>
      </c>
      <c r="D10" s="7">
        <f>VLOOKUP('Server Configuration'!C16,GPU[],2,FALSE)*'Server Configuration'!D16</f>
        <v>0</v>
      </c>
      <c r="E10" s="160">
        <f>(C10-D10)*(B10/100)+D10</f>
        <v>0</v>
      </c>
      <c r="F10" s="49"/>
      <c r="G10" s="7">
        <v>0</v>
      </c>
      <c r="H10" s="7">
        <f>VLOOKUP('Server Configuration'!C12,RAIDController[],3,FALSE)*'Server Configuration'!D12</f>
        <v>0</v>
      </c>
      <c r="I10" s="7">
        <f>VLOOKUP('Server Configuration'!C12,RAIDController[],2,FALSE)*'Server Configuration'!D12</f>
        <v>0</v>
      </c>
      <c r="J10" s="43">
        <f>(H10-I10)*(G10/100)+I10</f>
        <v>0</v>
      </c>
      <c r="K10" s="49"/>
    </row>
    <row r="11" spans="1:11" x14ac:dyDescent="0.3">
      <c r="A11" s="49"/>
      <c r="B11" s="159">
        <f>'Server Configuration'!E20</f>
        <v>0</v>
      </c>
      <c r="C11" s="7">
        <f>VLOOKUP('Server Configuration'!C16,GPU[],3,FALSE)*'Server Configuration'!D16</f>
        <v>0</v>
      </c>
      <c r="D11" s="7">
        <f>VLOOKUP('Server Configuration'!C16,GPU[],2,FALSE)*'Server Configuration'!D16</f>
        <v>0</v>
      </c>
      <c r="E11" s="160">
        <f>(C11-D11)*(B11/100)+D11</f>
        <v>0</v>
      </c>
      <c r="F11" s="49"/>
      <c r="G11" s="7">
        <f>'Server Configuration'!E20</f>
        <v>0</v>
      </c>
      <c r="H11" s="7">
        <f>VLOOKUP('Server Configuration'!C12,RAIDController[],3,FALSE)*'Server Configuration'!D12</f>
        <v>0</v>
      </c>
      <c r="I11" s="7">
        <f>VLOOKUP('Server Configuration'!C12,RAIDController[],2,FALSE)*'Server Configuration'!D12</f>
        <v>0</v>
      </c>
      <c r="J11" s="43">
        <f>(H11-I11)*(G11/100)+I11</f>
        <v>0</v>
      </c>
      <c r="K11" s="49"/>
    </row>
    <row r="12" spans="1:11" x14ac:dyDescent="0.3">
      <c r="A12" s="49"/>
      <c r="B12" s="161">
        <v>100</v>
      </c>
      <c r="C12" s="162">
        <f>VLOOKUP('Server Configuration'!C16,GPU[],3,FALSE)*'Server Configuration'!D16</f>
        <v>0</v>
      </c>
      <c r="D12" s="162">
        <f>VLOOKUP('Server Configuration'!C16,GPU[],2,FALSE)*'Server Configuration'!D16</f>
        <v>0</v>
      </c>
      <c r="E12" s="163">
        <f>(C12-D12)*(B12/100)+D12</f>
        <v>0</v>
      </c>
      <c r="F12" s="49"/>
      <c r="G12" s="7">
        <v>50</v>
      </c>
      <c r="H12" s="7">
        <f>VLOOKUP('Server Configuration'!C12,RAIDController[],3,FALSE)*'Server Configuration'!D12</f>
        <v>0</v>
      </c>
      <c r="I12" s="7">
        <f>VLOOKUP('Server Configuration'!C12,RAIDController[],2,FALSE)*'Server Configuration'!D12</f>
        <v>0</v>
      </c>
      <c r="J12" s="43">
        <f>(H12-I12)*(G12/100)+I12</f>
        <v>0</v>
      </c>
      <c r="K12" s="49"/>
    </row>
    <row r="13" spans="1:11" x14ac:dyDescent="0.3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</row>
    <row r="14" spans="1:11" x14ac:dyDescent="0.3">
      <c r="A14" s="49"/>
      <c r="B14" s="691" t="s">
        <v>5</v>
      </c>
      <c r="C14" s="692"/>
      <c r="D14" s="692"/>
      <c r="E14" s="693"/>
      <c r="F14" s="49"/>
      <c r="G14" s="691" t="s">
        <v>101</v>
      </c>
      <c r="H14" s="692"/>
      <c r="I14" s="692"/>
      <c r="J14" s="693"/>
      <c r="K14" s="49"/>
    </row>
    <row r="15" spans="1:11" ht="15.6" x14ac:dyDescent="0.35">
      <c r="A15" s="49"/>
      <c r="B15" s="228" t="s">
        <v>71</v>
      </c>
      <c r="C15" s="228" t="s">
        <v>161</v>
      </c>
      <c r="D15" s="229" t="s">
        <v>160</v>
      </c>
      <c r="E15" s="230" t="s">
        <v>162</v>
      </c>
      <c r="F15" s="49"/>
      <c r="G15" s="228" t="s">
        <v>71</v>
      </c>
      <c r="H15" s="228" t="s">
        <v>161</v>
      </c>
      <c r="I15" s="229" t="s">
        <v>160</v>
      </c>
      <c r="J15" s="230" t="s">
        <v>162</v>
      </c>
      <c r="K15" s="49"/>
    </row>
    <row r="16" spans="1:11" x14ac:dyDescent="0.3">
      <c r="A16" s="49"/>
      <c r="B16" s="7">
        <v>0</v>
      </c>
      <c r="C16" s="7">
        <f>VLOOKUP('Server Configuration'!C7,RAM[],3,FALSE)*'Server Configuration'!D7</f>
        <v>20.399999999999999</v>
      </c>
      <c r="D16" s="7">
        <f>VLOOKUP('Server Configuration'!C7,RAM[],2,FALSE)*'Server Configuration'!D7</f>
        <v>12</v>
      </c>
      <c r="E16" s="43">
        <f>(C16-D16)*(B16/100)+D16</f>
        <v>12</v>
      </c>
      <c r="F16" s="49"/>
      <c r="G16" s="7">
        <v>0</v>
      </c>
      <c r="H16" s="7">
        <f>VLOOKUP('Server Configuration'!C15,NIC[],3,FALSE)*'Server Configuration'!D15</f>
        <v>0</v>
      </c>
      <c r="I16" s="7">
        <f>VLOOKUP('Server Configuration'!C15,NIC[],2,FALSE)*'Server Configuration'!D15</f>
        <v>0</v>
      </c>
      <c r="J16" s="43">
        <f>(H16-I16)*(G16/100)+I16</f>
        <v>0</v>
      </c>
      <c r="K16" s="49"/>
    </row>
    <row r="17" spans="1:11" x14ac:dyDescent="0.3">
      <c r="A17" s="49"/>
      <c r="B17" s="7">
        <f>'Server Configuration'!E20</f>
        <v>0</v>
      </c>
      <c r="C17" s="7">
        <f>VLOOKUP('Server Configuration'!C7,RAM[],3,FALSE)*'Server Configuration'!D7</f>
        <v>20.399999999999999</v>
      </c>
      <c r="D17" s="7">
        <f>VLOOKUP('Server Configuration'!C7,RAM[],2,FALSE)*'Server Configuration'!D7</f>
        <v>12</v>
      </c>
      <c r="E17" s="43">
        <f>(C17-D17)*(B17/100)+D17</f>
        <v>12</v>
      </c>
      <c r="F17" s="49"/>
      <c r="G17" s="7">
        <f>'Server Configuration'!E20</f>
        <v>0</v>
      </c>
      <c r="H17" s="7">
        <f>VLOOKUP('Server Configuration'!C15,NIC[],3,FALSE)*'Server Configuration'!D15</f>
        <v>0</v>
      </c>
      <c r="I17" s="7">
        <f>VLOOKUP('Server Configuration'!C15,NIC[],2,FALSE)*'Server Configuration'!D15</f>
        <v>0</v>
      </c>
      <c r="J17" s="43">
        <f>(H17-I17)*(G17/100)+I17</f>
        <v>0</v>
      </c>
      <c r="K17" s="49"/>
    </row>
    <row r="18" spans="1:11" x14ac:dyDescent="0.3">
      <c r="A18" s="49"/>
      <c r="B18" s="7">
        <v>50</v>
      </c>
      <c r="C18" s="7">
        <f>VLOOKUP('Server Configuration'!C7,RAM[],3,FALSE)*'Server Configuration'!D7</f>
        <v>20.399999999999999</v>
      </c>
      <c r="D18" s="7">
        <f>VLOOKUP('Server Configuration'!C7,RAM[],2,FALSE)*'Server Configuration'!D7</f>
        <v>12</v>
      </c>
      <c r="E18" s="43">
        <f>(C18-D18)*(B18/100)+D18</f>
        <v>16.2</v>
      </c>
      <c r="F18" s="49"/>
      <c r="G18" s="44">
        <v>50</v>
      </c>
      <c r="H18" s="7">
        <f>VLOOKUP('Server Configuration'!C15,NIC[],3,FALSE)*'Server Configuration'!D15</f>
        <v>0</v>
      </c>
      <c r="I18" s="7">
        <f>VLOOKUP('Server Configuration'!C15,NIC[],2,FALSE)*'Server Configuration'!D15</f>
        <v>0</v>
      </c>
      <c r="J18" s="43">
        <f>(H18-I18)*(G18/100)+I18</f>
        <v>0</v>
      </c>
      <c r="K18" s="49"/>
    </row>
    <row r="19" spans="1:11" x14ac:dyDescent="0.3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</row>
  </sheetData>
  <sheetProtection selectLockedCells="1" selectUnlockedCells="1"/>
  <mergeCells count="6">
    <mergeCell ref="B8:E8"/>
    <mergeCell ref="G2:J2"/>
    <mergeCell ref="B2:E2"/>
    <mergeCell ref="G8:J8"/>
    <mergeCell ref="B14:E14"/>
    <mergeCell ref="G14:J14"/>
  </mergeCells>
  <pageMargins left="0.7" right="0.7" top="0.75" bottom="0.75" header="0.3" footer="0.3"/>
  <pageSetup orientation="portrait" r:id="rId1"/>
  <cellWatches>
    <cellWatch r="B3"/>
    <cellWatch r="C3"/>
    <cellWatch r="D3"/>
    <cellWatch r="E3"/>
    <cellWatch r="B5"/>
    <cellWatch r="C5"/>
    <cellWatch r="D5"/>
    <cellWatch r="E5"/>
    <cellWatch r="B6"/>
    <cellWatch r="C6"/>
    <cellWatch r="D6"/>
    <cellWatch r="E6"/>
    <cellWatch r="B7"/>
    <cellWatch r="C7"/>
    <cellWatch r="D7"/>
    <cellWatch r="E7"/>
    <cellWatch r="B8"/>
    <cellWatch r="C8"/>
    <cellWatch r="D8"/>
    <cellWatch r="E8"/>
    <cellWatch r="B9"/>
    <cellWatch r="C9"/>
    <cellWatch r="D9"/>
    <cellWatch r="E9"/>
    <cellWatch r="B12"/>
    <cellWatch r="C12"/>
    <cellWatch r="D12"/>
    <cellWatch r="E12"/>
    <cellWatch r="B11"/>
    <cellWatch r="C11"/>
    <cellWatch r="D11"/>
    <cellWatch r="E11"/>
    <cellWatch r="B13"/>
    <cellWatch r="C13"/>
    <cellWatch r="D13"/>
    <cellWatch r="E13"/>
    <cellWatch r="B14"/>
    <cellWatch r="C14"/>
    <cellWatch r="D14"/>
    <cellWatch r="E14"/>
    <cellWatch r="B15"/>
    <cellWatch r="C15"/>
    <cellWatch r="D15"/>
    <cellWatch r="E15"/>
    <cellWatch r="B16"/>
    <cellWatch r="C16"/>
    <cellWatch r="D16"/>
    <cellWatch r="E16"/>
    <cellWatch r="B17"/>
    <cellWatch r="C17"/>
    <cellWatch r="F17"/>
    <cellWatch r="B18"/>
    <cellWatch r="E18"/>
  </cellWatches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>
    <tabColor theme="6" tint="-0.499984740745262"/>
  </sheetPr>
  <dimension ref="B1:V47"/>
  <sheetViews>
    <sheetView showGridLines="0" zoomScale="85" zoomScaleNormal="85" workbookViewId="0">
      <selection activeCell="K42" sqref="K42"/>
    </sheetView>
  </sheetViews>
  <sheetFormatPr defaultColWidth="9.109375" defaultRowHeight="14.4" x14ac:dyDescent="0.3"/>
  <cols>
    <col min="1" max="1" width="3.109375" style="66" customWidth="1"/>
    <col min="2" max="2" width="5.44140625" style="66" bestFit="1" customWidth="1"/>
    <col min="3" max="3" width="17.33203125" style="66" customWidth="1"/>
    <col min="4" max="4" width="16.109375" style="66" customWidth="1"/>
    <col min="5" max="5" width="5.44140625" style="66" bestFit="1" customWidth="1"/>
    <col min="6" max="6" width="16" style="66" bestFit="1" customWidth="1"/>
    <col min="7" max="7" width="14.5546875" style="66" bestFit="1" customWidth="1"/>
    <col min="8" max="8" width="2.44140625" style="66" customWidth="1"/>
    <col min="9" max="9" width="5.44140625" style="66" bestFit="1" customWidth="1"/>
    <col min="10" max="10" width="16" style="66" bestFit="1" customWidth="1"/>
    <col min="11" max="11" width="14.5546875" style="66" bestFit="1" customWidth="1"/>
    <col min="12" max="12" width="5.44140625" style="66" bestFit="1" customWidth="1"/>
    <col min="13" max="13" width="16" style="66" bestFit="1" customWidth="1"/>
    <col min="14" max="14" width="14.5546875" style="66" bestFit="1" customWidth="1"/>
    <col min="15" max="15" width="2.33203125" style="66" customWidth="1"/>
    <col min="16" max="16" width="3" style="66" bestFit="1" customWidth="1"/>
    <col min="17" max="17" width="11.88671875" style="66" bestFit="1" customWidth="1"/>
    <col min="18" max="18" width="10.44140625" style="66" bestFit="1" customWidth="1"/>
    <col min="19" max="19" width="2.33203125" style="66" customWidth="1"/>
    <col min="20" max="20" width="3" style="66" bestFit="1" customWidth="1"/>
    <col min="21" max="21" width="11.88671875" style="66" bestFit="1" customWidth="1"/>
    <col min="22" max="22" width="10.44140625" style="66" bestFit="1" customWidth="1"/>
    <col min="23" max="16384" width="9.109375" style="66"/>
  </cols>
  <sheetData>
    <row r="1" spans="2:22" ht="10.5" customHeight="1" x14ac:dyDescent="0.3">
      <c r="B1" s="740" t="s">
        <v>196</v>
      </c>
      <c r="C1" s="741"/>
      <c r="D1" s="741"/>
      <c r="E1" s="741"/>
      <c r="F1" s="741"/>
      <c r="G1" s="742"/>
      <c r="H1" s="72"/>
      <c r="I1" s="740" t="s">
        <v>197</v>
      </c>
      <c r="J1" s="741"/>
      <c r="K1" s="741"/>
      <c r="L1" s="741"/>
      <c r="M1" s="741"/>
      <c r="N1" s="742"/>
      <c r="P1" s="746" t="s">
        <v>213</v>
      </c>
      <c r="Q1" s="746"/>
      <c r="R1" s="746"/>
      <c r="T1" s="746" t="s">
        <v>214</v>
      </c>
      <c r="U1" s="746"/>
      <c r="V1" s="746"/>
    </row>
    <row r="2" spans="2:22" ht="10.5" customHeight="1" x14ac:dyDescent="0.3">
      <c r="B2" s="743"/>
      <c r="C2" s="744"/>
      <c r="D2" s="744"/>
      <c r="E2" s="744"/>
      <c r="F2" s="744"/>
      <c r="G2" s="745"/>
      <c r="H2" s="72"/>
      <c r="I2" s="743"/>
      <c r="J2" s="744"/>
      <c r="K2" s="744"/>
      <c r="L2" s="744"/>
      <c r="M2" s="744"/>
      <c r="N2" s="745"/>
      <c r="P2" s="746"/>
      <c r="Q2" s="746"/>
      <c r="R2" s="746"/>
      <c r="T2" s="746"/>
      <c r="U2" s="746"/>
      <c r="V2" s="746"/>
    </row>
    <row r="3" spans="2:22" x14ac:dyDescent="0.3">
      <c r="B3" s="747" t="s">
        <v>215</v>
      </c>
      <c r="C3" s="748"/>
      <c r="D3" s="749"/>
      <c r="E3" s="753" t="s">
        <v>216</v>
      </c>
      <c r="F3" s="748"/>
      <c r="G3" s="754"/>
      <c r="H3" s="73"/>
      <c r="I3" s="747" t="s">
        <v>215</v>
      </c>
      <c r="J3" s="748"/>
      <c r="K3" s="749"/>
      <c r="L3" s="753" t="s">
        <v>216</v>
      </c>
      <c r="M3" s="748"/>
      <c r="N3" s="754"/>
      <c r="P3" s="150" t="s">
        <v>191</v>
      </c>
      <c r="Q3" s="219" t="s">
        <v>217</v>
      </c>
      <c r="R3" s="219" t="s">
        <v>218</v>
      </c>
      <c r="T3" s="150" t="s">
        <v>191</v>
      </c>
      <c r="U3" s="214" t="s">
        <v>217</v>
      </c>
      <c r="V3" s="214" t="s">
        <v>218</v>
      </c>
    </row>
    <row r="4" spans="2:22" ht="15" thickBot="1" x14ac:dyDescent="0.35">
      <c r="B4" s="750"/>
      <c r="C4" s="751"/>
      <c r="D4" s="752"/>
      <c r="E4" s="755"/>
      <c r="F4" s="751"/>
      <c r="G4" s="756"/>
      <c r="H4" s="75"/>
      <c r="I4" s="750"/>
      <c r="J4" s="751"/>
      <c r="K4" s="752"/>
      <c r="L4" s="753"/>
      <c r="M4" s="748"/>
      <c r="N4" s="754"/>
      <c r="P4" s="142">
        <v>1</v>
      </c>
      <c r="Q4" s="76" t="str">
        <f>IF('Rack Layout'!F3=1, 'Rack Layout'!D3, "N/A")</f>
        <v>N/A</v>
      </c>
      <c r="R4" s="76" t="str">
        <f>IF(OR('Rack Layout'!F3=2,'Rack Layout'!F3=3,'Rack Layout'!F3=4),'Rack Layout'!D3/2,"N/A")</f>
        <v>N/A</v>
      </c>
      <c r="T4" s="142">
        <v>1</v>
      </c>
      <c r="U4" s="76" t="str">
        <f>IF('Rack Layout'!T3=1, 'Rack Layout'!R3, "N/A")</f>
        <v>N/A</v>
      </c>
      <c r="V4" s="76" t="str">
        <f>IF(OR('Rack Layout'!T3=2,'Rack Layout'!T3=3,'Rack Layout'!T3=4),'Rack Layout'!R3/2,"N/A")</f>
        <v>N/A</v>
      </c>
    </row>
    <row r="5" spans="2:22" ht="15" thickBot="1" x14ac:dyDescent="0.35">
      <c r="B5" s="77" t="s">
        <v>192</v>
      </c>
      <c r="C5" s="165" t="s">
        <v>219</v>
      </c>
      <c r="D5" s="166" t="s">
        <v>220</v>
      </c>
      <c r="E5" s="80"/>
      <c r="F5" s="78" t="s">
        <v>219</v>
      </c>
      <c r="G5" s="81" t="s">
        <v>220</v>
      </c>
      <c r="H5" s="82"/>
      <c r="I5" s="77" t="s">
        <v>192</v>
      </c>
      <c r="J5" s="78" t="s">
        <v>219</v>
      </c>
      <c r="K5" s="79" t="s">
        <v>220</v>
      </c>
      <c r="L5" s="80" t="s">
        <v>192</v>
      </c>
      <c r="M5" s="78" t="s">
        <v>219</v>
      </c>
      <c r="N5" s="81" t="s">
        <v>220</v>
      </c>
      <c r="P5" s="149">
        <v>2</v>
      </c>
      <c r="Q5" s="76" t="str">
        <f>IF('Rack Layout'!F4=1, 'Rack Layout'!D4, "N/A")</f>
        <v>N/A</v>
      </c>
      <c r="R5" s="76" t="str">
        <f>IF(OR('Rack Layout'!F4=2,'Rack Layout'!F4=3,'Rack Layout'!F4=4),'Rack Layout'!D4/2,"N/A")</f>
        <v>N/A</v>
      </c>
      <c r="T5" s="149">
        <v>2</v>
      </c>
      <c r="U5" s="76" t="str">
        <f>IF('Rack Layout'!T4=1, 'Rack Layout'!R4, "N/A")</f>
        <v>N/A</v>
      </c>
      <c r="V5" s="76" t="str">
        <f>IF(OR('Rack Layout'!T4=2,'Rack Layout'!T4=3,'Rack Layout'!T4=4),'Rack Layout'!R4/2,"N/A")</f>
        <v>N/A</v>
      </c>
    </row>
    <row r="6" spans="2:22" x14ac:dyDescent="0.3">
      <c r="B6" s="143">
        <v>1</v>
      </c>
      <c r="C6" s="83" t="str">
        <f>Q4</f>
        <v>N/A</v>
      </c>
      <c r="D6" s="164" t="str">
        <f>R4</f>
        <v>N/A</v>
      </c>
      <c r="E6" s="146">
        <v>2</v>
      </c>
      <c r="F6" s="83" t="str">
        <f>Q5</f>
        <v>N/A</v>
      </c>
      <c r="G6" s="84" t="str">
        <f>R5</f>
        <v>N/A</v>
      </c>
      <c r="H6" s="85"/>
      <c r="I6" s="143">
        <v>1</v>
      </c>
      <c r="J6" s="83" t="str">
        <f>U4</f>
        <v>N/A</v>
      </c>
      <c r="K6" s="83" t="str">
        <f>V4</f>
        <v>N/A</v>
      </c>
      <c r="L6" s="146">
        <v>2</v>
      </c>
      <c r="M6" s="83" t="str">
        <f>U5</f>
        <v>N/A</v>
      </c>
      <c r="N6" s="84" t="str">
        <f>V5</f>
        <v>N/A</v>
      </c>
      <c r="P6" s="142">
        <v>3</v>
      </c>
      <c r="Q6" s="76" t="str">
        <f>IF('Rack Layout'!F5=1, 'Rack Layout'!D5, "N/A")</f>
        <v>N/A</v>
      </c>
      <c r="R6" s="76" t="str">
        <f>IF(OR('Rack Layout'!F5=2,'Rack Layout'!F5=3,'Rack Layout'!F5=4),'Rack Layout'!D5/2,"N/A")</f>
        <v>N/A</v>
      </c>
      <c r="T6" s="142">
        <v>3</v>
      </c>
      <c r="U6" s="76" t="str">
        <f>IF('Rack Layout'!T5=1, 'Rack Layout'!R5, "N/A")</f>
        <v>N/A</v>
      </c>
      <c r="V6" s="76" t="str">
        <f>IF(OR('Rack Layout'!T5=2,'Rack Layout'!T5=3,'Rack Layout'!T5=4),'Rack Layout'!R5/2,"N/A")</f>
        <v>N/A</v>
      </c>
    </row>
    <row r="7" spans="2:22" x14ac:dyDescent="0.3">
      <c r="B7" s="145">
        <v>3</v>
      </c>
      <c r="C7" s="86" t="str">
        <f>Q6</f>
        <v>N/A</v>
      </c>
      <c r="D7" s="86" t="str">
        <f>R6</f>
        <v>N/A</v>
      </c>
      <c r="E7" s="147">
        <v>4</v>
      </c>
      <c r="F7" s="86" t="str">
        <f>Q7</f>
        <v>N/A</v>
      </c>
      <c r="G7" s="87" t="str">
        <f>R7</f>
        <v>N/A</v>
      </c>
      <c r="H7" s="85"/>
      <c r="I7" s="145">
        <v>3</v>
      </c>
      <c r="J7" s="86" t="str">
        <f>U6</f>
        <v>N/A</v>
      </c>
      <c r="K7" s="86" t="str">
        <f>V6</f>
        <v>N/A</v>
      </c>
      <c r="L7" s="147">
        <v>4</v>
      </c>
      <c r="M7" s="86" t="str">
        <f>U7</f>
        <v>N/A</v>
      </c>
      <c r="N7" s="87" t="str">
        <f>V7</f>
        <v>N/A</v>
      </c>
      <c r="P7" s="149">
        <v>4</v>
      </c>
      <c r="Q7" s="76" t="str">
        <f>IF('Rack Layout'!F6=1, 'Rack Layout'!D6, "N/A")</f>
        <v>N/A</v>
      </c>
      <c r="R7" s="76" t="str">
        <f>IF(OR('Rack Layout'!F6=2,'Rack Layout'!F6=3,'Rack Layout'!F6=4),'Rack Layout'!D6/2,"N/A")</f>
        <v>N/A</v>
      </c>
      <c r="T7" s="149">
        <v>4</v>
      </c>
      <c r="U7" s="76" t="str">
        <f>IF('Rack Layout'!T6=1, 'Rack Layout'!R6, "N/A")</f>
        <v>N/A</v>
      </c>
      <c r="V7" s="76" t="str">
        <f>IF(OR('Rack Layout'!T6=2,'Rack Layout'!T6=3,'Rack Layout'!T6=4),'Rack Layout'!R6/2,"N/A")</f>
        <v>N/A</v>
      </c>
    </row>
    <row r="8" spans="2:22" x14ac:dyDescent="0.3">
      <c r="B8" s="144">
        <v>5</v>
      </c>
      <c r="C8" s="83" t="str">
        <f>Q8</f>
        <v>N/A</v>
      </c>
      <c r="D8" s="83" t="str">
        <f>R8</f>
        <v>N/A</v>
      </c>
      <c r="E8" s="148">
        <v>6</v>
      </c>
      <c r="F8" s="83" t="str">
        <f>Q9</f>
        <v>N/A</v>
      </c>
      <c r="G8" s="84" t="str">
        <f>R9</f>
        <v>N/A</v>
      </c>
      <c r="H8" s="85"/>
      <c r="I8" s="144">
        <v>5</v>
      </c>
      <c r="J8" s="83" t="str">
        <f>U8</f>
        <v>N/A</v>
      </c>
      <c r="K8" s="83" t="str">
        <f>V8</f>
        <v>N/A</v>
      </c>
      <c r="L8" s="148">
        <v>6</v>
      </c>
      <c r="M8" s="83" t="str">
        <f>U9</f>
        <v>N/A</v>
      </c>
      <c r="N8" s="84" t="str">
        <f>V9</f>
        <v>N/A</v>
      </c>
      <c r="P8" s="142">
        <v>5</v>
      </c>
      <c r="Q8" s="76" t="str">
        <f>IF('Rack Layout'!F7=1, 'Rack Layout'!D7, "N/A")</f>
        <v>N/A</v>
      </c>
      <c r="R8" s="76" t="str">
        <f>IF(OR('Rack Layout'!F7=2,'Rack Layout'!F7=3,'Rack Layout'!F7=4),'Rack Layout'!D7/2,"N/A")</f>
        <v>N/A</v>
      </c>
      <c r="T8" s="142">
        <v>5</v>
      </c>
      <c r="U8" s="76" t="str">
        <f>IF('Rack Layout'!T7=1, 'Rack Layout'!R7, "N/A")</f>
        <v>N/A</v>
      </c>
      <c r="V8" s="76" t="str">
        <f>IF(OR('Rack Layout'!T7=2,'Rack Layout'!T7=3,'Rack Layout'!T7=4),'Rack Layout'!R7/2,"N/A")</f>
        <v>N/A</v>
      </c>
    </row>
    <row r="9" spans="2:22" x14ac:dyDescent="0.3">
      <c r="B9" s="145">
        <v>7</v>
      </c>
      <c r="C9" s="86" t="str">
        <f>Q10</f>
        <v>N/A</v>
      </c>
      <c r="D9" s="86" t="str">
        <f>R10</f>
        <v>N/A</v>
      </c>
      <c r="E9" s="147">
        <v>8</v>
      </c>
      <c r="F9" s="86" t="str">
        <f>Q11</f>
        <v>N/A</v>
      </c>
      <c r="G9" s="87" t="str">
        <f>R11</f>
        <v>N/A</v>
      </c>
      <c r="H9" s="85"/>
      <c r="I9" s="145">
        <v>7</v>
      </c>
      <c r="J9" s="86" t="str">
        <f>U10</f>
        <v>N/A</v>
      </c>
      <c r="K9" s="86" t="str">
        <f>V10</f>
        <v>N/A</v>
      </c>
      <c r="L9" s="147">
        <v>8</v>
      </c>
      <c r="M9" s="86" t="str">
        <f>U11</f>
        <v>N/A</v>
      </c>
      <c r="N9" s="87" t="str">
        <f>V11</f>
        <v>N/A</v>
      </c>
      <c r="P9" s="149">
        <v>6</v>
      </c>
      <c r="Q9" s="76" t="str">
        <f>IF('Rack Layout'!F8=1, 'Rack Layout'!D8, "N/A")</f>
        <v>N/A</v>
      </c>
      <c r="R9" s="76" t="str">
        <f>IF(OR('Rack Layout'!F8=2,'Rack Layout'!F8=3,'Rack Layout'!F8=4),'Rack Layout'!D8/2,"N/A")</f>
        <v>N/A</v>
      </c>
      <c r="T9" s="149">
        <v>6</v>
      </c>
      <c r="U9" s="76" t="str">
        <f>IF('Rack Layout'!T8=1, 'Rack Layout'!R8, "N/A")</f>
        <v>N/A</v>
      </c>
      <c r="V9" s="76" t="str">
        <f>IF(OR('Rack Layout'!T8=2,'Rack Layout'!T8=3,'Rack Layout'!T8=4),'Rack Layout'!R8/2,"N/A")</f>
        <v>N/A</v>
      </c>
    </row>
    <row r="10" spans="2:22" x14ac:dyDescent="0.3">
      <c r="B10" s="144">
        <v>9</v>
      </c>
      <c r="C10" s="83" t="str">
        <f>Q12</f>
        <v>N/A</v>
      </c>
      <c r="D10" s="83" t="str">
        <f>R12</f>
        <v>N/A</v>
      </c>
      <c r="E10" s="148">
        <v>10</v>
      </c>
      <c r="F10" s="83" t="str">
        <f>Q13</f>
        <v>N/A</v>
      </c>
      <c r="G10" s="84" t="str">
        <f>R13</f>
        <v>N/A</v>
      </c>
      <c r="H10" s="85"/>
      <c r="I10" s="144">
        <v>9</v>
      </c>
      <c r="J10" s="83" t="str">
        <f>U12</f>
        <v>N/A</v>
      </c>
      <c r="K10" s="83" t="str">
        <f>V12</f>
        <v>N/A</v>
      </c>
      <c r="L10" s="148">
        <v>10</v>
      </c>
      <c r="M10" s="83" t="str">
        <f>U13</f>
        <v>N/A</v>
      </c>
      <c r="N10" s="84" t="str">
        <f>V13</f>
        <v>N/A</v>
      </c>
      <c r="P10" s="142">
        <v>7</v>
      </c>
      <c r="Q10" s="76" t="str">
        <f>IF('Rack Layout'!F9=1, 'Rack Layout'!D9, "N/A")</f>
        <v>N/A</v>
      </c>
      <c r="R10" s="76" t="str">
        <f>IF(OR('Rack Layout'!F9=2,'Rack Layout'!F9=3,'Rack Layout'!F9=4),'Rack Layout'!D9/2,"N/A")</f>
        <v>N/A</v>
      </c>
      <c r="T10" s="142">
        <v>7</v>
      </c>
      <c r="U10" s="76" t="str">
        <f>IF('Rack Layout'!T9=1, 'Rack Layout'!R9, "N/A")</f>
        <v>N/A</v>
      </c>
      <c r="V10" s="76" t="str">
        <f>IF(OR('Rack Layout'!T9=2,'Rack Layout'!T9=3,'Rack Layout'!T9=4),'Rack Layout'!R9/2,"N/A")</f>
        <v>N/A</v>
      </c>
    </row>
    <row r="11" spans="2:22" x14ac:dyDescent="0.3">
      <c r="B11" s="145">
        <v>11</v>
      </c>
      <c r="C11" s="86" t="str">
        <f>Q14</f>
        <v>N/A</v>
      </c>
      <c r="D11" s="86" t="str">
        <f>R14</f>
        <v>N/A</v>
      </c>
      <c r="E11" s="147">
        <v>12</v>
      </c>
      <c r="F11" s="86" t="str">
        <f>Q15</f>
        <v>N/A</v>
      </c>
      <c r="G11" s="87" t="str">
        <f>R15</f>
        <v>N/A</v>
      </c>
      <c r="H11" s="85"/>
      <c r="I11" s="145">
        <v>11</v>
      </c>
      <c r="J11" s="86" t="str">
        <f>U14</f>
        <v>N/A</v>
      </c>
      <c r="K11" s="86" t="str">
        <f>V14</f>
        <v>N/A</v>
      </c>
      <c r="L11" s="147">
        <v>12</v>
      </c>
      <c r="M11" s="86" t="str">
        <f>U15</f>
        <v>N/A</v>
      </c>
      <c r="N11" s="87" t="str">
        <f>V15</f>
        <v>N/A</v>
      </c>
      <c r="P11" s="149">
        <v>8</v>
      </c>
      <c r="Q11" s="76" t="str">
        <f>IF('Rack Layout'!F10=1, 'Rack Layout'!D10, "N/A")</f>
        <v>N/A</v>
      </c>
      <c r="R11" s="76" t="str">
        <f>IF(OR('Rack Layout'!F10=2,'Rack Layout'!F10=3,'Rack Layout'!F10=4),'Rack Layout'!D10/2,"N/A")</f>
        <v>N/A</v>
      </c>
      <c r="T11" s="149">
        <v>8</v>
      </c>
      <c r="U11" s="76" t="str">
        <f>IF('Rack Layout'!T10=1, 'Rack Layout'!R10, "N/A")</f>
        <v>N/A</v>
      </c>
      <c r="V11" s="76" t="str">
        <f>IF(OR('Rack Layout'!T10=2,'Rack Layout'!T10=3,'Rack Layout'!T10=4),'Rack Layout'!R10/2,"N/A")</f>
        <v>N/A</v>
      </c>
    </row>
    <row r="12" spans="2:22" x14ac:dyDescent="0.3">
      <c r="B12" s="144">
        <v>13</v>
      </c>
      <c r="C12" s="83" t="str">
        <f>Q16</f>
        <v>N/A</v>
      </c>
      <c r="D12" s="83" t="str">
        <f>R16</f>
        <v>N/A</v>
      </c>
      <c r="E12" s="148">
        <v>14</v>
      </c>
      <c r="F12" s="83" t="str">
        <f>Q17</f>
        <v>N/A</v>
      </c>
      <c r="G12" s="84" t="str">
        <f>R17</f>
        <v>N/A</v>
      </c>
      <c r="H12" s="85"/>
      <c r="I12" s="144">
        <v>13</v>
      </c>
      <c r="J12" s="83" t="str">
        <f>U16</f>
        <v>N/A</v>
      </c>
      <c r="K12" s="83" t="str">
        <f>V16</f>
        <v>N/A</v>
      </c>
      <c r="L12" s="148">
        <v>14</v>
      </c>
      <c r="M12" s="83" t="str">
        <f>U17</f>
        <v>N/A</v>
      </c>
      <c r="N12" s="84" t="str">
        <f>V17</f>
        <v>N/A</v>
      </c>
      <c r="P12" s="142">
        <v>9</v>
      </c>
      <c r="Q12" s="76" t="str">
        <f>IF('Rack Layout'!F11=1, 'Rack Layout'!D11, "N/A")</f>
        <v>N/A</v>
      </c>
      <c r="R12" s="76" t="str">
        <f>IF(OR('Rack Layout'!F11=2,'Rack Layout'!F11=3,'Rack Layout'!F11=4),'Rack Layout'!D11/2,"N/A")</f>
        <v>N/A</v>
      </c>
      <c r="T12" s="142">
        <v>9</v>
      </c>
      <c r="U12" s="76" t="str">
        <f>IF('Rack Layout'!T11=1, 'Rack Layout'!R11, "N/A")</f>
        <v>N/A</v>
      </c>
      <c r="V12" s="76" t="str">
        <f>IF(OR('Rack Layout'!T11=2,'Rack Layout'!T11=3,'Rack Layout'!T11=4),'Rack Layout'!R11/2,"N/A")</f>
        <v>N/A</v>
      </c>
    </row>
    <row r="13" spans="2:22" x14ac:dyDescent="0.3">
      <c r="B13" s="145">
        <v>15</v>
      </c>
      <c r="C13" s="86" t="str">
        <f>Q18</f>
        <v>N/A</v>
      </c>
      <c r="D13" s="86" t="str">
        <f>R18</f>
        <v>N/A</v>
      </c>
      <c r="E13" s="147">
        <v>16</v>
      </c>
      <c r="F13" s="86" t="str">
        <f>Q19</f>
        <v>N/A</v>
      </c>
      <c r="G13" s="87" t="str">
        <f>R19</f>
        <v>N/A</v>
      </c>
      <c r="H13" s="85"/>
      <c r="I13" s="145">
        <v>15</v>
      </c>
      <c r="J13" s="86" t="str">
        <f>U18</f>
        <v>N/A</v>
      </c>
      <c r="K13" s="86" t="str">
        <f>V18</f>
        <v>N/A</v>
      </c>
      <c r="L13" s="147">
        <v>16</v>
      </c>
      <c r="M13" s="86" t="str">
        <f>U19</f>
        <v>N/A</v>
      </c>
      <c r="N13" s="87" t="str">
        <f>V19</f>
        <v>N/A</v>
      </c>
      <c r="P13" s="149">
        <v>10</v>
      </c>
      <c r="Q13" s="76" t="str">
        <f>IF('Rack Layout'!F12=1, 'Rack Layout'!D12, "N/A")</f>
        <v>N/A</v>
      </c>
      <c r="R13" s="76" t="str">
        <f>IF(OR('Rack Layout'!F12=2,'Rack Layout'!F12=3,'Rack Layout'!F12=4),'Rack Layout'!D12/2,"N/A")</f>
        <v>N/A</v>
      </c>
      <c r="T13" s="149">
        <v>10</v>
      </c>
      <c r="U13" s="76" t="str">
        <f>IF('Rack Layout'!T12=1, 'Rack Layout'!R12, "N/A")</f>
        <v>N/A</v>
      </c>
      <c r="V13" s="76" t="str">
        <f>IF(OR('Rack Layout'!T12=2,'Rack Layout'!T12=3,'Rack Layout'!T12=4),'Rack Layout'!R12/2,"N/A")</f>
        <v>N/A</v>
      </c>
    </row>
    <row r="14" spans="2:22" x14ac:dyDescent="0.3">
      <c r="B14" s="144">
        <v>17</v>
      </c>
      <c r="C14" s="83" t="str">
        <f>Q20</f>
        <v>N/A</v>
      </c>
      <c r="D14" s="83" t="str">
        <f>R20</f>
        <v>N/A</v>
      </c>
      <c r="E14" s="148">
        <v>18</v>
      </c>
      <c r="F14" s="83" t="str">
        <f>Q21</f>
        <v>N/A</v>
      </c>
      <c r="G14" s="84" t="str">
        <f>R21</f>
        <v>N/A</v>
      </c>
      <c r="H14" s="85"/>
      <c r="I14" s="144">
        <v>17</v>
      </c>
      <c r="J14" s="83" t="str">
        <f>U20</f>
        <v>N/A</v>
      </c>
      <c r="K14" s="83" t="str">
        <f>V20</f>
        <v>N/A</v>
      </c>
      <c r="L14" s="148">
        <v>18</v>
      </c>
      <c r="M14" s="83" t="str">
        <f>U21</f>
        <v>N/A</v>
      </c>
      <c r="N14" s="84" t="str">
        <f>V21</f>
        <v>N/A</v>
      </c>
      <c r="P14" s="142">
        <v>11</v>
      </c>
      <c r="Q14" s="76" t="str">
        <f>IF('Rack Layout'!F13=1, 'Rack Layout'!D13, "N/A")</f>
        <v>N/A</v>
      </c>
      <c r="R14" s="76" t="str">
        <f>IF(OR('Rack Layout'!F13=2,'Rack Layout'!F13=3,'Rack Layout'!F13=4),'Rack Layout'!D13/2,"N/A")</f>
        <v>N/A</v>
      </c>
      <c r="T14" s="142">
        <v>11</v>
      </c>
      <c r="U14" s="76" t="str">
        <f>IF('Rack Layout'!T13=1, 'Rack Layout'!R13, "N/A")</f>
        <v>N/A</v>
      </c>
      <c r="V14" s="76" t="str">
        <f>IF(OR('Rack Layout'!T13=2,'Rack Layout'!T13=3,'Rack Layout'!T13=4),'Rack Layout'!R13/2,"N/A")</f>
        <v>N/A</v>
      </c>
    </row>
    <row r="15" spans="2:22" x14ac:dyDescent="0.3">
      <c r="B15" s="145">
        <v>19</v>
      </c>
      <c r="C15" s="86" t="str">
        <f>Q22</f>
        <v>N/A</v>
      </c>
      <c r="D15" s="86" t="str">
        <f>R22</f>
        <v>N/A</v>
      </c>
      <c r="E15" s="147">
        <v>20</v>
      </c>
      <c r="F15" s="86" t="str">
        <f>Q23</f>
        <v>N/A</v>
      </c>
      <c r="G15" s="87" t="str">
        <f>R23</f>
        <v>N/A</v>
      </c>
      <c r="H15" s="85"/>
      <c r="I15" s="145">
        <v>19</v>
      </c>
      <c r="J15" s="86" t="str">
        <f>U22</f>
        <v>N/A</v>
      </c>
      <c r="K15" s="86" t="str">
        <f>V22</f>
        <v>N/A</v>
      </c>
      <c r="L15" s="147">
        <v>20</v>
      </c>
      <c r="M15" s="86" t="str">
        <f>U23</f>
        <v>N/A</v>
      </c>
      <c r="N15" s="87" t="str">
        <f>V23</f>
        <v>N/A</v>
      </c>
      <c r="P15" s="149">
        <v>12</v>
      </c>
      <c r="Q15" s="76" t="str">
        <f>IF('Rack Layout'!F14=1, 'Rack Layout'!D14, "N/A")</f>
        <v>N/A</v>
      </c>
      <c r="R15" s="76" t="str">
        <f>IF(OR('Rack Layout'!F14=2,'Rack Layout'!F14=3,'Rack Layout'!F14=4),'Rack Layout'!D14/2,"N/A")</f>
        <v>N/A</v>
      </c>
      <c r="T15" s="149">
        <v>12</v>
      </c>
      <c r="U15" s="76" t="str">
        <f>IF('Rack Layout'!T14=1, 'Rack Layout'!R14, "N/A")</f>
        <v>N/A</v>
      </c>
      <c r="V15" s="76" t="str">
        <f>IF(OR('Rack Layout'!T14=2,'Rack Layout'!T14=3,'Rack Layout'!T14=4),'Rack Layout'!R14/2,"N/A")</f>
        <v>N/A</v>
      </c>
    </row>
    <row r="16" spans="2:22" x14ac:dyDescent="0.3">
      <c r="B16" s="144">
        <v>21</v>
      </c>
      <c r="C16" s="83" t="str">
        <f>Q24</f>
        <v>N/A</v>
      </c>
      <c r="D16" s="83" t="str">
        <f>R24</f>
        <v>N/A</v>
      </c>
      <c r="E16" s="148">
        <v>22</v>
      </c>
      <c r="F16" s="83" t="str">
        <f>Q25</f>
        <v>N/A</v>
      </c>
      <c r="G16" s="84" t="str">
        <f>R25</f>
        <v>N/A</v>
      </c>
      <c r="H16" s="85"/>
      <c r="I16" s="144">
        <v>21</v>
      </c>
      <c r="J16" s="83" t="str">
        <f>U24</f>
        <v>N/A</v>
      </c>
      <c r="K16" s="83" t="str">
        <f>V24</f>
        <v>N/A</v>
      </c>
      <c r="L16" s="148">
        <v>22</v>
      </c>
      <c r="M16" s="83" t="str">
        <f>U25</f>
        <v>N/A</v>
      </c>
      <c r="N16" s="84" t="str">
        <f>V25</f>
        <v>N/A</v>
      </c>
      <c r="P16" s="142">
        <v>13</v>
      </c>
      <c r="Q16" s="76" t="str">
        <f>IF('Rack Layout'!F15=1, 'Rack Layout'!D15, "N/A")</f>
        <v>N/A</v>
      </c>
      <c r="R16" s="76" t="str">
        <f>IF(OR('Rack Layout'!F15=2,'Rack Layout'!F15=3,'Rack Layout'!F15=4),'Rack Layout'!D15/2,"N/A")</f>
        <v>N/A</v>
      </c>
      <c r="T16" s="142">
        <v>13</v>
      </c>
      <c r="U16" s="76" t="str">
        <f>IF('Rack Layout'!T15=1, 'Rack Layout'!R15, "N/A")</f>
        <v>N/A</v>
      </c>
      <c r="V16" s="76" t="str">
        <f>IF(OR('Rack Layout'!T15=2,'Rack Layout'!T15=3,'Rack Layout'!T15=4),'Rack Layout'!R15/2,"N/A")</f>
        <v>N/A</v>
      </c>
    </row>
    <row r="17" spans="2:22" ht="15" thickBot="1" x14ac:dyDescent="0.35">
      <c r="B17" s="145">
        <v>23</v>
      </c>
      <c r="C17" s="167" t="str">
        <f>Q26</f>
        <v>N/A</v>
      </c>
      <c r="D17" s="167" t="str">
        <f>R26</f>
        <v>N/A</v>
      </c>
      <c r="E17" s="147">
        <v>24</v>
      </c>
      <c r="F17" s="86" t="str">
        <f>Q27</f>
        <v>N/A</v>
      </c>
      <c r="G17" s="87" t="str">
        <f>R27</f>
        <v>N/A</v>
      </c>
      <c r="H17" s="85"/>
      <c r="I17" s="145">
        <v>23</v>
      </c>
      <c r="J17" s="86" t="str">
        <f>U26</f>
        <v>N/A</v>
      </c>
      <c r="K17" s="86" t="str">
        <f>V26</f>
        <v>N/A</v>
      </c>
      <c r="L17" s="147">
        <v>24</v>
      </c>
      <c r="M17" s="86" t="str">
        <f>U27</f>
        <v>N/A</v>
      </c>
      <c r="N17" s="87" t="str">
        <f>V27</f>
        <v>N/A</v>
      </c>
      <c r="P17" s="149">
        <v>14</v>
      </c>
      <c r="Q17" s="76" t="str">
        <f>IF('Rack Layout'!F16=1, 'Rack Layout'!D16, "N/A")</f>
        <v>N/A</v>
      </c>
      <c r="R17" s="76" t="str">
        <f>IF(OR('Rack Layout'!F16=2,'Rack Layout'!F16=3,'Rack Layout'!F16=4),'Rack Layout'!D16/2,"N/A")</f>
        <v>N/A</v>
      </c>
      <c r="T17" s="149">
        <v>14</v>
      </c>
      <c r="U17" s="76" t="str">
        <f>IF('Rack Layout'!T16=1, 'Rack Layout'!R16, "N/A")</f>
        <v>N/A</v>
      </c>
      <c r="V17" s="76" t="str">
        <f>IF(OR('Rack Layout'!T16=2,'Rack Layout'!T16=3,'Rack Layout'!T16=4),'Rack Layout'!R16/2,"N/A")</f>
        <v>N/A</v>
      </c>
    </row>
    <row r="18" spans="2:22" ht="15" thickBot="1" x14ac:dyDescent="0.35">
      <c r="B18" s="88" t="s">
        <v>221</v>
      </c>
      <c r="C18" s="89">
        <f>SUM(C6:C17)</f>
        <v>0</v>
      </c>
      <c r="D18" s="168">
        <f>SUM(D6:D17)</f>
        <v>0</v>
      </c>
      <c r="E18" s="90" t="s">
        <v>221</v>
      </c>
      <c r="F18" s="89">
        <f>SUM(F6:F17)</f>
        <v>0</v>
      </c>
      <c r="G18" s="91">
        <f>SUM(G6:G17)</f>
        <v>0</v>
      </c>
      <c r="H18" s="92"/>
      <c r="I18" s="88" t="s">
        <v>221</v>
      </c>
      <c r="J18" s="89">
        <f>SUM(J6:J17)</f>
        <v>0</v>
      </c>
      <c r="K18" s="89">
        <f>SUM(K6:K17)</f>
        <v>0</v>
      </c>
      <c r="L18" s="90" t="s">
        <v>221</v>
      </c>
      <c r="M18" s="89">
        <f>SUM(M6:M17)</f>
        <v>0</v>
      </c>
      <c r="N18" s="91">
        <f>SUM(N6:N17)</f>
        <v>0</v>
      </c>
      <c r="P18" s="142">
        <v>15</v>
      </c>
      <c r="Q18" s="76" t="str">
        <f>IF('Rack Layout'!F17=1, 'Rack Layout'!D17, "N/A")</f>
        <v>N/A</v>
      </c>
      <c r="R18" s="76" t="str">
        <f>IF(OR('Rack Layout'!F17=2,'Rack Layout'!F17=3,'Rack Layout'!F17=4),'Rack Layout'!D17/2,"N/A")</f>
        <v>N/A</v>
      </c>
      <c r="T18" s="142">
        <v>15</v>
      </c>
      <c r="U18" s="76" t="str">
        <f>IF('Rack Layout'!T17=1, 'Rack Layout'!R17, "N/A")</f>
        <v>N/A</v>
      </c>
      <c r="V18" s="76" t="str">
        <f>IF(OR('Rack Layout'!T17=2,'Rack Layout'!T17=3,'Rack Layout'!T17=4),'Rack Layout'!R17/2,"N/A")</f>
        <v>N/A</v>
      </c>
    </row>
    <row r="19" spans="2:22" x14ac:dyDescent="0.3">
      <c r="B19" s="757" t="s">
        <v>222</v>
      </c>
      <c r="C19" s="758"/>
      <c r="D19" s="759"/>
      <c r="E19" s="753" t="s">
        <v>223</v>
      </c>
      <c r="F19" s="748"/>
      <c r="G19" s="754"/>
      <c r="H19" s="73"/>
      <c r="I19" s="757" t="s">
        <v>222</v>
      </c>
      <c r="J19" s="758"/>
      <c r="K19" s="759"/>
      <c r="L19" s="753" t="s">
        <v>223</v>
      </c>
      <c r="M19" s="748"/>
      <c r="N19" s="754"/>
      <c r="P19" s="149">
        <v>16</v>
      </c>
      <c r="Q19" s="76" t="str">
        <f>IF('Rack Layout'!F18=1, 'Rack Layout'!D18, "N/A")</f>
        <v>N/A</v>
      </c>
      <c r="R19" s="76" t="str">
        <f>IF(OR('Rack Layout'!F18=2,'Rack Layout'!F18=3,'Rack Layout'!F18=4),'Rack Layout'!D18/2,"N/A")</f>
        <v>N/A</v>
      </c>
      <c r="T19" s="149">
        <v>16</v>
      </c>
      <c r="U19" s="76" t="str">
        <f>IF('Rack Layout'!T18=1, 'Rack Layout'!R18, "N/A")</f>
        <v>N/A</v>
      </c>
      <c r="V19" s="76" t="str">
        <f>IF(OR('Rack Layout'!T18=2,'Rack Layout'!T18=3,'Rack Layout'!T18=4),'Rack Layout'!R18/2,"N/A")</f>
        <v>N/A</v>
      </c>
    </row>
    <row r="20" spans="2:22" ht="15" thickBot="1" x14ac:dyDescent="0.35">
      <c r="B20" s="750"/>
      <c r="C20" s="751"/>
      <c r="D20" s="752"/>
      <c r="E20" s="753"/>
      <c r="F20" s="748"/>
      <c r="G20" s="754"/>
      <c r="H20" s="75"/>
      <c r="I20" s="750"/>
      <c r="J20" s="751"/>
      <c r="K20" s="752"/>
      <c r="L20" s="753"/>
      <c r="M20" s="748"/>
      <c r="N20" s="754"/>
      <c r="P20" s="142">
        <v>17</v>
      </c>
      <c r="Q20" s="76" t="str">
        <f>IF('Rack Layout'!F19=1, 'Rack Layout'!D19, "N/A")</f>
        <v>N/A</v>
      </c>
      <c r="R20" s="76" t="str">
        <f>IF(OR('Rack Layout'!F19=2,'Rack Layout'!F19=3,'Rack Layout'!F19=4),'Rack Layout'!D19/2,"N/A")</f>
        <v>N/A</v>
      </c>
      <c r="T20" s="142">
        <v>17</v>
      </c>
      <c r="U20" s="76" t="str">
        <f>IF('Rack Layout'!T19=1, 'Rack Layout'!R19, "N/A")</f>
        <v>N/A</v>
      </c>
      <c r="V20" s="76" t="str">
        <f>IF(OR('Rack Layout'!T19=2,'Rack Layout'!T19=3,'Rack Layout'!T19=4),'Rack Layout'!R19/2,"N/A")</f>
        <v>N/A</v>
      </c>
    </row>
    <row r="21" spans="2:22" ht="15" thickBot="1" x14ac:dyDescent="0.35">
      <c r="B21" s="77" t="s">
        <v>192</v>
      </c>
      <c r="C21" s="78" t="s">
        <v>219</v>
      </c>
      <c r="D21" s="79" t="s">
        <v>220</v>
      </c>
      <c r="E21" s="80" t="s">
        <v>192</v>
      </c>
      <c r="F21" s="78" t="s">
        <v>219</v>
      </c>
      <c r="G21" s="81" t="s">
        <v>220</v>
      </c>
      <c r="H21" s="82"/>
      <c r="I21" s="77" t="s">
        <v>192</v>
      </c>
      <c r="J21" s="78" t="s">
        <v>219</v>
      </c>
      <c r="K21" s="79" t="s">
        <v>220</v>
      </c>
      <c r="L21" s="80" t="s">
        <v>192</v>
      </c>
      <c r="M21" s="78" t="s">
        <v>219</v>
      </c>
      <c r="N21" s="81" t="s">
        <v>220</v>
      </c>
      <c r="P21" s="149">
        <v>18</v>
      </c>
      <c r="Q21" s="76" t="str">
        <f>IF('Rack Layout'!F20=1, 'Rack Layout'!D20, "N/A")</f>
        <v>N/A</v>
      </c>
      <c r="R21" s="76" t="str">
        <f>IF(OR('Rack Layout'!F20=2,'Rack Layout'!F20=3,'Rack Layout'!F20=4),'Rack Layout'!D20/2,"N/A")</f>
        <v>N/A</v>
      </c>
      <c r="T21" s="149">
        <v>18</v>
      </c>
      <c r="U21" s="76" t="str">
        <f>IF('Rack Layout'!T20=1, 'Rack Layout'!R20, "N/A")</f>
        <v>N/A</v>
      </c>
      <c r="V21" s="76" t="str">
        <f>IF(OR('Rack Layout'!T20=2,'Rack Layout'!T20=3,'Rack Layout'!T20=4),'Rack Layout'!R20/2,"N/A")</f>
        <v>N/A</v>
      </c>
    </row>
    <row r="22" spans="2:22" x14ac:dyDescent="0.3">
      <c r="B22" s="154">
        <v>25</v>
      </c>
      <c r="C22" s="173" t="str">
        <f>Q28</f>
        <v>N/A</v>
      </c>
      <c r="D22" s="83" t="str">
        <f>R28</f>
        <v>N/A</v>
      </c>
      <c r="E22" s="151">
        <v>26</v>
      </c>
      <c r="F22" s="83" t="str">
        <f>Q29</f>
        <v>N/A</v>
      </c>
      <c r="G22" s="84" t="str">
        <f>R29</f>
        <v>N/A</v>
      </c>
      <c r="H22" s="85"/>
      <c r="I22" s="154">
        <v>25</v>
      </c>
      <c r="J22" s="83" t="str">
        <f>U28</f>
        <v>N/A</v>
      </c>
      <c r="K22" s="83" t="str">
        <f>V28</f>
        <v>N/A</v>
      </c>
      <c r="L22" s="151">
        <v>26</v>
      </c>
      <c r="M22" s="83" t="str">
        <f>U29</f>
        <v>N/A</v>
      </c>
      <c r="N22" s="84" t="str">
        <f>V29</f>
        <v>N/A</v>
      </c>
      <c r="P22" s="142">
        <v>19</v>
      </c>
      <c r="Q22" s="76" t="str">
        <f>IF('Rack Layout'!F21=1, 'Rack Layout'!D21, "N/A")</f>
        <v>N/A</v>
      </c>
      <c r="R22" s="76" t="str">
        <f>IF(OR('Rack Layout'!F21=2,'Rack Layout'!F21=3,'Rack Layout'!F21=4),'Rack Layout'!D21/2,"N/A")</f>
        <v>N/A</v>
      </c>
      <c r="T22" s="142">
        <v>19</v>
      </c>
      <c r="U22" s="76" t="str">
        <f>IF('Rack Layout'!T21=1, 'Rack Layout'!R21, "N/A")</f>
        <v>N/A</v>
      </c>
      <c r="V22" s="76" t="str">
        <f>IF(OR('Rack Layout'!T21=2,'Rack Layout'!T21=3,'Rack Layout'!T21=4),'Rack Layout'!R21/2,"N/A")</f>
        <v>N/A</v>
      </c>
    </row>
    <row r="23" spans="2:22" x14ac:dyDescent="0.3">
      <c r="B23" s="155">
        <v>27</v>
      </c>
      <c r="C23" s="174" t="str">
        <f>Q30</f>
        <v>N/A</v>
      </c>
      <c r="D23" s="86" t="str">
        <f>R30</f>
        <v>N/A</v>
      </c>
      <c r="E23" s="152">
        <v>28</v>
      </c>
      <c r="F23" s="86" t="str">
        <f>Q31</f>
        <v>N/A</v>
      </c>
      <c r="G23" s="87" t="str">
        <f>R31</f>
        <v>N/A</v>
      </c>
      <c r="H23" s="85"/>
      <c r="I23" s="155">
        <v>27</v>
      </c>
      <c r="J23" s="86" t="str">
        <f>U30</f>
        <v>N/A</v>
      </c>
      <c r="K23" s="86" t="str">
        <f>V30</f>
        <v>N/A</v>
      </c>
      <c r="L23" s="152">
        <v>28</v>
      </c>
      <c r="M23" s="86" t="str">
        <f>U31</f>
        <v>N/A</v>
      </c>
      <c r="N23" s="87" t="str">
        <f>V31</f>
        <v>N/A</v>
      </c>
      <c r="P23" s="149">
        <v>20</v>
      </c>
      <c r="Q23" s="76" t="str">
        <f>IF('Rack Layout'!F22=1, 'Rack Layout'!D22, "N/A")</f>
        <v>N/A</v>
      </c>
      <c r="R23" s="76" t="str">
        <f>IF(OR('Rack Layout'!F22=2,'Rack Layout'!F22=3,'Rack Layout'!F22=4),'Rack Layout'!D22/2,"N/A")</f>
        <v>N/A</v>
      </c>
      <c r="T23" s="149">
        <v>20</v>
      </c>
      <c r="U23" s="76" t="str">
        <f>IF('Rack Layout'!T22=1, 'Rack Layout'!R22, "N/A")</f>
        <v>N/A</v>
      </c>
      <c r="V23" s="76" t="str">
        <f>IF(OR('Rack Layout'!T22=2,'Rack Layout'!T22=3,'Rack Layout'!T22=4),'Rack Layout'!R22/2,"N/A")</f>
        <v>N/A</v>
      </c>
    </row>
    <row r="24" spans="2:22" x14ac:dyDescent="0.3">
      <c r="B24" s="156">
        <v>29</v>
      </c>
      <c r="C24" s="173" t="str">
        <f>Q32</f>
        <v>N/A</v>
      </c>
      <c r="D24" s="83" t="str">
        <f>R32</f>
        <v>N/A</v>
      </c>
      <c r="E24" s="153">
        <v>30</v>
      </c>
      <c r="F24" s="83" t="str">
        <f>Q33</f>
        <v>N/A</v>
      </c>
      <c r="G24" s="84" t="str">
        <f>R33</f>
        <v>N/A</v>
      </c>
      <c r="H24" s="85"/>
      <c r="I24" s="156">
        <v>29</v>
      </c>
      <c r="J24" s="83" t="str">
        <f>U32</f>
        <v>N/A</v>
      </c>
      <c r="K24" s="83" t="str">
        <f>V32</f>
        <v>N/A</v>
      </c>
      <c r="L24" s="153">
        <v>30</v>
      </c>
      <c r="M24" s="83" t="str">
        <f>U33</f>
        <v>N/A</v>
      </c>
      <c r="N24" s="84" t="str">
        <f>V33</f>
        <v>N/A</v>
      </c>
      <c r="P24" s="142">
        <v>21</v>
      </c>
      <c r="Q24" s="76" t="str">
        <f>IF('Rack Layout'!F23=1, 'Rack Layout'!D23, "N/A")</f>
        <v>N/A</v>
      </c>
      <c r="R24" s="76" t="str">
        <f>IF(OR('Rack Layout'!F23=2,'Rack Layout'!F23=3,'Rack Layout'!F23=4),'Rack Layout'!D23/2,"N/A")</f>
        <v>N/A</v>
      </c>
      <c r="T24" s="142">
        <v>21</v>
      </c>
      <c r="U24" s="76" t="str">
        <f>IF('Rack Layout'!T23=1, 'Rack Layout'!R23, "N/A")</f>
        <v>N/A</v>
      </c>
      <c r="V24" s="76" t="str">
        <f>IF(OR('Rack Layout'!T23=2,'Rack Layout'!T23=3,'Rack Layout'!T23=4),'Rack Layout'!R23/2,"N/A")</f>
        <v>N/A</v>
      </c>
    </row>
    <row r="25" spans="2:22" x14ac:dyDescent="0.3">
      <c r="B25" s="155">
        <v>31</v>
      </c>
      <c r="C25" s="174" t="str">
        <f>Q34</f>
        <v>N/A</v>
      </c>
      <c r="D25" s="86" t="str">
        <f>R34</f>
        <v>N/A</v>
      </c>
      <c r="E25" s="152">
        <v>32</v>
      </c>
      <c r="F25" s="86" t="str">
        <f>Q35</f>
        <v>N/A</v>
      </c>
      <c r="G25" s="87" t="str">
        <f>R35</f>
        <v>N/A</v>
      </c>
      <c r="H25" s="85"/>
      <c r="I25" s="155">
        <v>31</v>
      </c>
      <c r="J25" s="86" t="str">
        <f>U34</f>
        <v>N/A</v>
      </c>
      <c r="K25" s="86" t="str">
        <f>V34</f>
        <v>N/A</v>
      </c>
      <c r="L25" s="152">
        <v>32</v>
      </c>
      <c r="M25" s="86" t="str">
        <f>U35</f>
        <v>N/A</v>
      </c>
      <c r="N25" s="87" t="str">
        <f>V35</f>
        <v>N/A</v>
      </c>
      <c r="P25" s="149">
        <v>22</v>
      </c>
      <c r="Q25" s="76" t="str">
        <f>IF('Rack Layout'!F24=1, 'Rack Layout'!D24, "N/A")</f>
        <v>N/A</v>
      </c>
      <c r="R25" s="76" t="str">
        <f>IF(OR('Rack Layout'!F24=2,'Rack Layout'!F24=3,'Rack Layout'!F24=4),'Rack Layout'!D24/2,"N/A")</f>
        <v>N/A</v>
      </c>
      <c r="T25" s="149">
        <v>22</v>
      </c>
      <c r="U25" s="76" t="str">
        <f>IF('Rack Layout'!T24=1, 'Rack Layout'!R24, "N/A")</f>
        <v>N/A</v>
      </c>
      <c r="V25" s="76" t="str">
        <f>IF(OR('Rack Layout'!T24=2,'Rack Layout'!T24=3,'Rack Layout'!T24=4),'Rack Layout'!R24/2,"N/A")</f>
        <v>N/A</v>
      </c>
    </row>
    <row r="26" spans="2:22" x14ac:dyDescent="0.3">
      <c r="B26" s="156">
        <v>33</v>
      </c>
      <c r="C26" s="173" t="str">
        <f>Q36</f>
        <v>N/A</v>
      </c>
      <c r="D26" s="83" t="str">
        <f>R36</f>
        <v>N/A</v>
      </c>
      <c r="E26" s="153">
        <v>34</v>
      </c>
      <c r="F26" s="83" t="str">
        <f>Q37</f>
        <v>N/A</v>
      </c>
      <c r="G26" s="84" t="str">
        <f>R37</f>
        <v>N/A</v>
      </c>
      <c r="H26" s="85"/>
      <c r="I26" s="156">
        <v>33</v>
      </c>
      <c r="J26" s="83" t="str">
        <f>U36</f>
        <v>N/A</v>
      </c>
      <c r="K26" s="83" t="str">
        <f>V36</f>
        <v>N/A</v>
      </c>
      <c r="L26" s="153">
        <v>34</v>
      </c>
      <c r="M26" s="83" t="str">
        <f>U37</f>
        <v>N/A</v>
      </c>
      <c r="N26" s="84" t="str">
        <f>V37</f>
        <v>N/A</v>
      </c>
      <c r="P26" s="142">
        <v>23</v>
      </c>
      <c r="Q26" s="76" t="str">
        <f>IF('Rack Layout'!F25=1, 'Rack Layout'!D25, "N/A")</f>
        <v>N/A</v>
      </c>
      <c r="R26" s="76" t="str">
        <f>IF(OR('Rack Layout'!F25=2,'Rack Layout'!F25=3,'Rack Layout'!F25=4),'Rack Layout'!D25/2,"N/A")</f>
        <v>N/A</v>
      </c>
      <c r="T26" s="142">
        <v>23</v>
      </c>
      <c r="U26" s="76" t="str">
        <f>IF('Rack Layout'!T25=1, 'Rack Layout'!R25, "N/A")</f>
        <v>N/A</v>
      </c>
      <c r="V26" s="76" t="str">
        <f>IF(OR('Rack Layout'!T25=2,'Rack Layout'!T25=3,'Rack Layout'!T25=4),'Rack Layout'!R25/2,"N/A")</f>
        <v>N/A</v>
      </c>
    </row>
    <row r="27" spans="2:22" x14ac:dyDescent="0.3">
      <c r="B27" s="155">
        <v>35</v>
      </c>
      <c r="C27" s="174" t="str">
        <f>Q38</f>
        <v>N/A</v>
      </c>
      <c r="D27" s="86" t="str">
        <f>R38</f>
        <v>N/A</v>
      </c>
      <c r="E27" s="152">
        <v>36</v>
      </c>
      <c r="F27" s="86" t="str">
        <f>Q39</f>
        <v>N/A</v>
      </c>
      <c r="G27" s="87" t="str">
        <f>R39</f>
        <v>N/A</v>
      </c>
      <c r="H27" s="85"/>
      <c r="I27" s="155">
        <v>35</v>
      </c>
      <c r="J27" s="86" t="str">
        <f>U38</f>
        <v>N/A</v>
      </c>
      <c r="K27" s="86" t="str">
        <f>V38</f>
        <v>N/A</v>
      </c>
      <c r="L27" s="152">
        <v>36</v>
      </c>
      <c r="M27" s="86" t="str">
        <f>U39</f>
        <v>N/A</v>
      </c>
      <c r="N27" s="87" t="str">
        <f>V39</f>
        <v>N/A</v>
      </c>
      <c r="P27" s="149">
        <v>24</v>
      </c>
      <c r="Q27" s="76" t="str">
        <f>IF('Rack Layout'!F26=1, 'Rack Layout'!D26, "N/A")</f>
        <v>N/A</v>
      </c>
      <c r="R27" s="76" t="str">
        <f>IF(OR('Rack Layout'!F26=2,'Rack Layout'!F26=3,'Rack Layout'!F26=4),'Rack Layout'!D26/2,"N/A")</f>
        <v>N/A</v>
      </c>
      <c r="T27" s="149">
        <v>24</v>
      </c>
      <c r="U27" s="76" t="str">
        <f>IF('Rack Layout'!T26=1, 'Rack Layout'!R26, "N/A")</f>
        <v>N/A</v>
      </c>
      <c r="V27" s="76" t="str">
        <f>IF(OR('Rack Layout'!T26=2,'Rack Layout'!T26=3,'Rack Layout'!T26=4),'Rack Layout'!R26/2,"N/A")</f>
        <v>N/A</v>
      </c>
    </row>
    <row r="28" spans="2:22" x14ac:dyDescent="0.3">
      <c r="B28" s="156">
        <v>37</v>
      </c>
      <c r="C28" s="173" t="str">
        <f>Q40</f>
        <v>N/A</v>
      </c>
      <c r="D28" s="83" t="str">
        <f>R40</f>
        <v>N/A</v>
      </c>
      <c r="E28" s="153">
        <v>38</v>
      </c>
      <c r="F28" s="83" t="str">
        <f>Q41</f>
        <v>N/A</v>
      </c>
      <c r="G28" s="84" t="str">
        <f>R41</f>
        <v>N/A</v>
      </c>
      <c r="H28" s="85"/>
      <c r="I28" s="156">
        <v>37</v>
      </c>
      <c r="J28" s="83" t="str">
        <f>U40</f>
        <v>N/A</v>
      </c>
      <c r="K28" s="83" t="str">
        <f>V40</f>
        <v>N/A</v>
      </c>
      <c r="L28" s="153">
        <v>38</v>
      </c>
      <c r="M28" s="83" t="str">
        <f>U41</f>
        <v>N/A</v>
      </c>
      <c r="N28" s="84" t="str">
        <f>V41</f>
        <v>N/A</v>
      </c>
      <c r="P28" s="157">
        <v>25</v>
      </c>
      <c r="Q28" s="76" t="str">
        <f>IF('Rack Layout'!F27=1, 'Rack Layout'!D27, "N/A")</f>
        <v>N/A</v>
      </c>
      <c r="R28" s="76" t="str">
        <f>IF(OR('Rack Layout'!F27=2,'Rack Layout'!F27=3,'Rack Layout'!F27=4),'Rack Layout'!D27/2,"N/A")</f>
        <v>N/A</v>
      </c>
      <c r="T28" s="157">
        <v>25</v>
      </c>
      <c r="U28" s="76" t="str">
        <f>IF('Rack Layout'!T27=1, 'Rack Layout'!R27, "N/A")</f>
        <v>N/A</v>
      </c>
      <c r="V28" s="76" t="str">
        <f>IF(OR('Rack Layout'!T27=2,'Rack Layout'!T27=3,'Rack Layout'!T27=4),'Rack Layout'!R27/2,"N/A")</f>
        <v>N/A</v>
      </c>
    </row>
    <row r="29" spans="2:22" x14ac:dyDescent="0.3">
      <c r="B29" s="155">
        <v>39</v>
      </c>
      <c r="C29" s="174" t="str">
        <f>Q42</f>
        <v>N/A</v>
      </c>
      <c r="D29" s="86" t="str">
        <f>R42</f>
        <v>N/A</v>
      </c>
      <c r="E29" s="152">
        <v>40</v>
      </c>
      <c r="F29" s="86" t="str">
        <f>Q43</f>
        <v>N/A</v>
      </c>
      <c r="G29" s="87" t="str">
        <f>R43</f>
        <v>N/A</v>
      </c>
      <c r="H29" s="85"/>
      <c r="I29" s="155">
        <v>39</v>
      </c>
      <c r="J29" s="86" t="str">
        <f>U42</f>
        <v>N/A</v>
      </c>
      <c r="K29" s="86" t="str">
        <f>V42</f>
        <v>N/A</v>
      </c>
      <c r="L29" s="152">
        <v>40</v>
      </c>
      <c r="M29" s="86" t="str">
        <f>U43</f>
        <v>N/A</v>
      </c>
      <c r="N29" s="87" t="str">
        <f>V43</f>
        <v>N/A</v>
      </c>
      <c r="P29" s="158">
        <v>26</v>
      </c>
      <c r="Q29" s="76" t="str">
        <f>IF('Rack Layout'!F28=1, 'Rack Layout'!D28, "N/A")</f>
        <v>N/A</v>
      </c>
      <c r="R29" s="76" t="str">
        <f>IF(OR('Rack Layout'!F28=2,'Rack Layout'!F28=3,'Rack Layout'!F28=4),'Rack Layout'!D28/2,"N/A")</f>
        <v>N/A</v>
      </c>
      <c r="T29" s="158">
        <v>26</v>
      </c>
      <c r="U29" s="76" t="str">
        <f>IF('Rack Layout'!T28=1, 'Rack Layout'!R28, "N/A")</f>
        <v>N/A</v>
      </c>
      <c r="V29" s="76" t="str">
        <f>IF(OR('Rack Layout'!T28=2,'Rack Layout'!T28=3,'Rack Layout'!T28=4),'Rack Layout'!R28/2,"N/A")</f>
        <v>N/A</v>
      </c>
    </row>
    <row r="30" spans="2:22" x14ac:dyDescent="0.3">
      <c r="B30" s="156">
        <v>41</v>
      </c>
      <c r="C30" s="173" t="str">
        <f>Q44</f>
        <v>N/A</v>
      </c>
      <c r="D30" s="83" t="str">
        <f>R44</f>
        <v>N/A</v>
      </c>
      <c r="E30" s="153">
        <v>42</v>
      </c>
      <c r="F30" s="83" t="str">
        <f>Q45</f>
        <v>N/A</v>
      </c>
      <c r="G30" s="84" t="str">
        <f>R45</f>
        <v>N/A</v>
      </c>
      <c r="H30" s="85"/>
      <c r="I30" s="156">
        <v>41</v>
      </c>
      <c r="J30" s="83" t="str">
        <f>U44</f>
        <v>N/A</v>
      </c>
      <c r="K30" s="83" t="str">
        <f>V44</f>
        <v>N/A</v>
      </c>
      <c r="L30" s="153">
        <v>42</v>
      </c>
      <c r="M30" s="83" t="str">
        <f>U45</f>
        <v>N/A</v>
      </c>
      <c r="N30" s="84" t="str">
        <f>V45</f>
        <v>N/A</v>
      </c>
      <c r="P30" s="157">
        <v>27</v>
      </c>
      <c r="Q30" s="76" t="str">
        <f>IF('Rack Layout'!F29=1, 'Rack Layout'!D29, "N/A")</f>
        <v>N/A</v>
      </c>
      <c r="R30" s="76" t="str">
        <f>IF(OR('Rack Layout'!F29=2,'Rack Layout'!F29=3,'Rack Layout'!F29=4),'Rack Layout'!D29/2,"N/A")</f>
        <v>N/A</v>
      </c>
      <c r="T30" s="157">
        <v>27</v>
      </c>
      <c r="U30" s="76" t="str">
        <f>IF('Rack Layout'!T29=1, 'Rack Layout'!R29, "N/A")</f>
        <v>N/A</v>
      </c>
      <c r="V30" s="76" t="str">
        <f>IF(OR('Rack Layout'!T29=2,'Rack Layout'!T29=3,'Rack Layout'!T29=4),'Rack Layout'!R29/2,"N/A")</f>
        <v>N/A</v>
      </c>
    </row>
    <row r="31" spans="2:22" ht="15" thickBot="1" x14ac:dyDescent="0.35">
      <c r="B31" s="155">
        <v>43</v>
      </c>
      <c r="C31" s="174" t="str">
        <f>Q46</f>
        <v>N/A</v>
      </c>
      <c r="D31" s="86" t="str">
        <f>R46</f>
        <v>N/A</v>
      </c>
      <c r="E31" s="152">
        <v>44</v>
      </c>
      <c r="F31" s="86" t="str">
        <f>Q47</f>
        <v>N/A</v>
      </c>
      <c r="G31" s="87" t="str">
        <f>R47</f>
        <v>N/A</v>
      </c>
      <c r="H31" s="85"/>
      <c r="I31" s="155">
        <v>43</v>
      </c>
      <c r="J31" s="86" t="str">
        <f>U46</f>
        <v>N/A</v>
      </c>
      <c r="K31" s="86" t="str">
        <f>V46</f>
        <v>N/A</v>
      </c>
      <c r="L31" s="152">
        <v>44</v>
      </c>
      <c r="M31" s="86" t="str">
        <f>U47</f>
        <v>N/A</v>
      </c>
      <c r="N31" s="87" t="str">
        <f>V47</f>
        <v>N/A</v>
      </c>
      <c r="P31" s="158">
        <v>28</v>
      </c>
      <c r="Q31" s="76" t="str">
        <f>IF('Rack Layout'!F30=1, 'Rack Layout'!D30, "N/A")</f>
        <v>N/A</v>
      </c>
      <c r="R31" s="76" t="str">
        <f>IF(OR('Rack Layout'!F30=2,'Rack Layout'!F30=3,'Rack Layout'!F30=4),'Rack Layout'!D30/2,"N/A")</f>
        <v>N/A</v>
      </c>
      <c r="T31" s="158">
        <v>28</v>
      </c>
      <c r="U31" s="76" t="str">
        <f>IF('Rack Layout'!T30=1, 'Rack Layout'!R30, "N/A")</f>
        <v>N/A</v>
      </c>
      <c r="V31" s="76" t="str">
        <f>IF(OR('Rack Layout'!T30=2,'Rack Layout'!T30=3,'Rack Layout'!T30=4),'Rack Layout'!R30/2,"N/A")</f>
        <v>N/A</v>
      </c>
    </row>
    <row r="32" spans="2:22" x14ac:dyDescent="0.3">
      <c r="B32" s="88" t="s">
        <v>221</v>
      </c>
      <c r="C32" s="89">
        <f>SUM(PowerHBottomSingle)</f>
        <v>0</v>
      </c>
      <c r="D32" s="89">
        <f>SUM(D22:D31)</f>
        <v>0</v>
      </c>
      <c r="E32" s="90" t="s">
        <v>221</v>
      </c>
      <c r="F32" s="89">
        <f>SUM(F22:F31)</f>
        <v>0</v>
      </c>
      <c r="G32" s="91">
        <f>SUM(G22:G31)</f>
        <v>0</v>
      </c>
      <c r="H32" s="92"/>
      <c r="I32" s="88" t="s">
        <v>221</v>
      </c>
      <c r="J32" s="89">
        <f>SUM(J22:J31)</f>
        <v>0</v>
      </c>
      <c r="K32" s="89">
        <f>SUM(K22:K31)</f>
        <v>0</v>
      </c>
      <c r="L32" s="90" t="s">
        <v>221</v>
      </c>
      <c r="M32" s="89">
        <f>SUM(M22:M31)</f>
        <v>0</v>
      </c>
      <c r="N32" s="91">
        <f>SUM(N22:N31)</f>
        <v>0</v>
      </c>
      <c r="P32" s="157">
        <v>29</v>
      </c>
      <c r="Q32" s="76" t="str">
        <f>IF('Rack Layout'!F31=1, 'Rack Layout'!D31, "N/A")</f>
        <v>N/A</v>
      </c>
      <c r="R32" s="76" t="str">
        <f>IF(OR('Rack Layout'!F31=2,'Rack Layout'!F31=3,'Rack Layout'!F31=4),'Rack Layout'!D31/2,"N/A")</f>
        <v>N/A</v>
      </c>
      <c r="T32" s="157">
        <v>29</v>
      </c>
      <c r="U32" s="76" t="str">
        <f>IF('Rack Layout'!T31=1, 'Rack Layout'!R31, "N/A")</f>
        <v>N/A</v>
      </c>
      <c r="V32" s="76" t="str">
        <f>IF(OR('Rack Layout'!T31=2,'Rack Layout'!T31=3,'Rack Layout'!T31=4),'Rack Layout'!R31/2,"N/A")</f>
        <v>N/A</v>
      </c>
    </row>
    <row r="33" spans="2:22" x14ac:dyDescent="0.3">
      <c r="B33" s="760"/>
      <c r="C33" s="760"/>
      <c r="D33" s="760"/>
      <c r="E33" s="760"/>
      <c r="F33" s="760"/>
      <c r="G33" s="760"/>
      <c r="I33" s="760"/>
      <c r="J33" s="760"/>
      <c r="K33" s="760"/>
      <c r="L33" s="760"/>
      <c r="M33" s="760"/>
      <c r="N33" s="760"/>
      <c r="P33" s="158">
        <v>30</v>
      </c>
      <c r="Q33" s="76" t="str">
        <f>IF('Rack Layout'!F32=1, 'Rack Layout'!D32, "N/A")</f>
        <v>N/A</v>
      </c>
      <c r="R33" s="76" t="str">
        <f>IF(OR('Rack Layout'!F32=2,'Rack Layout'!F32=3,'Rack Layout'!F32=4),'Rack Layout'!D32/2,"N/A")</f>
        <v>N/A</v>
      </c>
      <c r="T33" s="158">
        <v>30</v>
      </c>
      <c r="U33" s="76" t="str">
        <f>IF('Rack Layout'!T32=1, 'Rack Layout'!R32, "N/A")</f>
        <v>N/A</v>
      </c>
      <c r="V33" s="76" t="str">
        <f>IF(OR('Rack Layout'!T32=2,'Rack Layout'!T32=3,'Rack Layout'!T32=4),'Rack Layout'!R32/2,"N/A")</f>
        <v>N/A</v>
      </c>
    </row>
    <row r="34" spans="2:22" x14ac:dyDescent="0.3">
      <c r="B34" s="761" t="s">
        <v>224</v>
      </c>
      <c r="C34" s="762"/>
      <c r="D34" s="763"/>
      <c r="E34" s="767" t="s">
        <v>225</v>
      </c>
      <c r="F34" s="762"/>
      <c r="G34" s="768"/>
      <c r="I34" s="761" t="s">
        <v>224</v>
      </c>
      <c r="J34" s="762"/>
      <c r="K34" s="763"/>
      <c r="L34" s="767" t="s">
        <v>225</v>
      </c>
      <c r="M34" s="762"/>
      <c r="N34" s="768"/>
      <c r="P34" s="157">
        <v>31</v>
      </c>
      <c r="Q34" s="76" t="str">
        <f>IF('Rack Layout'!F33=1, 'Rack Layout'!D33, "N/A")</f>
        <v>N/A</v>
      </c>
      <c r="R34" s="76" t="str">
        <f>IF(OR('Rack Layout'!F33=2,'Rack Layout'!F33=3,'Rack Layout'!F33=4),'Rack Layout'!D33/2,"N/A")</f>
        <v>N/A</v>
      </c>
      <c r="T34" s="157">
        <v>31</v>
      </c>
      <c r="U34" s="76" t="str">
        <f>IF('Rack Layout'!T33=1, 'Rack Layout'!R33, "N/A")</f>
        <v>N/A</v>
      </c>
      <c r="V34" s="76" t="str">
        <f>IF(OR('Rack Layout'!T33=2,'Rack Layout'!T33=3,'Rack Layout'!T33=4),'Rack Layout'!R33/2,"N/A")</f>
        <v>N/A</v>
      </c>
    </row>
    <row r="35" spans="2:22" x14ac:dyDescent="0.3">
      <c r="B35" s="764"/>
      <c r="C35" s="765"/>
      <c r="D35" s="766"/>
      <c r="E35" s="769"/>
      <c r="F35" s="765"/>
      <c r="G35" s="770"/>
      <c r="I35" s="764"/>
      <c r="J35" s="765"/>
      <c r="K35" s="766"/>
      <c r="L35" s="769"/>
      <c r="M35" s="765"/>
      <c r="N35" s="770"/>
      <c r="P35" s="158">
        <v>32</v>
      </c>
      <c r="Q35" s="76" t="str">
        <f>IF('Rack Layout'!F34=1, 'Rack Layout'!D34, "N/A")</f>
        <v>N/A</v>
      </c>
      <c r="R35" s="76" t="str">
        <f>IF(OR('Rack Layout'!F34=2,'Rack Layout'!F34=3,'Rack Layout'!F34=4),'Rack Layout'!D34/2,"N/A")</f>
        <v>N/A</v>
      </c>
      <c r="T35" s="158">
        <v>32</v>
      </c>
      <c r="U35" s="76" t="str">
        <f>IF('Rack Layout'!T34=1, 'Rack Layout'!R34, "N/A")</f>
        <v>N/A</v>
      </c>
      <c r="V35" s="76" t="str">
        <f>IF(OR('Rack Layout'!T34=2,'Rack Layout'!T34=3,'Rack Layout'!T34=4),'Rack Layout'!R34/2,"N/A")</f>
        <v>N/A</v>
      </c>
    </row>
    <row r="36" spans="2:22" x14ac:dyDescent="0.3">
      <c r="B36" s="771" t="s">
        <v>226</v>
      </c>
      <c r="C36" s="772"/>
      <c r="D36" s="218">
        <f>C18</f>
        <v>0</v>
      </c>
      <c r="E36" s="772" t="s">
        <v>226</v>
      </c>
      <c r="F36" s="773"/>
      <c r="G36" s="217">
        <f>F18</f>
        <v>0</v>
      </c>
      <c r="I36" s="771" t="s">
        <v>226</v>
      </c>
      <c r="J36" s="772"/>
      <c r="K36" s="93">
        <f>J18</f>
        <v>0</v>
      </c>
      <c r="L36" s="772" t="s">
        <v>226</v>
      </c>
      <c r="M36" s="772"/>
      <c r="N36" s="93">
        <f>M18</f>
        <v>0</v>
      </c>
      <c r="P36" s="157">
        <v>33</v>
      </c>
      <c r="Q36" s="76" t="str">
        <f>IF('Rack Layout'!F35=1, 'Rack Layout'!D35, "N/A")</f>
        <v>N/A</v>
      </c>
      <c r="R36" s="76" t="str">
        <f>IF(OR('Rack Layout'!F35=2,'Rack Layout'!F35=3,'Rack Layout'!F35=4),'Rack Layout'!D35/2,"N/A")</f>
        <v>N/A</v>
      </c>
      <c r="T36" s="157">
        <v>33</v>
      </c>
      <c r="U36" s="76" t="str">
        <f>IF('Rack Layout'!T35=1, 'Rack Layout'!R35, "N/A")</f>
        <v>N/A</v>
      </c>
      <c r="V36" s="76" t="str">
        <f>IF(OR('Rack Layout'!T35=2,'Rack Layout'!T35=3,'Rack Layout'!T35=4),'Rack Layout'!R35/2,"N/A")</f>
        <v>N/A</v>
      </c>
    </row>
    <row r="37" spans="2:22" ht="15" thickBot="1" x14ac:dyDescent="0.35">
      <c r="B37" s="774" t="s">
        <v>227</v>
      </c>
      <c r="C37" s="775"/>
      <c r="D37" s="216">
        <f>D18+G18</f>
        <v>0</v>
      </c>
      <c r="E37" s="776" t="s">
        <v>227</v>
      </c>
      <c r="F37" s="775"/>
      <c r="G37" s="94">
        <f>G18+D18</f>
        <v>0</v>
      </c>
      <c r="I37" s="774" t="s">
        <v>227</v>
      </c>
      <c r="J37" s="775"/>
      <c r="K37" s="94">
        <f>K18+N18</f>
        <v>0</v>
      </c>
      <c r="L37" s="776" t="s">
        <v>227</v>
      </c>
      <c r="M37" s="775"/>
      <c r="N37" s="94">
        <f>N18+K18</f>
        <v>0</v>
      </c>
      <c r="P37" s="158">
        <v>34</v>
      </c>
      <c r="Q37" s="76" t="str">
        <f>IF('Rack Layout'!F36=1, 'Rack Layout'!D36, "N/A")</f>
        <v>N/A</v>
      </c>
      <c r="R37" s="76" t="str">
        <f>IF(OR('Rack Layout'!F36=2,'Rack Layout'!F36=3,'Rack Layout'!F36=4),'Rack Layout'!D36/2,"N/A")</f>
        <v>N/A</v>
      </c>
      <c r="T37" s="158">
        <v>34</v>
      </c>
      <c r="U37" s="76" t="str">
        <f>IF('Rack Layout'!T36=1, 'Rack Layout'!R36, "N/A")</f>
        <v>N/A</v>
      </c>
      <c r="V37" s="76" t="str">
        <f>IF(OR('Rack Layout'!T36=2,'Rack Layout'!T36=3,'Rack Layout'!T36=4),'Rack Layout'!R36/2,"N/A")</f>
        <v>N/A</v>
      </c>
    </row>
    <row r="38" spans="2:22" x14ac:dyDescent="0.3">
      <c r="B38" s="777" t="s">
        <v>221</v>
      </c>
      <c r="C38" s="778"/>
      <c r="D38" s="95">
        <f>SUM(D36:D37)</f>
        <v>0</v>
      </c>
      <c r="E38" s="779" t="s">
        <v>221</v>
      </c>
      <c r="F38" s="778"/>
      <c r="G38" s="96">
        <f>SUM(G36:G37)</f>
        <v>0</v>
      </c>
      <c r="I38" s="777" t="s">
        <v>221</v>
      </c>
      <c r="J38" s="778"/>
      <c r="K38" s="95">
        <f>SUM(K36:K37)</f>
        <v>0</v>
      </c>
      <c r="L38" s="779" t="s">
        <v>221</v>
      </c>
      <c r="M38" s="778"/>
      <c r="N38" s="96">
        <f>SUM(N36:N37)</f>
        <v>0</v>
      </c>
      <c r="P38" s="157">
        <v>35</v>
      </c>
      <c r="Q38" s="76" t="str">
        <f>IF('Rack Layout'!F37=1, 'Rack Layout'!D37, "N/A")</f>
        <v>N/A</v>
      </c>
      <c r="R38" s="76" t="str">
        <f>IF(OR('Rack Layout'!F37=2,'Rack Layout'!F37=3,'Rack Layout'!F37=4),'Rack Layout'!D37/2,"N/A")</f>
        <v>N/A</v>
      </c>
      <c r="T38" s="157">
        <v>35</v>
      </c>
      <c r="U38" s="76" t="str">
        <f>IF('Rack Layout'!T37=1, 'Rack Layout'!R37, "N/A")</f>
        <v>N/A</v>
      </c>
      <c r="V38" s="76" t="str">
        <f>IF(OR('Rack Layout'!T37=2,'Rack Layout'!T37=3,'Rack Layout'!T37=4),'Rack Layout'!R37/2,"N/A")</f>
        <v>N/A</v>
      </c>
    </row>
    <row r="39" spans="2:22" x14ac:dyDescent="0.3">
      <c r="B39" s="780" t="s">
        <v>252</v>
      </c>
      <c r="C39" s="781"/>
      <c r="D39" s="89">
        <f>COUNT(C6:D17)</f>
        <v>0</v>
      </c>
      <c r="E39" s="782" t="s">
        <v>254</v>
      </c>
      <c r="F39" s="782"/>
      <c r="G39" s="89">
        <f>COUNT(#REF!,F6:G17)</f>
        <v>0</v>
      </c>
      <c r="I39" s="780" t="s">
        <v>252</v>
      </c>
      <c r="J39" s="781"/>
      <c r="K39" s="89">
        <f>COUNT(#REF!,J6:K17)</f>
        <v>0</v>
      </c>
      <c r="L39" s="782" t="s">
        <v>254</v>
      </c>
      <c r="M39" s="782"/>
      <c r="N39" s="89">
        <f>COUNT(#REF!,M6:N17)</f>
        <v>0</v>
      </c>
      <c r="P39" s="158">
        <v>36</v>
      </c>
      <c r="Q39" s="76" t="str">
        <f>IF('Rack Layout'!F38=1, 'Rack Layout'!D38, "N/A")</f>
        <v>N/A</v>
      </c>
      <c r="R39" s="76" t="str">
        <f>IF(OR('Rack Layout'!F38=2,'Rack Layout'!F38=3,'Rack Layout'!F38=4),'Rack Layout'!D38/2,"N/A")</f>
        <v>N/A</v>
      </c>
      <c r="T39" s="158">
        <v>36</v>
      </c>
      <c r="U39" s="76" t="str">
        <f>IF('Rack Layout'!T38=1, 'Rack Layout'!R38, "N/A")</f>
        <v>N/A</v>
      </c>
      <c r="V39" s="76" t="str">
        <f>IF(OR('Rack Layout'!T38=2,'Rack Layout'!T38=3,'Rack Layout'!T38=4),'Rack Layout'!R38/2,"N/A")</f>
        <v>N/A</v>
      </c>
    </row>
    <row r="40" spans="2:22" x14ac:dyDescent="0.3">
      <c r="B40" s="771" t="s">
        <v>228</v>
      </c>
      <c r="C40" s="772"/>
      <c r="D40" s="97">
        <f>C32</f>
        <v>0</v>
      </c>
      <c r="E40" s="772" t="s">
        <v>228</v>
      </c>
      <c r="F40" s="772"/>
      <c r="G40" s="97">
        <f>F32</f>
        <v>0</v>
      </c>
      <c r="I40" s="772" t="s">
        <v>228</v>
      </c>
      <c r="J40" s="772"/>
      <c r="K40" s="97">
        <f>J32</f>
        <v>0</v>
      </c>
      <c r="L40" s="772" t="s">
        <v>228</v>
      </c>
      <c r="M40" s="772"/>
      <c r="N40" s="97">
        <f>M32</f>
        <v>0</v>
      </c>
      <c r="P40" s="157">
        <v>37</v>
      </c>
      <c r="Q40" s="76" t="str">
        <f>IF('Rack Layout'!F39=1, 'Rack Layout'!D39, "N/A")</f>
        <v>N/A</v>
      </c>
      <c r="R40" s="76" t="str">
        <f>IF(OR('Rack Layout'!F39=2,'Rack Layout'!F39=3,'Rack Layout'!F39=4),'Rack Layout'!D39/2,"N/A")</f>
        <v>N/A</v>
      </c>
      <c r="T40" s="157">
        <v>37</v>
      </c>
      <c r="U40" s="76" t="str">
        <f>IF('Rack Layout'!T39=1, 'Rack Layout'!R39, "N/A")</f>
        <v>N/A</v>
      </c>
      <c r="V40" s="76" t="str">
        <f>IF(OR('Rack Layout'!T39=2,'Rack Layout'!T39=3,'Rack Layout'!T39=4),'Rack Layout'!R39/2,"N/A")</f>
        <v>N/A</v>
      </c>
    </row>
    <row r="41" spans="2:22" ht="15" thickBot="1" x14ac:dyDescent="0.35">
      <c r="B41" s="774" t="s">
        <v>229</v>
      </c>
      <c r="C41" s="775"/>
      <c r="D41" s="94">
        <f>D32+G32</f>
        <v>0</v>
      </c>
      <c r="E41" s="776" t="s">
        <v>229</v>
      </c>
      <c r="F41" s="775"/>
      <c r="G41" s="94">
        <f>G32+D32</f>
        <v>0</v>
      </c>
      <c r="I41" s="776" t="s">
        <v>229</v>
      </c>
      <c r="J41" s="775"/>
      <c r="K41" s="94">
        <f>K32+N32</f>
        <v>0</v>
      </c>
      <c r="L41" s="776" t="s">
        <v>229</v>
      </c>
      <c r="M41" s="775"/>
      <c r="N41" s="94">
        <f>N32+K32</f>
        <v>0</v>
      </c>
      <c r="P41" s="158">
        <v>38</v>
      </c>
      <c r="Q41" s="76" t="str">
        <f>IF('Rack Layout'!F40=1, 'Rack Layout'!D40, "N/A")</f>
        <v>N/A</v>
      </c>
      <c r="R41" s="76" t="str">
        <f>IF(OR('Rack Layout'!F40=2,'Rack Layout'!F40=3,'Rack Layout'!F40=4),'Rack Layout'!D40/2,"N/A")</f>
        <v>N/A</v>
      </c>
      <c r="T41" s="158">
        <v>38</v>
      </c>
      <c r="U41" s="76" t="str">
        <f>IF('Rack Layout'!T40=1, 'Rack Layout'!R40, "N/A")</f>
        <v>N/A</v>
      </c>
      <c r="V41" s="76" t="str">
        <f>IF(OR('Rack Layout'!T40=2,'Rack Layout'!T40=3,'Rack Layout'!T40=4),'Rack Layout'!R40/2,"N/A")</f>
        <v>N/A</v>
      </c>
    </row>
    <row r="42" spans="2:22" x14ac:dyDescent="0.3">
      <c r="B42" s="777" t="s">
        <v>221</v>
      </c>
      <c r="C42" s="778"/>
      <c r="D42" s="95">
        <f>SUM(D40:D41)</f>
        <v>0</v>
      </c>
      <c r="E42" s="779" t="s">
        <v>221</v>
      </c>
      <c r="F42" s="778"/>
      <c r="G42" s="96">
        <f>SUM(G40:G41)</f>
        <v>0</v>
      </c>
      <c r="I42" s="777" t="s">
        <v>221</v>
      </c>
      <c r="J42" s="778"/>
      <c r="K42" s="95">
        <f>SUM(K40:K41)</f>
        <v>0</v>
      </c>
      <c r="L42" s="779" t="s">
        <v>221</v>
      </c>
      <c r="M42" s="778"/>
      <c r="N42" s="96">
        <f>SUM(N40:N41)</f>
        <v>0</v>
      </c>
      <c r="P42" s="157">
        <v>39</v>
      </c>
      <c r="Q42" s="76" t="str">
        <f>IF('Rack Layout'!F41=1, 'Rack Layout'!D41, "N/A")</f>
        <v>N/A</v>
      </c>
      <c r="R42" s="76" t="str">
        <f>IF(OR('Rack Layout'!F41=2,'Rack Layout'!F41=3,'Rack Layout'!F41=4),'Rack Layout'!D41/2,"N/A")</f>
        <v>N/A</v>
      </c>
      <c r="T42" s="157">
        <v>39</v>
      </c>
      <c r="U42" s="76" t="str">
        <f>IF('Rack Layout'!T41=1, 'Rack Layout'!R41, "N/A")</f>
        <v>N/A</v>
      </c>
      <c r="V42" s="76" t="str">
        <f>IF(OR('Rack Layout'!T41=2,'Rack Layout'!T41=3,'Rack Layout'!T41=4),'Rack Layout'!R41/2,"N/A")</f>
        <v>N/A</v>
      </c>
    </row>
    <row r="43" spans="2:22" x14ac:dyDescent="0.3">
      <c r="B43" s="782" t="s">
        <v>253</v>
      </c>
      <c r="C43" s="782"/>
      <c r="D43" s="89">
        <f>COUNT(#REF!,C22:D31)</f>
        <v>0</v>
      </c>
      <c r="E43" s="782" t="s">
        <v>251</v>
      </c>
      <c r="F43" s="782"/>
      <c r="G43" s="89">
        <f>COUNT(#REF!,F22:G31)</f>
        <v>0</v>
      </c>
      <c r="I43" s="782" t="s">
        <v>251</v>
      </c>
      <c r="J43" s="782"/>
      <c r="K43" s="89">
        <f>COUNT(#REF!,J22:K31)</f>
        <v>0</v>
      </c>
      <c r="L43" s="782" t="s">
        <v>249</v>
      </c>
      <c r="M43" s="782"/>
      <c r="N43" s="89">
        <f>COUNT(#REF!,M22:N31)</f>
        <v>0</v>
      </c>
      <c r="P43" s="158">
        <v>40</v>
      </c>
      <c r="Q43" s="76" t="str">
        <f>IF('Rack Layout'!F42=1, 'Rack Layout'!D42, "N/A")</f>
        <v>N/A</v>
      </c>
      <c r="R43" s="76" t="str">
        <f>IF(OR('Rack Layout'!F42=2,'Rack Layout'!F42=3,'Rack Layout'!F42=4),'Rack Layout'!D42/2,"N/A")</f>
        <v>N/A</v>
      </c>
      <c r="T43" s="158">
        <v>40</v>
      </c>
      <c r="U43" s="76" t="str">
        <f>IF('Rack Layout'!T42=1, 'Rack Layout'!R42, "N/A")</f>
        <v>N/A</v>
      </c>
      <c r="V43" s="76" t="str">
        <f>IF(OR('Rack Layout'!T42=2,'Rack Layout'!T42=3,'Rack Layout'!T42=4),'Rack Layout'!R42/2,"N/A")</f>
        <v>N/A</v>
      </c>
    </row>
    <row r="44" spans="2:22" x14ac:dyDescent="0.3">
      <c r="B44" s="784"/>
      <c r="C44" s="785"/>
      <c r="D44" s="785"/>
      <c r="E44" s="785"/>
      <c r="F44" s="785"/>
      <c r="G44" s="786"/>
      <c r="I44" s="784"/>
      <c r="J44" s="785"/>
      <c r="K44" s="785"/>
      <c r="L44" s="785"/>
      <c r="M44" s="785"/>
      <c r="N44" s="786"/>
      <c r="P44" s="157">
        <v>41</v>
      </c>
      <c r="Q44" s="76" t="str">
        <f>IF('Rack Layout'!F43=1, 'Rack Layout'!D43, "N/A")</f>
        <v>N/A</v>
      </c>
      <c r="R44" s="76" t="str">
        <f>IF(OR('Rack Layout'!F43=2,'Rack Layout'!F43=3,'Rack Layout'!F43=4),'Rack Layout'!D43/2,"N/A")</f>
        <v>N/A</v>
      </c>
      <c r="T44" s="157">
        <v>41</v>
      </c>
      <c r="U44" s="76" t="str">
        <f>IF('Rack Layout'!T43=1, 'Rack Layout'!R43, "N/A")</f>
        <v>N/A</v>
      </c>
      <c r="V44" s="76" t="str">
        <f>IF(OR('Rack Layout'!T43=2,'Rack Layout'!T43=3,'Rack Layout'!T43=4),'Rack Layout'!R43/2,"N/A")</f>
        <v>N/A</v>
      </c>
    </row>
    <row r="45" spans="2:22" x14ac:dyDescent="0.3">
      <c r="B45" s="772" t="s">
        <v>230</v>
      </c>
      <c r="C45" s="772"/>
      <c r="D45" s="98">
        <f>SUM(D38,D42)</f>
        <v>0</v>
      </c>
      <c r="E45" s="772" t="s">
        <v>231</v>
      </c>
      <c r="F45" s="772"/>
      <c r="G45" s="98">
        <f>SUM(G38,G42)</f>
        <v>0</v>
      </c>
      <c r="I45" s="783" t="s">
        <v>230</v>
      </c>
      <c r="J45" s="783"/>
      <c r="K45" s="98">
        <f>SUM(K38,K42)</f>
        <v>0</v>
      </c>
      <c r="L45" s="772" t="s">
        <v>231</v>
      </c>
      <c r="M45" s="772"/>
      <c r="N45" s="98">
        <f>SUM(N38,N42)</f>
        <v>0</v>
      </c>
      <c r="P45" s="158">
        <v>42</v>
      </c>
      <c r="Q45" s="76" t="str">
        <f>IF('Rack Layout'!F44=1, 'Rack Layout'!D44, "N/A")</f>
        <v>N/A</v>
      </c>
      <c r="R45" s="76" t="str">
        <f>IF(OR('Rack Layout'!F44=2,'Rack Layout'!F44=3,'Rack Layout'!F44=4),'Rack Layout'!D44/2,"N/A")</f>
        <v>N/A</v>
      </c>
      <c r="T45" s="158">
        <v>42</v>
      </c>
      <c r="U45" s="76" t="str">
        <f>IF('Rack Layout'!T44=1, 'Rack Layout'!R44, "N/A")</f>
        <v>N/A</v>
      </c>
      <c r="V45" s="76" t="str">
        <f>IF(OR('Rack Layout'!T44=2,'Rack Layout'!T44=3,'Rack Layout'!T44=4),'Rack Layout'!R44/2,"N/A")</f>
        <v>N/A</v>
      </c>
    </row>
    <row r="46" spans="2:22" x14ac:dyDescent="0.3">
      <c r="B46" s="782" t="s">
        <v>249</v>
      </c>
      <c r="C46" s="782"/>
      <c r="D46" s="89">
        <f>SUM(D39,D43)</f>
        <v>0</v>
      </c>
      <c r="E46" s="782" t="s">
        <v>250</v>
      </c>
      <c r="F46" s="782"/>
      <c r="G46" s="89">
        <f>SUM(G39,G43)</f>
        <v>0</v>
      </c>
      <c r="I46" s="782" t="s">
        <v>249</v>
      </c>
      <c r="J46" s="782"/>
      <c r="K46" s="89">
        <f>COUNT(J6:K17,J22:K31)</f>
        <v>0</v>
      </c>
      <c r="L46" s="782" t="s">
        <v>250</v>
      </c>
      <c r="M46" s="782"/>
      <c r="N46" s="89">
        <f>COUNT(M6:N17,M22:N31)</f>
        <v>0</v>
      </c>
      <c r="P46" s="157">
        <v>43</v>
      </c>
      <c r="Q46" s="76" t="str">
        <f>IF('Rack Layout'!F45=1, 'Rack Layout'!D45, "N/A")</f>
        <v>N/A</v>
      </c>
      <c r="R46" s="76" t="str">
        <f>IF(OR('Rack Layout'!F45=2,'Rack Layout'!F45=3,'Rack Layout'!F45=4),'Rack Layout'!D45/2,"N/A")</f>
        <v>N/A</v>
      </c>
      <c r="T46" s="157">
        <v>43</v>
      </c>
      <c r="U46" s="76" t="str">
        <f>IF('Rack Layout'!T45=1, 'Rack Layout'!R45, "N/A")</f>
        <v>N/A</v>
      </c>
      <c r="V46" s="76" t="str">
        <f>IF(OR('Rack Layout'!T45=2,'Rack Layout'!T45=3,'Rack Layout'!T45=4),'Rack Layout'!R45/2,"N/A")</f>
        <v>N/A</v>
      </c>
    </row>
    <row r="47" spans="2:22" x14ac:dyDescent="0.3">
      <c r="B47" s="772" t="s">
        <v>205</v>
      </c>
      <c r="C47" s="772"/>
      <c r="D47" s="141">
        <f>IF(D45&gt;=G45,D45+G41+G37,G45+D41+D37)-0*COUNT(D6:D17,D22:D31,G6:G17,G22:G31)</f>
        <v>0</v>
      </c>
      <c r="E47" s="772" t="s">
        <v>232</v>
      </c>
      <c r="F47" s="772"/>
      <c r="G47" s="98">
        <f>IF(D45&gt;=G45, D45, G45)</f>
        <v>0</v>
      </c>
      <c r="I47" s="772" t="s">
        <v>205</v>
      </c>
      <c r="J47" s="772"/>
      <c r="K47" s="141">
        <f>IF(K45&gt;=N45,K45+N41+N37,N45+K41+K37)-(0*COUNT(K6:K17,K22:K31,N22:N31,N6:N17))</f>
        <v>0</v>
      </c>
      <c r="L47" s="772" t="s">
        <v>232</v>
      </c>
      <c r="M47" s="772"/>
      <c r="N47" s="98">
        <f>IF(K45&gt;=N45, K45, N45)</f>
        <v>0</v>
      </c>
      <c r="P47" s="158">
        <v>44</v>
      </c>
      <c r="Q47" s="215" t="str">
        <f>IF('Rack Layout'!F46=1, 'Rack Layout'!D46, "N/A")</f>
        <v>N/A</v>
      </c>
      <c r="R47" s="215" t="str">
        <f>IF(OR('Rack Layout'!F46=2,'Rack Layout'!F46=3,'Rack Layout'!F46=4),'Rack Layout'!D46/2,"N/A")</f>
        <v>N/A</v>
      </c>
      <c r="T47" s="158">
        <v>44</v>
      </c>
      <c r="U47" s="76" t="str">
        <f>IF('Rack Layout'!T46=1, 'Rack Layout'!R46, "N/A")</f>
        <v>N/A</v>
      </c>
      <c r="V47" s="76" t="str">
        <f>IF(OR('Rack Layout'!T46=2,'Rack Layout'!T46=3,'Rack Layout'!T46=4),'Rack Layout'!R46/2,"N/A")</f>
        <v>N/A</v>
      </c>
    </row>
  </sheetData>
  <sheetProtection formatCells="0" formatColumns="0" formatRows="0" insertColumns="0" insertRows="0" insertHyperlinks="0" deleteColumns="0" deleteRows="0" sort="0" autoFilter="0" pivotTables="0"/>
  <dataConsolidate/>
  <mergeCells count="64">
    <mergeCell ref="B47:C47"/>
    <mergeCell ref="E47:F47"/>
    <mergeCell ref="I47:J47"/>
    <mergeCell ref="L47:M47"/>
    <mergeCell ref="I46:J46"/>
    <mergeCell ref="L46:M46"/>
    <mergeCell ref="B46:C46"/>
    <mergeCell ref="E46:F46"/>
    <mergeCell ref="B45:C45"/>
    <mergeCell ref="E45:F45"/>
    <mergeCell ref="I45:J45"/>
    <mergeCell ref="L45:M45"/>
    <mergeCell ref="B43:C43"/>
    <mergeCell ref="E43:F43"/>
    <mergeCell ref="I43:J43"/>
    <mergeCell ref="L43:M43"/>
    <mergeCell ref="I44:N44"/>
    <mergeCell ref="B44:G44"/>
    <mergeCell ref="B41:C41"/>
    <mergeCell ref="E41:F41"/>
    <mergeCell ref="I41:J41"/>
    <mergeCell ref="L41:M41"/>
    <mergeCell ref="B42:C42"/>
    <mergeCell ref="E42:F42"/>
    <mergeCell ref="I42:J42"/>
    <mergeCell ref="L42:M42"/>
    <mergeCell ref="B40:C40"/>
    <mergeCell ref="E40:F40"/>
    <mergeCell ref="I40:J40"/>
    <mergeCell ref="L40:M40"/>
    <mergeCell ref="B39:C39"/>
    <mergeCell ref="E39:F39"/>
    <mergeCell ref="I39:J39"/>
    <mergeCell ref="L39:M39"/>
    <mergeCell ref="B37:C37"/>
    <mergeCell ref="E37:F37"/>
    <mergeCell ref="I37:J37"/>
    <mergeCell ref="L37:M37"/>
    <mergeCell ref="B38:C38"/>
    <mergeCell ref="E38:F38"/>
    <mergeCell ref="I38:J38"/>
    <mergeCell ref="L38:M38"/>
    <mergeCell ref="B34:D35"/>
    <mergeCell ref="E34:G35"/>
    <mergeCell ref="I34:K35"/>
    <mergeCell ref="L34:N35"/>
    <mergeCell ref="B36:C36"/>
    <mergeCell ref="E36:F36"/>
    <mergeCell ref="I36:J36"/>
    <mergeCell ref="L36:M36"/>
    <mergeCell ref="B19:D20"/>
    <mergeCell ref="E19:G20"/>
    <mergeCell ref="I19:K20"/>
    <mergeCell ref="L19:N20"/>
    <mergeCell ref="B33:G33"/>
    <mergeCell ref="I33:N33"/>
    <mergeCell ref="B1:G2"/>
    <mergeCell ref="I1:N2"/>
    <mergeCell ref="P1:R2"/>
    <mergeCell ref="T1:V2"/>
    <mergeCell ref="B3:D4"/>
    <mergeCell ref="E3:G4"/>
    <mergeCell ref="I3:K4"/>
    <mergeCell ref="L3:N4"/>
  </mergeCells>
  <conditionalFormatting sqref="C6:D17 F6:G17 J6:K17 M6:N17 C22:D31 F22:G31 J22:K31 M22:N31 Q4:R47 U4:V47">
    <cfRule type="notContainsText" dxfId="289" priority="1" operator="notContains" text="N/A">
      <formula>ISERROR(SEARCH("N/A",C4))</formula>
    </cfRule>
  </conditionalFormatting>
  <pageMargins left="0.7" right="0.7" top="0.75" bottom="0.75" header="0.3" footer="0.3"/>
  <pageSetup orientation="portrait" verticalDpi="1200"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1"/>
  </sheetPr>
  <dimension ref="A1:AN112"/>
  <sheetViews>
    <sheetView showGridLines="0" zoomScale="85" zoomScaleNormal="85" zoomScalePageLayoutView="75" workbookViewId="0">
      <selection activeCell="AH12" sqref="AH12"/>
    </sheetView>
  </sheetViews>
  <sheetFormatPr defaultColWidth="9.109375" defaultRowHeight="14.4" x14ac:dyDescent="0.3"/>
  <cols>
    <col min="1" max="1" width="6.44140625" style="606" customWidth="1"/>
    <col min="2" max="2" width="75" style="237" customWidth="1"/>
    <col min="3" max="3" width="7.33203125" style="237" hidden="1" customWidth="1"/>
    <col min="4" max="4" width="6" style="237" hidden="1" customWidth="1"/>
    <col min="5" max="5" width="6" style="330" hidden="1" customWidth="1"/>
    <col min="6" max="6" width="5.44140625" style="329" hidden="1" customWidth="1"/>
    <col min="7" max="7" width="6" style="237" hidden="1" customWidth="1"/>
    <col min="8" max="8" width="5.33203125" style="237" hidden="1" customWidth="1"/>
    <col min="9" max="9" width="5.88671875" style="237" hidden="1" customWidth="1"/>
    <col min="10" max="10" width="5.6640625" style="237" hidden="1" customWidth="1"/>
    <col min="11" max="11" width="2.5546875" style="237" customWidth="1"/>
    <col min="12" max="13" width="16.109375" style="624" customWidth="1"/>
    <col min="14" max="14" width="2.33203125" style="237" customWidth="1"/>
    <col min="15" max="15" width="4.44140625" style="237" customWidth="1"/>
    <col min="16" max="16" width="84.88671875" style="131" customWidth="1"/>
    <col min="17" max="17" width="7.33203125" style="131" hidden="1" customWidth="1"/>
    <col min="18" max="18" width="6" style="131" hidden="1" customWidth="1"/>
    <col min="19" max="19" width="8.109375" style="131" hidden="1" customWidth="1"/>
    <col min="20" max="20" width="6.33203125" style="131" hidden="1" customWidth="1"/>
    <col min="21" max="21" width="6" style="131" hidden="1" customWidth="1"/>
    <col min="22" max="22" width="5.33203125" style="131" hidden="1" customWidth="1"/>
    <col min="23" max="23" width="5.88671875" style="131" hidden="1" customWidth="1"/>
    <col min="24" max="24" width="5.6640625" style="237" hidden="1" customWidth="1"/>
    <col min="25" max="25" width="2.44140625" style="237" customWidth="1"/>
    <col min="26" max="27" width="16.109375" style="624" customWidth="1"/>
    <col min="28" max="28" width="2.33203125" style="237" customWidth="1"/>
    <col min="29" max="29" width="9.109375" style="237" customWidth="1"/>
    <col min="30" max="30" width="9.33203125" style="237" customWidth="1"/>
    <col min="31" max="33" width="9.109375" style="237"/>
    <col min="34" max="35" width="9.109375" style="237" customWidth="1"/>
    <col min="36" max="36" width="4.88671875" style="237" customWidth="1"/>
    <col min="37" max="39" width="9.109375" style="237" hidden="1" customWidth="1"/>
    <col min="40" max="40" width="9.6640625" style="237" hidden="1" customWidth="1"/>
    <col min="41" max="41" width="9.109375" style="237" customWidth="1"/>
    <col min="42" max="16384" width="9.109375" style="237"/>
  </cols>
  <sheetData>
    <row r="1" spans="1:40" ht="15.6" x14ac:dyDescent="0.3">
      <c r="A1" s="321"/>
      <c r="B1" s="322" t="s">
        <v>521</v>
      </c>
      <c r="C1" s="321"/>
      <c r="D1" s="321"/>
      <c r="E1" s="321"/>
      <c r="F1" s="321"/>
      <c r="G1" s="321"/>
      <c r="H1" s="321"/>
      <c r="I1" s="321"/>
      <c r="J1" s="321"/>
      <c r="K1" s="464"/>
      <c r="L1" s="791"/>
      <c r="M1" s="792"/>
      <c r="O1" s="321"/>
      <c r="P1" s="322" t="s">
        <v>197</v>
      </c>
      <c r="Q1" s="321"/>
      <c r="R1" s="321"/>
      <c r="S1" s="321"/>
      <c r="T1" s="321"/>
      <c r="U1" s="321"/>
      <c r="V1" s="321"/>
      <c r="W1" s="321"/>
      <c r="X1" s="321"/>
      <c r="Y1" s="464"/>
      <c r="Z1" s="791"/>
      <c r="AA1" s="792"/>
    </row>
    <row r="2" spans="1:40" ht="21" customHeight="1" x14ac:dyDescent="0.3">
      <c r="A2" s="607" t="s">
        <v>198</v>
      </c>
      <c r="B2" s="608" t="s">
        <v>199</v>
      </c>
      <c r="C2" s="609" t="s">
        <v>200</v>
      </c>
      <c r="D2" s="609" t="s">
        <v>201</v>
      </c>
      <c r="E2" s="609" t="s">
        <v>202</v>
      </c>
      <c r="F2" s="609" t="s">
        <v>245</v>
      </c>
      <c r="G2" s="609" t="s">
        <v>125</v>
      </c>
      <c r="H2" s="609" t="s">
        <v>5</v>
      </c>
      <c r="I2" s="609" t="s">
        <v>123</v>
      </c>
      <c r="J2" s="605" t="s">
        <v>276</v>
      </c>
      <c r="K2" s="131"/>
      <c r="L2" s="793" t="s">
        <v>372</v>
      </c>
      <c r="M2" s="793"/>
      <c r="O2" s="326" t="s">
        <v>198</v>
      </c>
      <c r="P2" s="323" t="s">
        <v>199</v>
      </c>
      <c r="Q2" s="324" t="s">
        <v>200</v>
      </c>
      <c r="R2" s="324" t="s">
        <v>201</v>
      </c>
      <c r="S2" s="324" t="s">
        <v>202</v>
      </c>
      <c r="T2" s="324" t="s">
        <v>245</v>
      </c>
      <c r="U2" s="325" t="s">
        <v>125</v>
      </c>
      <c r="V2" s="325" t="s">
        <v>5</v>
      </c>
      <c r="W2" s="325" t="s">
        <v>123</v>
      </c>
      <c r="X2" s="249" t="s">
        <v>276</v>
      </c>
      <c r="Z2" s="793" t="str">
        <f>Power_Selection</f>
        <v>Three Phase</v>
      </c>
      <c r="AA2" s="793"/>
    </row>
    <row r="3" spans="1:40" ht="15" customHeight="1" x14ac:dyDescent="0.3">
      <c r="A3" s="610">
        <v>1</v>
      </c>
      <c r="B3" s="611"/>
      <c r="C3" s="612" t="str">
        <f>IF(ISNUMBER(VLOOKUP(B3,Server_Configs[],3,FALSE)), VLOOKUP(B3,Server_Configs[],3,FALSE), "N/A")</f>
        <v>N/A</v>
      </c>
      <c r="D3" s="613" t="str">
        <f>IF(ISNUMBER(C3), VLOOKUP(B3,Server_Configs[],2,FALSE), "N/A")</f>
        <v>N/A</v>
      </c>
      <c r="E3" s="612" t="str">
        <f>IF(ISNUMBER('Rack Layout'!$C3),'Rack Layout'!$D3*208/1000,"N/A")</f>
        <v>N/A</v>
      </c>
      <c r="F3" s="612" t="str">
        <f>IF(ISNUMBER(E3), VLOOKUP(B3,Server_Configs[],4,FALSE), "N/A")</f>
        <v>N/A</v>
      </c>
      <c r="G3" s="612" t="str">
        <f>IF(ISNUMBER(VLOOKUP(B3,Server_Configs[],6,FALSE)), VLOOKUP(B3,Server_Configs[],6,FALSE), "N/A")</f>
        <v>N/A</v>
      </c>
      <c r="H3" s="612" t="str">
        <f>IF(ISNUMBER(VLOOKUP(B3,Server_Configs[],8,FALSE)), VLOOKUP(B3,Server_Configs[],8,FALSE), "N/A")</f>
        <v>N/A</v>
      </c>
      <c r="I3" s="612" t="str">
        <f>IF(ISNUMBER(VLOOKUP(B3,Server_Configs[],9,FALSE)), VLOOKUP(B3,Server_Configs[],9,FALSE), "N/A")</f>
        <v>N/A</v>
      </c>
      <c r="J3" s="614" t="str">
        <f>IF(ISNUMBER(VLOOKUP(B3,Server_Configs[],10,FALSE)), VLOOKUP(B3,Server_Configs[],10,FALSE), "N/A")</f>
        <v>N/A</v>
      </c>
      <c r="K3" s="131"/>
      <c r="L3" s="642" t="str">
        <f>L68</f>
        <v>Total Kw</v>
      </c>
      <c r="M3" s="627">
        <f>M68</f>
        <v>0</v>
      </c>
      <c r="O3" s="668"/>
      <c r="P3" s="611">
        <f>Old_Layout[[#This Row],[Proc / Chassis]]</f>
        <v>0</v>
      </c>
      <c r="Q3" s="612" t="str">
        <f>IF(ISNUMBER(VLOOKUP(P3,Server_Configs[],3,FALSE)), VLOOKUP(P3,Server_Configs[],3,FALSE), "N/A")</f>
        <v>N/A</v>
      </c>
      <c r="R3" s="613" t="str">
        <f>IF(ISNUMBER(Q3), VLOOKUP(P3,Server_Configs[],2,FALSE), "N/A")</f>
        <v>N/A</v>
      </c>
      <c r="S3" s="612" t="str">
        <f>IF(ISNUMBER('Rack Layout'!$Q3),'Rack Layout'!$R3*208/1000,"N/A")</f>
        <v>N/A</v>
      </c>
      <c r="T3" s="612" t="str">
        <f>IF(ISNUMBER(S3), VLOOKUP(P3,Server_Configs[],4,FALSE), "N/A")</f>
        <v>N/A</v>
      </c>
      <c r="U3" s="612" t="str">
        <f>IF(ISNUMBER(VLOOKUP(P3,Server_Configs[],6,FALSE)), VLOOKUP(P3,Server_Configs[],6,FALSE), "N/A")</f>
        <v>N/A</v>
      </c>
      <c r="V3" s="612" t="str">
        <f>IF(ISNUMBER(VLOOKUP(P3,Server_Configs[],8,FALSE)), VLOOKUP(P3,Server_Configs[],8,FALSE), "N/A")</f>
        <v>N/A</v>
      </c>
      <c r="W3" s="612" t="str">
        <f>IF(ISNUMBER(VLOOKUP(P3,Server_Configs[],9,FALSE)), VLOOKUP(P3,Server_Configs[],9,FALSE), "N/A")</f>
        <v>N/A</v>
      </c>
      <c r="X3" s="614" t="str">
        <f>IF(ISNUMBER(VLOOKUP(P3,Server_Configs[],10,FALSE)), VLOOKUP(P3,Server_Configs[],10,FALSE), "N/A")</f>
        <v>N/A</v>
      </c>
      <c r="Z3" s="642" t="str">
        <f>Z68</f>
        <v>Total Kw</v>
      </c>
      <c r="AA3" s="627">
        <f>AA68</f>
        <v>0</v>
      </c>
      <c r="AK3" s="237" t="b">
        <f>OR(AM3=TRUE,AM4=TRUE,AM5=TRUE,AM6=TRUE,AM7=TRUE,AM8=TRUE,AM9=TRUE,AM10=TRUE,AM11=TRUE,AM12=TRUE,AM13=TRUE,AM14=TRUE,AM15=TRUE,AM16=TRUE,AM17=TRUE,AM18=TRUE,AM19=TRUE,AM20=TRUE,AM21=TRUE,AM22=TRUE,AM23=TRUE,AM24=TRUE,AM25=TRUE,AM26=TRUE,AM27=TRUE,AM28=TRUE,AM29=TRUE,AM30=TRUE,AM31=TRUE,AM32=TRUE,AM33=TRUE,AM34=TRUE,AM35=TRUE,AM36=TRUE,AM37=TRUE,AM38=TRUE,AM39=TRUE,AM40=TRUE,AM41=TRUE,AM42=TRUE,AM43=TRUE,AM44=TRUE,AM45=TRUE,AM46=TRUE,AK47=TRUE)</f>
        <v>0</v>
      </c>
      <c r="AL3" s="237" t="b">
        <f>OR(AN3=TRUE,AN4=TRUE,AN5=TRUE,AN6=TRUE,AN7=TRUE,AN8=TRUE,AN9=TRUE,AN10=TRUE,AN11=TRUE,AN12=TRUE,AN13=TRUE,AN14=TRUE,AN15=TRUE,AN16=TRUE,AN17=TRUE,AN18=TRUE,AN19=TRUE,AN20=TRUE,AN21=TRUE,AN22=TRUE,AN23=TRUE,AN24=TRUE,AN25=TRUE,AN26=TRUE,AN27=TRUE,AN28=TRUE,AN29=TRUE,AN30=TRUE,AN31=TRUE,AN32=TRUE,AN33=TRUE,AN34=TRUE,AN35=TRUE,AN36=TRUE,AN37=TRUE,AN38=TRUE,AN39=TRUE,AN40=TRUE,AN41=TRUE,AN42=TRUE,AN43=TRUE,AN44=TRUE,AN45=TRUE,AN46=TRUE)</f>
        <v>0</v>
      </c>
      <c r="AM3" s="237" t="b">
        <f>AND('Rack Layout'!$J3=1,'Rack Layout'!$F3=2)</f>
        <v>0</v>
      </c>
      <c r="AN3" s="237" t="b">
        <f>AND(New_Layout[[#This Row],[Units]]=1,New_Layout[[#This Row],[PSUs]]=2)</f>
        <v>0</v>
      </c>
    </row>
    <row r="4" spans="1:40" ht="15" customHeight="1" x14ac:dyDescent="0.3">
      <c r="A4" s="610">
        <v>2</v>
      </c>
      <c r="B4" s="5"/>
      <c r="C4" s="615" t="str">
        <f>IF(ISNUMBER(VLOOKUP(B4,Server_Configs[],3,FALSE)), VLOOKUP(B4,Server_Configs[],3,FALSE), "N/A")</f>
        <v>N/A</v>
      </c>
      <c r="D4" s="616" t="str">
        <f>IF(ISNUMBER(C4), VLOOKUP(B4,Server_Configs[],2,FALSE), "N/A")</f>
        <v>N/A</v>
      </c>
      <c r="E4" s="615" t="str">
        <f>IF(ISNUMBER('Rack Layout'!$C4),'Rack Layout'!$D4*208/1000,"N/A")</f>
        <v>N/A</v>
      </c>
      <c r="F4" s="615" t="str">
        <f>IF(ISNUMBER(E4), VLOOKUP(B4,Server_Configs[],4,FALSE), "N/A")</f>
        <v>N/A</v>
      </c>
      <c r="G4" s="615" t="str">
        <f>IF(ISNUMBER(VLOOKUP(B4,Server_Configs[],6,FALSE)), VLOOKUP(B4,Server_Configs[],6,FALSE), "N/A")</f>
        <v>N/A</v>
      </c>
      <c r="H4" s="615" t="str">
        <f>IF(ISNUMBER(VLOOKUP(B4,Server_Configs[],8,FALSE)), VLOOKUP(B4,Server_Configs[],8,FALSE), "N/A")</f>
        <v>N/A</v>
      </c>
      <c r="I4" s="615" t="str">
        <f>IF(ISNUMBER(VLOOKUP(B4,Server_Configs[],9,FALSE)), VLOOKUP(B4,Server_Configs[],9,FALSE), "N/A")</f>
        <v>N/A</v>
      </c>
      <c r="J4" s="617" t="str">
        <f>IF(ISNUMBER(VLOOKUP(B4,Server_Configs[],10,FALSE)), VLOOKUP(B4,Server_Configs[],10,FALSE), "N/A")</f>
        <v>N/A</v>
      </c>
      <c r="K4" s="131"/>
      <c r="L4" s="796" t="str">
        <f t="shared" ref="L4:L21" si="0">L69</f>
        <v>Strip P</v>
      </c>
      <c r="M4" s="797"/>
      <c r="O4" s="668"/>
      <c r="P4" s="5">
        <f>Old_Layout[[#This Row],[Proc / Chassis]]</f>
        <v>0</v>
      </c>
      <c r="Q4" s="615" t="str">
        <f>IF(ISNUMBER(VLOOKUP(P4,Server_Configs[],3,FALSE)), VLOOKUP(P4,Server_Configs[],3,FALSE), "N/A")</f>
        <v>N/A</v>
      </c>
      <c r="R4" s="616" t="str">
        <f>IF(ISNUMBER(Q4), VLOOKUP(P4,Server_Configs[],2,FALSE), "N/A")</f>
        <v>N/A</v>
      </c>
      <c r="S4" s="615" t="str">
        <f>IF(ISNUMBER('Rack Layout'!$Q4),'Rack Layout'!$R4*208/1000,"N/A")</f>
        <v>N/A</v>
      </c>
      <c r="T4" s="615" t="str">
        <f>IF(ISNUMBER(S4), VLOOKUP(P4,Server_Configs[],4,FALSE), "N/A")</f>
        <v>N/A</v>
      </c>
      <c r="U4" s="615" t="str">
        <f>IF(ISNUMBER(VLOOKUP(P4,Server_Configs[],6,FALSE)), VLOOKUP(P4,Server_Configs[],6,FALSE), "N/A")</f>
        <v>N/A</v>
      </c>
      <c r="V4" s="615" t="str">
        <f>IF(ISNUMBER(VLOOKUP(P4,Server_Configs[],8,FALSE)), VLOOKUP(P4,Server_Configs[],8,FALSE), "N/A")</f>
        <v>N/A</v>
      </c>
      <c r="W4" s="615" t="str">
        <f>IF(ISNUMBER(VLOOKUP(P4,Server_Configs[],9,FALSE)), VLOOKUP(P4,Server_Configs[],9,FALSE), "N/A")</f>
        <v>N/A</v>
      </c>
      <c r="X4" s="617" t="str">
        <f>IF(ISNUMBER(VLOOKUP(P4,Server_Configs[],10,FALSE)), VLOOKUP(P4,Server_Configs[],10,FALSE), "N/A")</f>
        <v>N/A</v>
      </c>
      <c r="Z4" s="796" t="str">
        <f t="shared" ref="Z4:Z21" si="1">Z69</f>
        <v>Strip P</v>
      </c>
      <c r="AA4" s="797"/>
      <c r="AM4" s="237" t="b">
        <f>AND('Rack Layout'!$J4=1,'Rack Layout'!$F4=2)</f>
        <v>0</v>
      </c>
      <c r="AN4" s="237" t="b">
        <f>AND(New_Layout[[#This Row],[Units]]=1,New_Layout[[#This Row],[PSUs]]=2)</f>
        <v>0</v>
      </c>
    </row>
    <row r="5" spans="1:40" ht="15" customHeight="1" x14ac:dyDescent="0.3">
      <c r="A5" s="610">
        <v>3</v>
      </c>
      <c r="B5" s="611"/>
      <c r="C5" s="612" t="str">
        <f>IF(ISNUMBER(VLOOKUP(B5,Server_Configs[],3,FALSE)), VLOOKUP(B5,Server_Configs[],3,FALSE), "N/A")</f>
        <v>N/A</v>
      </c>
      <c r="D5" s="613" t="str">
        <f>IF(ISNUMBER(C5), VLOOKUP(B5,Server_Configs[],2,FALSE), "N/A")</f>
        <v>N/A</v>
      </c>
      <c r="E5" s="612" t="str">
        <f>IF(ISNUMBER('Rack Layout'!$C5),'Rack Layout'!$D5*208/1000,"N/A")</f>
        <v>N/A</v>
      </c>
      <c r="F5" s="612" t="str">
        <f>IF(ISNUMBER(E5), VLOOKUP(B5,Server_Configs[],4,FALSE), "N/A")</f>
        <v>N/A</v>
      </c>
      <c r="G5" s="612" t="str">
        <f>IF(ISNUMBER(VLOOKUP(B5,Server_Configs[],6,FALSE)), VLOOKUP(B5,Server_Configs[],6,FALSE), "N/A")</f>
        <v>N/A</v>
      </c>
      <c r="H5" s="612" t="str">
        <f>IF(ISNUMBER(VLOOKUP(B5,Server_Configs[],8,FALSE)), VLOOKUP(B5,Server_Configs[],8,FALSE), "N/A")</f>
        <v>N/A</v>
      </c>
      <c r="I5" s="612" t="str">
        <f>IF(ISNUMBER(VLOOKUP(B5,Server_Configs[],9,FALSE)), VLOOKUP(B5,Server_Configs[],9,FALSE), "N/A")</f>
        <v>N/A</v>
      </c>
      <c r="J5" s="614" t="str">
        <f>IF(ISNUMBER(VLOOKUP(B5,Server_Configs[],10,FALSE)), VLOOKUP(B5,Server_Configs[],10,FALSE), "N/A")</f>
        <v>N/A</v>
      </c>
      <c r="K5" s="131"/>
      <c r="L5" s="642" t="str">
        <f t="shared" si="0"/>
        <v>Bank-P (XY)</v>
      </c>
      <c r="M5" s="627">
        <f t="shared" ref="M5:M10" si="2">M70</f>
        <v>0</v>
      </c>
      <c r="O5" s="668"/>
      <c r="P5" s="611">
        <f>Old_Layout[[#This Row],[Proc / Chassis]]</f>
        <v>0</v>
      </c>
      <c r="Q5" s="612" t="str">
        <f>IF(ISNUMBER(VLOOKUP(P5,Server_Configs[],3,FALSE)), VLOOKUP(P5,Server_Configs[],3,FALSE), "N/A")</f>
        <v>N/A</v>
      </c>
      <c r="R5" s="613" t="str">
        <f>IF(ISNUMBER(Q5), VLOOKUP(P5,Server_Configs[],2,FALSE), "N/A")</f>
        <v>N/A</v>
      </c>
      <c r="S5" s="612" t="str">
        <f>IF(ISNUMBER('Rack Layout'!$Q5),'Rack Layout'!$R5*208/1000,"N/A")</f>
        <v>N/A</v>
      </c>
      <c r="T5" s="612" t="str">
        <f>IF(ISNUMBER(S5), VLOOKUP(P5,Server_Configs[],4,FALSE), "N/A")</f>
        <v>N/A</v>
      </c>
      <c r="U5" s="612" t="str">
        <f>IF(ISNUMBER(VLOOKUP(P5,Server_Configs[],6,FALSE)), VLOOKUP(P5,Server_Configs[],6,FALSE), "N/A")</f>
        <v>N/A</v>
      </c>
      <c r="V5" s="612" t="str">
        <f>IF(ISNUMBER(VLOOKUP(P5,Server_Configs[],8,FALSE)), VLOOKUP(P5,Server_Configs[],8,FALSE), "N/A")</f>
        <v>N/A</v>
      </c>
      <c r="W5" s="612" t="str">
        <f>IF(ISNUMBER(VLOOKUP(P5,Server_Configs[],9,FALSE)), VLOOKUP(P5,Server_Configs[],9,FALSE), "N/A")</f>
        <v>N/A</v>
      </c>
      <c r="X5" s="614" t="str">
        <f>IF(ISNUMBER(VLOOKUP(P5,Server_Configs[],10,FALSE)), VLOOKUP(P5,Server_Configs[],10,FALSE), "N/A")</f>
        <v>N/A</v>
      </c>
      <c r="Z5" s="642" t="str">
        <f t="shared" si="1"/>
        <v>Bank-P (XY)</v>
      </c>
      <c r="AA5" s="627">
        <f t="shared" ref="AA5:AA10" si="3">AA70</f>
        <v>0</v>
      </c>
      <c r="AM5" s="237" t="b">
        <f>AND('Rack Layout'!$J5=1,'Rack Layout'!$F5=2)</f>
        <v>0</v>
      </c>
      <c r="AN5" s="237" t="b">
        <f>AND(New_Layout[[#This Row],[Units]]=1,New_Layout[[#This Row],[PSUs]]=2)</f>
        <v>0</v>
      </c>
    </row>
    <row r="6" spans="1:40" ht="15" customHeight="1" x14ac:dyDescent="0.3">
      <c r="A6" s="610">
        <v>4</v>
      </c>
      <c r="B6" s="5"/>
      <c r="C6" s="615" t="str">
        <f>IF(ISNUMBER(VLOOKUP(B6,Server_Configs[],3,FALSE)), VLOOKUP(B6,Server_Configs[],3,FALSE), "N/A")</f>
        <v>N/A</v>
      </c>
      <c r="D6" s="616" t="str">
        <f>IF(ISNUMBER(C6), VLOOKUP(B6,Server_Configs[],2,FALSE), "N/A")</f>
        <v>N/A</v>
      </c>
      <c r="E6" s="615" t="str">
        <f>IF(ISNUMBER('Rack Layout'!$C6),'Rack Layout'!$D6*208/1000,"N/A")</f>
        <v>N/A</v>
      </c>
      <c r="F6" s="615" t="str">
        <f>IF(ISNUMBER(E6), VLOOKUP(B6,Server_Configs[],4,FALSE), "N/A")</f>
        <v>N/A</v>
      </c>
      <c r="G6" s="615" t="str">
        <f>IF(ISNUMBER(VLOOKUP(B6,Server_Configs[],6,FALSE)), VLOOKUP(B6,Server_Configs[],6,FALSE), "N/A")</f>
        <v>N/A</v>
      </c>
      <c r="H6" s="615" t="str">
        <f>IF(ISNUMBER(VLOOKUP(B6,Server_Configs[],8,FALSE)), VLOOKUP(B6,Server_Configs[],8,FALSE), "N/A")</f>
        <v>N/A</v>
      </c>
      <c r="I6" s="615" t="str">
        <f>IF(ISNUMBER(VLOOKUP(B6,Server_Configs[],9,FALSE)), VLOOKUP(B6,Server_Configs[],9,FALSE), "N/A")</f>
        <v>N/A</v>
      </c>
      <c r="J6" s="617" t="str">
        <f>IF(ISNUMBER(VLOOKUP(B6,Server_Configs[],10,FALSE)), VLOOKUP(B6,Server_Configs[],10,FALSE), "N/A")</f>
        <v>N/A</v>
      </c>
      <c r="K6" s="131"/>
      <c r="L6" s="628" t="str">
        <f t="shared" si="0"/>
        <v>Bank-P (YZ)</v>
      </c>
      <c r="M6" s="629">
        <f t="shared" si="2"/>
        <v>0</v>
      </c>
      <c r="O6" s="668"/>
      <c r="P6" s="5">
        <f>Old_Layout[[#This Row],[Proc / Chassis]]</f>
        <v>0</v>
      </c>
      <c r="Q6" s="615" t="str">
        <f>IF(ISNUMBER(VLOOKUP(P6,Server_Configs[],3,FALSE)), VLOOKUP(P6,Server_Configs[],3,FALSE), "N/A")</f>
        <v>N/A</v>
      </c>
      <c r="R6" s="616" t="str">
        <f>IF(ISNUMBER(Q6), VLOOKUP(P6,Server_Configs[],2,FALSE), "N/A")</f>
        <v>N/A</v>
      </c>
      <c r="S6" s="615" t="str">
        <f>IF(ISNUMBER('Rack Layout'!$Q6),'Rack Layout'!$R6*208/1000,"N/A")</f>
        <v>N/A</v>
      </c>
      <c r="T6" s="615" t="str">
        <f>IF(ISNUMBER(S6), VLOOKUP(P6,Server_Configs[],4,FALSE), "N/A")</f>
        <v>N/A</v>
      </c>
      <c r="U6" s="615" t="str">
        <f>IF(ISNUMBER(VLOOKUP(P6,Server_Configs[],6,FALSE)), VLOOKUP(P6,Server_Configs[],6,FALSE), "N/A")</f>
        <v>N/A</v>
      </c>
      <c r="V6" s="615" t="str">
        <f>IF(ISNUMBER(VLOOKUP(P6,Server_Configs[],8,FALSE)), VLOOKUP(P6,Server_Configs[],8,FALSE), "N/A")</f>
        <v>N/A</v>
      </c>
      <c r="W6" s="615" t="str">
        <f>IF(ISNUMBER(VLOOKUP(P6,Server_Configs[],9,FALSE)), VLOOKUP(P6,Server_Configs[],9,FALSE), "N/A")</f>
        <v>N/A</v>
      </c>
      <c r="X6" s="617" t="str">
        <f>IF(ISNUMBER(VLOOKUP(P6,Server_Configs[],10,FALSE)), VLOOKUP(P6,Server_Configs[],10,FALSE), "N/A")</f>
        <v>N/A</v>
      </c>
      <c r="Z6" s="628" t="str">
        <f t="shared" si="1"/>
        <v>Bank-P (YZ)</v>
      </c>
      <c r="AA6" s="629">
        <f t="shared" si="3"/>
        <v>0</v>
      </c>
      <c r="AM6" s="237" t="b">
        <f>AND('Rack Layout'!$J6=1,'Rack Layout'!$F6=2)</f>
        <v>0</v>
      </c>
      <c r="AN6" s="237" t="b">
        <f>AND(New_Layout[[#This Row],[Units]]=1,New_Layout[[#This Row],[PSUs]]=2)</f>
        <v>0</v>
      </c>
    </row>
    <row r="7" spans="1:40" ht="15" customHeight="1" x14ac:dyDescent="0.3">
      <c r="A7" s="610">
        <v>5</v>
      </c>
      <c r="B7" s="611"/>
      <c r="C7" s="612" t="str">
        <f>IF(ISNUMBER(VLOOKUP(B7,Server_Configs[],3,FALSE)), VLOOKUP(B7,Server_Configs[],3,FALSE), "N/A")</f>
        <v>N/A</v>
      </c>
      <c r="D7" s="613" t="str">
        <f>IF(ISNUMBER(C7), VLOOKUP(B7,Server_Configs[],2,FALSE), "N/A")</f>
        <v>N/A</v>
      </c>
      <c r="E7" s="612" t="str">
        <f>IF(ISNUMBER('Rack Layout'!$C7),'Rack Layout'!$D7*208/1000,"N/A")</f>
        <v>N/A</v>
      </c>
      <c r="F7" s="612" t="str">
        <f>IF(ISNUMBER(E7), VLOOKUP(B7,Server_Configs[],4,FALSE), "N/A")</f>
        <v>N/A</v>
      </c>
      <c r="G7" s="612" t="str">
        <f>IF(ISNUMBER(VLOOKUP(B7,Server_Configs[],6,FALSE)), VLOOKUP(B7,Server_Configs[],6,FALSE), "N/A")</f>
        <v>N/A</v>
      </c>
      <c r="H7" s="612" t="str">
        <f>IF(ISNUMBER(VLOOKUP(B7,Server_Configs[],8,FALSE)), VLOOKUP(B7,Server_Configs[],8,FALSE), "N/A")</f>
        <v>N/A</v>
      </c>
      <c r="I7" s="612" t="str">
        <f>IF(ISNUMBER(VLOOKUP(B7,Server_Configs[],9,FALSE)), VLOOKUP(B7,Server_Configs[],9,FALSE), "N/A")</f>
        <v>N/A</v>
      </c>
      <c r="J7" s="614" t="str">
        <f>IF(ISNUMBER(VLOOKUP(B7,Server_Configs[],10,FALSE)), VLOOKUP(B7,Server_Configs[],10,FALSE), "N/A")</f>
        <v>N/A</v>
      </c>
      <c r="K7" s="131"/>
      <c r="L7" s="642" t="str">
        <f t="shared" si="0"/>
        <v>Bank-P (ZX)</v>
      </c>
      <c r="M7" s="627">
        <f t="shared" si="2"/>
        <v>0</v>
      </c>
      <c r="O7" s="668"/>
      <c r="P7" s="611">
        <f>Old_Layout[[#This Row],[Proc / Chassis]]</f>
        <v>0</v>
      </c>
      <c r="Q7" s="612" t="str">
        <f>IF(ISNUMBER(VLOOKUP(P7,Server_Configs[],3,FALSE)), VLOOKUP(P7,Server_Configs[],3,FALSE), "N/A")</f>
        <v>N/A</v>
      </c>
      <c r="R7" s="613" t="str">
        <f>IF(ISNUMBER(Q7), VLOOKUP(P7,Server_Configs[],2,FALSE), "N/A")</f>
        <v>N/A</v>
      </c>
      <c r="S7" s="612" t="str">
        <f>IF(ISNUMBER('Rack Layout'!$Q7),'Rack Layout'!$R7*208/1000,"N/A")</f>
        <v>N/A</v>
      </c>
      <c r="T7" s="612" t="str">
        <f>IF(ISNUMBER(S7), VLOOKUP(P7,Server_Configs[],4,FALSE), "N/A")</f>
        <v>N/A</v>
      </c>
      <c r="U7" s="612" t="str">
        <f>IF(ISNUMBER(VLOOKUP(P7,Server_Configs[],6,FALSE)), VLOOKUP(P7,Server_Configs[],6,FALSE), "N/A")</f>
        <v>N/A</v>
      </c>
      <c r="V7" s="612" t="str">
        <f>IF(ISNUMBER(VLOOKUP(P7,Server_Configs[],8,FALSE)), VLOOKUP(P7,Server_Configs[],8,FALSE), "N/A")</f>
        <v>N/A</v>
      </c>
      <c r="W7" s="612" t="str">
        <f>IF(ISNUMBER(VLOOKUP(P7,Server_Configs[],9,FALSE)), VLOOKUP(P7,Server_Configs[],9,FALSE), "N/A")</f>
        <v>N/A</v>
      </c>
      <c r="X7" s="614" t="str">
        <f>IF(ISNUMBER(VLOOKUP(P7,Server_Configs[],10,FALSE)), VLOOKUP(P7,Server_Configs[],10,FALSE), "N/A")</f>
        <v>N/A</v>
      </c>
      <c r="Z7" s="642" t="str">
        <f t="shared" si="1"/>
        <v>Bank-P (ZX)</v>
      </c>
      <c r="AA7" s="627">
        <f t="shared" si="3"/>
        <v>0</v>
      </c>
      <c r="AM7" s="237" t="b">
        <f>AND('Rack Layout'!$J7=1,'Rack Layout'!$F7=2)</f>
        <v>0</v>
      </c>
      <c r="AN7" s="237" t="b">
        <f>AND(New_Layout[[#This Row],[Units]]=1,New_Layout[[#This Row],[PSUs]]=2)</f>
        <v>0</v>
      </c>
    </row>
    <row r="8" spans="1:40" ht="15" customHeight="1" x14ac:dyDescent="0.3">
      <c r="A8" s="610">
        <v>6</v>
      </c>
      <c r="B8" s="5"/>
      <c r="C8" s="615" t="str">
        <f>IF(ISNUMBER(VLOOKUP(B8,Server_Configs[],3,FALSE)), VLOOKUP(B8,Server_Configs[],3,FALSE), "N/A")</f>
        <v>N/A</v>
      </c>
      <c r="D8" s="616" t="str">
        <f>IF(ISNUMBER(C8), VLOOKUP(B8,Server_Configs[],2,FALSE), "N/A")</f>
        <v>N/A</v>
      </c>
      <c r="E8" s="615" t="str">
        <f>IF(ISNUMBER('Rack Layout'!$C8),'Rack Layout'!$D8*208/1000,"N/A")</f>
        <v>N/A</v>
      </c>
      <c r="F8" s="615" t="str">
        <f>IF(ISNUMBER(E8), VLOOKUP(B8,Server_Configs[],4,FALSE), "N/A")</f>
        <v>N/A</v>
      </c>
      <c r="G8" s="615" t="str">
        <f>IF(ISNUMBER(VLOOKUP(B8,Server_Configs[],6,FALSE)), VLOOKUP(B8,Server_Configs[],6,FALSE), "N/A")</f>
        <v>N/A</v>
      </c>
      <c r="H8" s="615" t="str">
        <f>IF(ISNUMBER(VLOOKUP(B8,Server_Configs[],8,FALSE)), VLOOKUP(B8,Server_Configs[],8,FALSE), "N/A")</f>
        <v>N/A</v>
      </c>
      <c r="I8" s="615" t="str">
        <f>IF(ISNUMBER(VLOOKUP(B8,Server_Configs[],9,FALSE)), VLOOKUP(B8,Server_Configs[],9,FALSE), "N/A")</f>
        <v>N/A</v>
      </c>
      <c r="J8" s="617" t="str">
        <f>IF(ISNUMBER(VLOOKUP(B8,Server_Configs[],10,FALSE)), VLOOKUP(B8,Server_Configs[],10,FALSE), "N/A")</f>
        <v>N/A</v>
      </c>
      <c r="K8" s="131"/>
      <c r="L8" s="628" t="str">
        <f t="shared" si="0"/>
        <v>Bank-P (X)</v>
      </c>
      <c r="M8" s="629">
        <f t="shared" si="2"/>
        <v>0</v>
      </c>
      <c r="O8" s="668"/>
      <c r="P8" s="5">
        <f>Old_Layout[[#This Row],[Proc / Chassis]]</f>
        <v>0</v>
      </c>
      <c r="Q8" s="615" t="str">
        <f>IF(ISNUMBER(VLOOKUP(P8,Server_Configs[],3,FALSE)), VLOOKUP(P8,Server_Configs[],3,FALSE), "N/A")</f>
        <v>N/A</v>
      </c>
      <c r="R8" s="616" t="str">
        <f>IF(ISNUMBER(Q8), VLOOKUP(P8,Server_Configs[],2,FALSE), "N/A")</f>
        <v>N/A</v>
      </c>
      <c r="S8" s="615" t="str">
        <f>IF(ISNUMBER('Rack Layout'!$Q8),'Rack Layout'!$R8*208/1000,"N/A")</f>
        <v>N/A</v>
      </c>
      <c r="T8" s="615" t="str">
        <f>IF(ISNUMBER(S8), VLOOKUP(P8,Server_Configs[],4,FALSE), "N/A")</f>
        <v>N/A</v>
      </c>
      <c r="U8" s="615" t="str">
        <f>IF(ISNUMBER(VLOOKUP(P8,Server_Configs[],6,FALSE)), VLOOKUP(P8,Server_Configs[],6,FALSE), "N/A")</f>
        <v>N/A</v>
      </c>
      <c r="V8" s="615" t="str">
        <f>IF(ISNUMBER(VLOOKUP(P8,Server_Configs[],8,FALSE)), VLOOKUP(P8,Server_Configs[],8,FALSE), "N/A")</f>
        <v>N/A</v>
      </c>
      <c r="W8" s="615" t="str">
        <f>IF(ISNUMBER(VLOOKUP(P8,Server_Configs[],9,FALSE)), VLOOKUP(P8,Server_Configs[],9,FALSE), "N/A")</f>
        <v>N/A</v>
      </c>
      <c r="X8" s="617" t="str">
        <f>IF(ISNUMBER(VLOOKUP(P8,Server_Configs[],10,FALSE)), VLOOKUP(P8,Server_Configs[],10,FALSE), "N/A")</f>
        <v>N/A</v>
      </c>
      <c r="Z8" s="628" t="str">
        <f t="shared" si="1"/>
        <v>Bank-P (X)</v>
      </c>
      <c r="AA8" s="629">
        <f t="shared" si="3"/>
        <v>0</v>
      </c>
      <c r="AM8" s="237" t="b">
        <f>AND('Rack Layout'!$J8=1,'Rack Layout'!$F8=2)</f>
        <v>0</v>
      </c>
      <c r="AN8" s="237" t="b">
        <f>AND(New_Layout[[#This Row],[Units]]=1,New_Layout[[#This Row],[PSUs]]=2)</f>
        <v>0</v>
      </c>
    </row>
    <row r="9" spans="1:40" ht="15" customHeight="1" x14ac:dyDescent="0.3">
      <c r="A9" s="610">
        <v>7</v>
      </c>
      <c r="B9" s="611"/>
      <c r="C9" s="612" t="str">
        <f>IF(ISNUMBER(VLOOKUP(B9,Server_Configs[],3,FALSE)), VLOOKUP(B9,Server_Configs[],3,FALSE), "N/A")</f>
        <v>N/A</v>
      </c>
      <c r="D9" s="613" t="str">
        <f>IF(ISNUMBER(C9), VLOOKUP(B9,Server_Configs[],2,FALSE), "N/A")</f>
        <v>N/A</v>
      </c>
      <c r="E9" s="612" t="str">
        <f>IF(ISNUMBER('Rack Layout'!$C9),'Rack Layout'!$D9*208/1000,"N/A")</f>
        <v>N/A</v>
      </c>
      <c r="F9" s="612" t="str">
        <f>IF(ISNUMBER(E9), VLOOKUP(B9,Server_Configs[],4,FALSE), "N/A")</f>
        <v>N/A</v>
      </c>
      <c r="G9" s="612" t="str">
        <f>IF(ISNUMBER(VLOOKUP(B9,Server_Configs[],6,FALSE)), VLOOKUP(B9,Server_Configs[],6,FALSE), "N/A")</f>
        <v>N/A</v>
      </c>
      <c r="H9" s="612" t="str">
        <f>IF(ISNUMBER(VLOOKUP(B9,Server_Configs[],8,FALSE)), VLOOKUP(B9,Server_Configs[],8,FALSE), "N/A")</f>
        <v>N/A</v>
      </c>
      <c r="I9" s="612" t="str">
        <f>IF(ISNUMBER(VLOOKUP(B9,Server_Configs[],9,FALSE)), VLOOKUP(B9,Server_Configs[],9,FALSE), "N/A")</f>
        <v>N/A</v>
      </c>
      <c r="J9" s="614" t="str">
        <f>IF(ISNUMBER(VLOOKUP(B9,Server_Configs[],10,FALSE)), VLOOKUP(B9,Server_Configs[],10,FALSE), "N/A")</f>
        <v>N/A</v>
      </c>
      <c r="K9" s="131"/>
      <c r="L9" s="642" t="str">
        <f t="shared" si="0"/>
        <v>Bank-P (Y)</v>
      </c>
      <c r="M9" s="627">
        <f t="shared" si="2"/>
        <v>0</v>
      </c>
      <c r="O9" s="668"/>
      <c r="P9" s="611">
        <f>Old_Layout[[#This Row],[Proc / Chassis]]</f>
        <v>0</v>
      </c>
      <c r="Q9" s="612" t="str">
        <f>IF(ISNUMBER(VLOOKUP(P9,Server_Configs[],3,FALSE)), VLOOKUP(P9,Server_Configs[],3,FALSE), "N/A")</f>
        <v>N/A</v>
      </c>
      <c r="R9" s="613" t="str">
        <f>IF(ISNUMBER(Q9), VLOOKUP(P9,Server_Configs[],2,FALSE), "N/A")</f>
        <v>N/A</v>
      </c>
      <c r="S9" s="612" t="str">
        <f>IF(ISNUMBER('Rack Layout'!$Q9),'Rack Layout'!$R9*208/1000,"N/A")</f>
        <v>N/A</v>
      </c>
      <c r="T9" s="612" t="str">
        <f>IF(ISNUMBER(S9), VLOOKUP(P9,Server_Configs[],4,FALSE), "N/A")</f>
        <v>N/A</v>
      </c>
      <c r="U9" s="612" t="str">
        <f>IF(ISNUMBER(VLOOKUP(P9,Server_Configs[],6,FALSE)), VLOOKUP(P9,Server_Configs[],6,FALSE), "N/A")</f>
        <v>N/A</v>
      </c>
      <c r="V9" s="612" t="str">
        <f>IF(ISNUMBER(VLOOKUP(P9,Server_Configs[],8,FALSE)), VLOOKUP(P9,Server_Configs[],8,FALSE), "N/A")</f>
        <v>N/A</v>
      </c>
      <c r="W9" s="612" t="str">
        <f>IF(ISNUMBER(VLOOKUP(P9,Server_Configs[],9,FALSE)), VLOOKUP(P9,Server_Configs[],9,FALSE), "N/A")</f>
        <v>N/A</v>
      </c>
      <c r="X9" s="614" t="str">
        <f>IF(ISNUMBER(VLOOKUP(P9,Server_Configs[],10,FALSE)), VLOOKUP(P9,Server_Configs[],10,FALSE), "N/A")</f>
        <v>N/A</v>
      </c>
      <c r="Z9" s="642" t="str">
        <f t="shared" si="1"/>
        <v>Bank-P (Y)</v>
      </c>
      <c r="AA9" s="627">
        <f t="shared" si="3"/>
        <v>0</v>
      </c>
      <c r="AM9" s="237" t="b">
        <f>AND('Rack Layout'!$J9=1,'Rack Layout'!$F9=2)</f>
        <v>0</v>
      </c>
      <c r="AN9" s="237" t="b">
        <f>AND(New_Layout[[#This Row],[Units]]=1,New_Layout[[#This Row],[PSUs]]=2)</f>
        <v>0</v>
      </c>
    </row>
    <row r="10" spans="1:40" ht="15" customHeight="1" x14ac:dyDescent="0.3">
      <c r="A10" s="610">
        <v>8</v>
      </c>
      <c r="B10" s="5"/>
      <c r="C10" s="615" t="str">
        <f>IF(ISNUMBER(VLOOKUP(B10,Server_Configs[],3,FALSE)), VLOOKUP(B10,Server_Configs[],3,FALSE), "N/A")</f>
        <v>N/A</v>
      </c>
      <c r="D10" s="616" t="str">
        <f>IF(ISNUMBER(C10), VLOOKUP(B10,Server_Configs[],2,FALSE), "N/A")</f>
        <v>N/A</v>
      </c>
      <c r="E10" s="615" t="str">
        <f>IF(ISNUMBER('Rack Layout'!$C10),'Rack Layout'!$D10*208/1000,"N/A")</f>
        <v>N/A</v>
      </c>
      <c r="F10" s="615" t="str">
        <f>IF(ISNUMBER(E10), VLOOKUP(B10,Server_Configs[],4,FALSE), "N/A")</f>
        <v>N/A</v>
      </c>
      <c r="G10" s="615" t="str">
        <f>IF(ISNUMBER(VLOOKUP(B10,Server_Configs[],6,FALSE)), VLOOKUP(B10,Server_Configs[],6,FALSE), "N/A")</f>
        <v>N/A</v>
      </c>
      <c r="H10" s="615" t="str">
        <f>IF(ISNUMBER(VLOOKUP(B10,Server_Configs[],8,FALSE)), VLOOKUP(B10,Server_Configs[],8,FALSE), "N/A")</f>
        <v>N/A</v>
      </c>
      <c r="I10" s="615" t="str">
        <f>IF(ISNUMBER(VLOOKUP(B10,Server_Configs[],9,FALSE)), VLOOKUP(B10,Server_Configs[],9,FALSE), "N/A")</f>
        <v>N/A</v>
      </c>
      <c r="J10" s="617" t="str">
        <f>IF(ISNUMBER(VLOOKUP(B10,Server_Configs[],10,FALSE)), VLOOKUP(B10,Server_Configs[],10,FALSE), "N/A")</f>
        <v>N/A</v>
      </c>
      <c r="K10" s="131"/>
      <c r="L10" s="670" t="str">
        <f t="shared" si="0"/>
        <v>Bank-P (Z)</v>
      </c>
      <c r="M10" s="671">
        <f t="shared" si="2"/>
        <v>0</v>
      </c>
      <c r="O10" s="668"/>
      <c r="P10" s="5">
        <f>Old_Layout[[#This Row],[Proc / Chassis]]</f>
        <v>0</v>
      </c>
      <c r="Q10" s="615" t="str">
        <f>IF(ISNUMBER(VLOOKUP(P10,Server_Configs[],3,FALSE)), VLOOKUP(P10,Server_Configs[],3,FALSE), "N/A")</f>
        <v>N/A</v>
      </c>
      <c r="R10" s="616" t="str">
        <f>IF(ISNUMBER(Q10), VLOOKUP(P10,Server_Configs[],2,FALSE), "N/A")</f>
        <v>N/A</v>
      </c>
      <c r="S10" s="615" t="str">
        <f>IF(ISNUMBER('Rack Layout'!$Q10),'Rack Layout'!$R10*208/1000,"N/A")</f>
        <v>N/A</v>
      </c>
      <c r="T10" s="615" t="str">
        <f>IF(ISNUMBER(S10), VLOOKUP(P10,Server_Configs[],4,FALSE), "N/A")</f>
        <v>N/A</v>
      </c>
      <c r="U10" s="615" t="str">
        <f>IF(ISNUMBER(VLOOKUP(P10,Server_Configs[],6,FALSE)), VLOOKUP(P10,Server_Configs[],6,FALSE), "N/A")</f>
        <v>N/A</v>
      </c>
      <c r="V10" s="615" t="str">
        <f>IF(ISNUMBER(VLOOKUP(P10,Server_Configs[],8,FALSE)), VLOOKUP(P10,Server_Configs[],8,FALSE), "N/A")</f>
        <v>N/A</v>
      </c>
      <c r="W10" s="615" t="str">
        <f>IF(ISNUMBER(VLOOKUP(P10,Server_Configs[],9,FALSE)), VLOOKUP(P10,Server_Configs[],9,FALSE), "N/A")</f>
        <v>N/A</v>
      </c>
      <c r="X10" s="617" t="str">
        <f>IF(ISNUMBER(VLOOKUP(P10,Server_Configs[],10,FALSE)), VLOOKUP(P10,Server_Configs[],10,FALSE), "N/A")</f>
        <v>N/A</v>
      </c>
      <c r="Z10" s="670" t="str">
        <f t="shared" si="1"/>
        <v>Bank-P (Z)</v>
      </c>
      <c r="AA10" s="671">
        <f t="shared" si="3"/>
        <v>0</v>
      </c>
      <c r="AM10" s="237" t="b">
        <f>AND('Rack Layout'!$J10=1,'Rack Layout'!$F10=2)</f>
        <v>0</v>
      </c>
      <c r="AN10" s="237" t="b">
        <f>AND(New_Layout[[#This Row],[Units]]=1,New_Layout[[#This Row],[PSUs]]=2)</f>
        <v>0</v>
      </c>
    </row>
    <row r="11" spans="1:40" ht="15" customHeight="1" x14ac:dyDescent="0.3">
      <c r="A11" s="610">
        <v>9</v>
      </c>
      <c r="B11" s="611"/>
      <c r="C11" s="612" t="str">
        <f>IF(ISNUMBER(VLOOKUP(B11,Server_Configs[],3,FALSE)), VLOOKUP(B11,Server_Configs[],3,FALSE), "N/A")</f>
        <v>N/A</v>
      </c>
      <c r="D11" s="613" t="str">
        <f>IF(ISNUMBER(C11), VLOOKUP(B11,Server_Configs[],2,FALSE), "N/A")</f>
        <v>N/A</v>
      </c>
      <c r="E11" s="612" t="str">
        <f>IF(ISNUMBER('Rack Layout'!$C11),'Rack Layout'!$D11*208/1000,"N/A")</f>
        <v>N/A</v>
      </c>
      <c r="F11" s="612" t="str">
        <f>IF(ISNUMBER(E11), VLOOKUP(B11,Server_Configs[],4,FALSE), "N/A")</f>
        <v>N/A</v>
      </c>
      <c r="G11" s="612" t="str">
        <f>IF(ISNUMBER(VLOOKUP(B11,Server_Configs[],6,FALSE)), VLOOKUP(B11,Server_Configs[],6,FALSE), "N/A")</f>
        <v>N/A</v>
      </c>
      <c r="H11" s="612" t="str">
        <f>IF(ISNUMBER(VLOOKUP(B11,Server_Configs[],8,FALSE)), VLOOKUP(B11,Server_Configs[],8,FALSE), "N/A")</f>
        <v>N/A</v>
      </c>
      <c r="I11" s="612" t="str">
        <f>IF(ISNUMBER(VLOOKUP(B11,Server_Configs[],9,FALSE)), VLOOKUP(B11,Server_Configs[],9,FALSE), "N/A")</f>
        <v>N/A</v>
      </c>
      <c r="J11" s="614" t="str">
        <f>IF(ISNUMBER(VLOOKUP(B11,Server_Configs[],10,FALSE)), VLOOKUP(B11,Server_Configs[],10,FALSE), "N/A")</f>
        <v>N/A</v>
      </c>
      <c r="K11" s="131"/>
      <c r="L11" s="796" t="str">
        <f t="shared" si="0"/>
        <v>Strip Q</v>
      </c>
      <c r="M11" s="797"/>
      <c r="O11" s="668"/>
      <c r="P11" s="611">
        <f>Old_Layout[[#This Row],[Proc / Chassis]]</f>
        <v>0</v>
      </c>
      <c r="Q11" s="612" t="str">
        <f>IF(ISNUMBER(VLOOKUP(P11,Server_Configs[],3,FALSE)), VLOOKUP(P11,Server_Configs[],3,FALSE), "N/A")</f>
        <v>N/A</v>
      </c>
      <c r="R11" s="613" t="str">
        <f>IF(ISNUMBER(Q11), VLOOKUP(P11,Server_Configs[],2,FALSE), "N/A")</f>
        <v>N/A</v>
      </c>
      <c r="S11" s="612" t="str">
        <f>IF(ISNUMBER('Rack Layout'!$Q11),'Rack Layout'!$R11*208/1000,"N/A")</f>
        <v>N/A</v>
      </c>
      <c r="T11" s="612" t="str">
        <f>IF(ISNUMBER(S11), VLOOKUP(P11,Server_Configs[],4,FALSE), "N/A")</f>
        <v>N/A</v>
      </c>
      <c r="U11" s="612" t="str">
        <f>IF(ISNUMBER(VLOOKUP(P11,Server_Configs[],6,FALSE)), VLOOKUP(P11,Server_Configs[],6,FALSE), "N/A")</f>
        <v>N/A</v>
      </c>
      <c r="V11" s="612" t="str">
        <f>IF(ISNUMBER(VLOOKUP(P11,Server_Configs[],8,FALSE)), VLOOKUP(P11,Server_Configs[],8,FALSE), "N/A")</f>
        <v>N/A</v>
      </c>
      <c r="W11" s="612" t="str">
        <f>IF(ISNUMBER(VLOOKUP(P11,Server_Configs[],9,FALSE)), VLOOKUP(P11,Server_Configs[],9,FALSE), "N/A")</f>
        <v>N/A</v>
      </c>
      <c r="X11" s="614" t="str">
        <f>IF(ISNUMBER(VLOOKUP(P11,Server_Configs[],10,FALSE)), VLOOKUP(P11,Server_Configs[],10,FALSE), "N/A")</f>
        <v>N/A</v>
      </c>
      <c r="Z11" s="796" t="str">
        <f t="shared" si="1"/>
        <v>Strip Q</v>
      </c>
      <c r="AA11" s="797"/>
      <c r="AM11" s="237" t="b">
        <f>AND('Rack Layout'!$J11=1,'Rack Layout'!$F11=2)</f>
        <v>0</v>
      </c>
      <c r="AN11" s="237" t="b">
        <f>AND(New_Layout[[#This Row],[Units]]=1,New_Layout[[#This Row],[PSUs]]=2)</f>
        <v>0</v>
      </c>
    </row>
    <row r="12" spans="1:40" ht="15" customHeight="1" x14ac:dyDescent="0.3">
      <c r="A12" s="610">
        <v>10</v>
      </c>
      <c r="B12" s="5"/>
      <c r="C12" s="615" t="str">
        <f>IF(ISNUMBER(VLOOKUP(B12,Server_Configs[],3,FALSE)), VLOOKUP(B12,Server_Configs[],3,FALSE), "N/A")</f>
        <v>N/A</v>
      </c>
      <c r="D12" s="616" t="str">
        <f>IF(ISNUMBER(C12), VLOOKUP(B12,Server_Configs[],2,FALSE), "N/A")</f>
        <v>N/A</v>
      </c>
      <c r="E12" s="615" t="str">
        <f>IF(ISNUMBER('Rack Layout'!$C12),'Rack Layout'!$D12*208/1000,"N/A")</f>
        <v>N/A</v>
      </c>
      <c r="F12" s="615" t="str">
        <f>IF(ISNUMBER(E12), VLOOKUP(B12,Server_Configs[],4,FALSE), "N/A")</f>
        <v>N/A</v>
      </c>
      <c r="G12" s="615" t="str">
        <f>IF(ISNUMBER(VLOOKUP(B12,Server_Configs[],6,FALSE)), VLOOKUP(B12,Server_Configs[],6,FALSE), "N/A")</f>
        <v>N/A</v>
      </c>
      <c r="H12" s="615" t="str">
        <f>IF(ISNUMBER(VLOOKUP(B12,Server_Configs[],8,FALSE)), VLOOKUP(B12,Server_Configs[],8,FALSE), "N/A")</f>
        <v>N/A</v>
      </c>
      <c r="I12" s="615" t="str">
        <f>IF(ISNUMBER(VLOOKUP(B12,Server_Configs[],9,FALSE)), VLOOKUP(B12,Server_Configs[],9,FALSE), "N/A")</f>
        <v>N/A</v>
      </c>
      <c r="J12" s="617" t="str">
        <f>IF(ISNUMBER(VLOOKUP(B12,Server_Configs[],10,FALSE)), VLOOKUP(B12,Server_Configs[],10,FALSE), "N/A")</f>
        <v>N/A</v>
      </c>
      <c r="K12" s="131"/>
      <c r="L12" s="628" t="str">
        <f t="shared" si="0"/>
        <v>Bank-Q (XY)</v>
      </c>
      <c r="M12" s="629">
        <f t="shared" ref="M12:M17" si="4">M77</f>
        <v>0</v>
      </c>
      <c r="O12" s="668"/>
      <c r="P12" s="5">
        <f>Old_Layout[[#This Row],[Proc / Chassis]]</f>
        <v>0</v>
      </c>
      <c r="Q12" s="615" t="str">
        <f>IF(ISNUMBER(VLOOKUP(P12,Server_Configs[],3,FALSE)), VLOOKUP(P12,Server_Configs[],3,FALSE), "N/A")</f>
        <v>N/A</v>
      </c>
      <c r="R12" s="616" t="str">
        <f>IF(ISNUMBER(Q12), VLOOKUP(P12,Server_Configs[],2,FALSE), "N/A")</f>
        <v>N/A</v>
      </c>
      <c r="S12" s="615" t="str">
        <f>IF(ISNUMBER('Rack Layout'!$Q12),'Rack Layout'!$R12*208/1000,"N/A")</f>
        <v>N/A</v>
      </c>
      <c r="T12" s="615" t="str">
        <f>IF(ISNUMBER(S12), VLOOKUP(P12,Server_Configs[],4,FALSE), "N/A")</f>
        <v>N/A</v>
      </c>
      <c r="U12" s="615" t="str">
        <f>IF(ISNUMBER(VLOOKUP(P12,Server_Configs[],6,FALSE)), VLOOKUP(P12,Server_Configs[],6,FALSE), "N/A")</f>
        <v>N/A</v>
      </c>
      <c r="V12" s="615" t="str">
        <f>IF(ISNUMBER(VLOOKUP(P12,Server_Configs[],8,FALSE)), VLOOKUP(P12,Server_Configs[],8,FALSE), "N/A")</f>
        <v>N/A</v>
      </c>
      <c r="W12" s="615" t="str">
        <f>IF(ISNUMBER(VLOOKUP(P12,Server_Configs[],9,FALSE)), VLOOKUP(P12,Server_Configs[],9,FALSE), "N/A")</f>
        <v>N/A</v>
      </c>
      <c r="X12" s="617" t="str">
        <f>IF(ISNUMBER(VLOOKUP(P12,Server_Configs[],10,FALSE)), VLOOKUP(P12,Server_Configs[],10,FALSE), "N/A")</f>
        <v>N/A</v>
      </c>
      <c r="Z12" s="628" t="str">
        <f t="shared" si="1"/>
        <v>Bank-Q (XY)</v>
      </c>
      <c r="AA12" s="629">
        <f t="shared" ref="AA12:AA17" si="5">AA77</f>
        <v>0</v>
      </c>
      <c r="AM12" s="237" t="b">
        <f>AND('Rack Layout'!$J12=1,'Rack Layout'!$F12=2)</f>
        <v>0</v>
      </c>
      <c r="AN12" s="237" t="b">
        <f>AND(New_Layout[[#This Row],[Units]]=1,New_Layout[[#This Row],[PSUs]]=2)</f>
        <v>0</v>
      </c>
    </row>
    <row r="13" spans="1:40" ht="15" customHeight="1" x14ac:dyDescent="0.3">
      <c r="A13" s="610">
        <v>11</v>
      </c>
      <c r="B13" s="611"/>
      <c r="C13" s="612" t="str">
        <f>IF(ISNUMBER(VLOOKUP(B13,Server_Configs[],3,FALSE)), VLOOKUP(B13,Server_Configs[],3,FALSE), "N/A")</f>
        <v>N/A</v>
      </c>
      <c r="D13" s="613" t="str">
        <f>IF(ISNUMBER(C13), VLOOKUP(B13,Server_Configs[],2,FALSE), "N/A")</f>
        <v>N/A</v>
      </c>
      <c r="E13" s="612" t="str">
        <f>IF(ISNUMBER('Rack Layout'!$C13),'Rack Layout'!$D13*208/1000,"N/A")</f>
        <v>N/A</v>
      </c>
      <c r="F13" s="612" t="str">
        <f>IF(ISNUMBER(E13), VLOOKUP(B13,Server_Configs[],4,FALSE), "N/A")</f>
        <v>N/A</v>
      </c>
      <c r="G13" s="612" t="str">
        <f>IF(ISNUMBER(VLOOKUP(B13,Server_Configs[],6,FALSE)), VLOOKUP(B13,Server_Configs[],6,FALSE), "N/A")</f>
        <v>N/A</v>
      </c>
      <c r="H13" s="612" t="str">
        <f>IF(ISNUMBER(VLOOKUP(B13,Server_Configs[],8,FALSE)), VLOOKUP(B13,Server_Configs[],8,FALSE), "N/A")</f>
        <v>N/A</v>
      </c>
      <c r="I13" s="612" t="str">
        <f>IF(ISNUMBER(VLOOKUP(B13,Server_Configs[],9,FALSE)), VLOOKUP(B13,Server_Configs[],9,FALSE), "N/A")</f>
        <v>N/A</v>
      </c>
      <c r="J13" s="614" t="str">
        <f>IF(ISNUMBER(VLOOKUP(B13,Server_Configs[],10,FALSE)), VLOOKUP(B13,Server_Configs[],10,FALSE), "N/A")</f>
        <v>N/A</v>
      </c>
      <c r="K13" s="131"/>
      <c r="L13" s="672" t="str">
        <f t="shared" si="0"/>
        <v>Bank-Q (YZ)</v>
      </c>
      <c r="M13" s="627">
        <f t="shared" si="4"/>
        <v>0</v>
      </c>
      <c r="O13" s="668"/>
      <c r="P13" s="611">
        <f>Old_Layout[[#This Row],[Proc / Chassis]]</f>
        <v>0</v>
      </c>
      <c r="Q13" s="612" t="str">
        <f>IF(ISNUMBER(VLOOKUP(P13,Server_Configs[],3,FALSE)), VLOOKUP(P13,Server_Configs[],3,FALSE), "N/A")</f>
        <v>N/A</v>
      </c>
      <c r="R13" s="613" t="str">
        <f>IF(ISNUMBER(Q13), VLOOKUP(P13,Server_Configs[],2,FALSE), "N/A")</f>
        <v>N/A</v>
      </c>
      <c r="S13" s="612" t="str">
        <f>IF(ISNUMBER('Rack Layout'!$Q13),'Rack Layout'!$R13*208/1000,"N/A")</f>
        <v>N/A</v>
      </c>
      <c r="T13" s="612" t="str">
        <f>IF(ISNUMBER(S13), VLOOKUP(P13,Server_Configs[],4,FALSE), "N/A")</f>
        <v>N/A</v>
      </c>
      <c r="U13" s="612" t="str">
        <f>IF(ISNUMBER(VLOOKUP(P13,Server_Configs[],6,FALSE)), VLOOKUP(P13,Server_Configs[],6,FALSE), "N/A")</f>
        <v>N/A</v>
      </c>
      <c r="V13" s="612" t="str">
        <f>IF(ISNUMBER(VLOOKUP(P13,Server_Configs[],8,FALSE)), VLOOKUP(P13,Server_Configs[],8,FALSE), "N/A")</f>
        <v>N/A</v>
      </c>
      <c r="W13" s="612" t="str">
        <f>IF(ISNUMBER(VLOOKUP(P13,Server_Configs[],9,FALSE)), VLOOKUP(P13,Server_Configs[],9,FALSE), "N/A")</f>
        <v>N/A</v>
      </c>
      <c r="X13" s="614" t="str">
        <f>IF(ISNUMBER(VLOOKUP(P13,Server_Configs[],10,FALSE)), VLOOKUP(P13,Server_Configs[],10,FALSE), "N/A")</f>
        <v>N/A</v>
      </c>
      <c r="Z13" s="672" t="str">
        <f t="shared" si="1"/>
        <v>Bank-Q (YZ)</v>
      </c>
      <c r="AA13" s="627">
        <f t="shared" si="5"/>
        <v>0</v>
      </c>
      <c r="AM13" s="237" t="b">
        <f>AND('Rack Layout'!$J13=1,'Rack Layout'!$F13=2)</f>
        <v>0</v>
      </c>
      <c r="AN13" s="237" t="b">
        <f>AND(New_Layout[[#This Row],[Units]]=1,New_Layout[[#This Row],[PSUs]]=2)</f>
        <v>0</v>
      </c>
    </row>
    <row r="14" spans="1:40" ht="15" customHeight="1" x14ac:dyDescent="0.3">
      <c r="A14" s="610">
        <v>12</v>
      </c>
      <c r="B14" s="5"/>
      <c r="C14" s="615" t="str">
        <f>IF(ISNUMBER(VLOOKUP(B14,Server_Configs[],3,FALSE)), VLOOKUP(B14,Server_Configs[],3,FALSE), "N/A")</f>
        <v>N/A</v>
      </c>
      <c r="D14" s="616" t="str">
        <f>IF(ISNUMBER(C14), VLOOKUP(B14,Server_Configs[],2,FALSE), "N/A")</f>
        <v>N/A</v>
      </c>
      <c r="E14" s="615" t="str">
        <f>IF(ISNUMBER('Rack Layout'!$C14),'Rack Layout'!$D14*208/1000,"N/A")</f>
        <v>N/A</v>
      </c>
      <c r="F14" s="615" t="str">
        <f>IF(ISNUMBER(E14), VLOOKUP(B14,Server_Configs[],4,FALSE), "N/A")</f>
        <v>N/A</v>
      </c>
      <c r="G14" s="615" t="str">
        <f>IF(ISNUMBER(VLOOKUP(B14,Server_Configs[],6,FALSE)), VLOOKUP(B14,Server_Configs[],6,FALSE), "N/A")</f>
        <v>N/A</v>
      </c>
      <c r="H14" s="615" t="str">
        <f>IF(ISNUMBER(VLOOKUP(B14,Server_Configs[],8,FALSE)), VLOOKUP(B14,Server_Configs[],8,FALSE), "N/A")</f>
        <v>N/A</v>
      </c>
      <c r="I14" s="615" t="str">
        <f>IF(ISNUMBER(VLOOKUP(B14,Server_Configs[],9,FALSE)), VLOOKUP(B14,Server_Configs[],9,FALSE), "N/A")</f>
        <v>N/A</v>
      </c>
      <c r="J14" s="617" t="str">
        <f>IF(ISNUMBER(VLOOKUP(B14,Server_Configs[],10,FALSE)), VLOOKUP(B14,Server_Configs[],10,FALSE), "N/A")</f>
        <v>N/A</v>
      </c>
      <c r="K14" s="131"/>
      <c r="L14" s="628" t="str">
        <f t="shared" si="0"/>
        <v>Bank-Q (ZX)</v>
      </c>
      <c r="M14" s="629">
        <f t="shared" si="4"/>
        <v>0</v>
      </c>
      <c r="O14" s="668"/>
      <c r="P14" s="5">
        <f>Old_Layout[[#This Row],[Proc / Chassis]]</f>
        <v>0</v>
      </c>
      <c r="Q14" s="615" t="str">
        <f>IF(ISNUMBER(VLOOKUP(P14,Server_Configs[],3,FALSE)), VLOOKUP(P14,Server_Configs[],3,FALSE), "N/A")</f>
        <v>N/A</v>
      </c>
      <c r="R14" s="616" t="str">
        <f>IF(ISNUMBER(Q14), VLOOKUP(P14,Server_Configs[],2,FALSE), "N/A")</f>
        <v>N/A</v>
      </c>
      <c r="S14" s="615" t="str">
        <f>IF(ISNUMBER('Rack Layout'!$Q14),'Rack Layout'!$R14*208/1000,"N/A")</f>
        <v>N/A</v>
      </c>
      <c r="T14" s="615" t="str">
        <f>IF(ISNUMBER(S14), VLOOKUP(P14,Server_Configs[],4,FALSE), "N/A")</f>
        <v>N/A</v>
      </c>
      <c r="U14" s="615" t="str">
        <f>IF(ISNUMBER(VLOOKUP(P14,Server_Configs[],6,FALSE)), VLOOKUP(P14,Server_Configs[],6,FALSE), "N/A")</f>
        <v>N/A</v>
      </c>
      <c r="V14" s="615" t="str">
        <f>IF(ISNUMBER(VLOOKUP(P14,Server_Configs[],8,FALSE)), VLOOKUP(P14,Server_Configs[],8,FALSE), "N/A")</f>
        <v>N/A</v>
      </c>
      <c r="W14" s="615" t="str">
        <f>IF(ISNUMBER(VLOOKUP(P14,Server_Configs[],9,FALSE)), VLOOKUP(P14,Server_Configs[],9,FALSE), "N/A")</f>
        <v>N/A</v>
      </c>
      <c r="X14" s="617" t="str">
        <f>IF(ISNUMBER(VLOOKUP(P14,Server_Configs[],10,FALSE)), VLOOKUP(P14,Server_Configs[],10,FALSE), "N/A")</f>
        <v>N/A</v>
      </c>
      <c r="Z14" s="628" t="str">
        <f t="shared" si="1"/>
        <v>Bank-Q (ZX)</v>
      </c>
      <c r="AA14" s="629">
        <f t="shared" si="5"/>
        <v>0</v>
      </c>
      <c r="AM14" s="237" t="b">
        <f>AND('Rack Layout'!$J14=1,'Rack Layout'!$F14=2)</f>
        <v>0</v>
      </c>
      <c r="AN14" s="237" t="b">
        <f>AND(New_Layout[[#This Row],[Units]]=1,New_Layout[[#This Row],[PSUs]]=2)</f>
        <v>0</v>
      </c>
    </row>
    <row r="15" spans="1:40" ht="15" customHeight="1" x14ac:dyDescent="0.3">
      <c r="A15" s="610">
        <v>13</v>
      </c>
      <c r="B15" s="611"/>
      <c r="C15" s="612" t="str">
        <f>IF(ISNUMBER(VLOOKUP(B15,Server_Configs[],3,FALSE)), VLOOKUP(B15,Server_Configs[],3,FALSE), "N/A")</f>
        <v>N/A</v>
      </c>
      <c r="D15" s="613" t="str">
        <f>IF(ISNUMBER(C15), VLOOKUP(B15,Server_Configs[],2,FALSE), "N/A")</f>
        <v>N/A</v>
      </c>
      <c r="E15" s="612" t="str">
        <f>IF(ISNUMBER('Rack Layout'!$C15),'Rack Layout'!$D15*208/1000,"N/A")</f>
        <v>N/A</v>
      </c>
      <c r="F15" s="612" t="str">
        <f>IF(ISNUMBER(E15), VLOOKUP(B15,Server_Configs[],4,FALSE), "N/A")</f>
        <v>N/A</v>
      </c>
      <c r="G15" s="612" t="str">
        <f>IF(ISNUMBER(VLOOKUP(B15,Server_Configs[],6,FALSE)), VLOOKUP(B15,Server_Configs[],6,FALSE), "N/A")</f>
        <v>N/A</v>
      </c>
      <c r="H15" s="612" t="str">
        <f>IF(ISNUMBER(VLOOKUP(B15,Server_Configs[],8,FALSE)), VLOOKUP(B15,Server_Configs[],8,FALSE), "N/A")</f>
        <v>N/A</v>
      </c>
      <c r="I15" s="612" t="str">
        <f>IF(ISNUMBER(VLOOKUP(B15,Server_Configs[],9,FALSE)), VLOOKUP(B15,Server_Configs[],9,FALSE), "N/A")</f>
        <v>N/A</v>
      </c>
      <c r="J15" s="614" t="str">
        <f>IF(ISNUMBER(VLOOKUP(B15,Server_Configs[],10,FALSE)), VLOOKUP(B15,Server_Configs[],10,FALSE), "N/A")</f>
        <v>N/A</v>
      </c>
      <c r="K15" s="131"/>
      <c r="L15" s="672" t="str">
        <f t="shared" si="0"/>
        <v>Bank-Q (X)</v>
      </c>
      <c r="M15" s="627">
        <f t="shared" si="4"/>
        <v>0</v>
      </c>
      <c r="O15" s="668"/>
      <c r="P15" s="611">
        <f>Old_Layout[[#This Row],[Proc / Chassis]]</f>
        <v>0</v>
      </c>
      <c r="Q15" s="612" t="str">
        <f>IF(ISNUMBER(VLOOKUP(P15,Server_Configs[],3,FALSE)), VLOOKUP(P15,Server_Configs[],3,FALSE), "N/A")</f>
        <v>N/A</v>
      </c>
      <c r="R15" s="613" t="str">
        <f>IF(ISNUMBER(Q15), VLOOKUP(P15,Server_Configs[],2,FALSE), "N/A")</f>
        <v>N/A</v>
      </c>
      <c r="S15" s="612" t="str">
        <f>IF(ISNUMBER('Rack Layout'!$Q15),'Rack Layout'!$R15*208/1000,"N/A")</f>
        <v>N/A</v>
      </c>
      <c r="T15" s="612" t="str">
        <f>IF(ISNUMBER(S15), VLOOKUP(P15,Server_Configs[],4,FALSE), "N/A")</f>
        <v>N/A</v>
      </c>
      <c r="U15" s="612" t="str">
        <f>IF(ISNUMBER(VLOOKUP(P15,Server_Configs[],6,FALSE)), VLOOKUP(P15,Server_Configs[],6,FALSE), "N/A")</f>
        <v>N/A</v>
      </c>
      <c r="V15" s="612" t="str">
        <f>IF(ISNUMBER(VLOOKUP(P15,Server_Configs[],8,FALSE)), VLOOKUP(P15,Server_Configs[],8,FALSE), "N/A")</f>
        <v>N/A</v>
      </c>
      <c r="W15" s="612" t="str">
        <f>IF(ISNUMBER(VLOOKUP(P15,Server_Configs[],9,FALSE)), VLOOKUP(P15,Server_Configs[],9,FALSE), "N/A")</f>
        <v>N/A</v>
      </c>
      <c r="X15" s="614" t="str">
        <f>IF(ISNUMBER(VLOOKUP(P15,Server_Configs[],10,FALSE)), VLOOKUP(P15,Server_Configs[],10,FALSE), "N/A")</f>
        <v>N/A</v>
      </c>
      <c r="Z15" s="672" t="str">
        <f t="shared" si="1"/>
        <v>Bank-Q (X)</v>
      </c>
      <c r="AA15" s="627">
        <f t="shared" si="5"/>
        <v>0</v>
      </c>
      <c r="AM15" s="237" t="b">
        <f>AND('Rack Layout'!$J15=1,'Rack Layout'!$F15=2)</f>
        <v>0</v>
      </c>
      <c r="AN15" s="237" t="b">
        <f>AND(New_Layout[[#This Row],[Units]]=1,New_Layout[[#This Row],[PSUs]]=2)</f>
        <v>0</v>
      </c>
    </row>
    <row r="16" spans="1:40" ht="15" customHeight="1" x14ac:dyDescent="0.3">
      <c r="A16" s="610">
        <v>14</v>
      </c>
      <c r="B16" s="5"/>
      <c r="C16" s="615" t="str">
        <f>IF(ISNUMBER(VLOOKUP(B16,Server_Configs[],3,FALSE)), VLOOKUP(B16,Server_Configs[],3,FALSE), "N/A")</f>
        <v>N/A</v>
      </c>
      <c r="D16" s="616" t="str">
        <f>IF(ISNUMBER(C16), VLOOKUP(B16,Server_Configs[],2,FALSE), "N/A")</f>
        <v>N/A</v>
      </c>
      <c r="E16" s="615" t="str">
        <f>IF(ISNUMBER('Rack Layout'!$C16),'Rack Layout'!$D16*208/1000,"N/A")</f>
        <v>N/A</v>
      </c>
      <c r="F16" s="615" t="str">
        <f>IF(ISNUMBER(E16), VLOOKUP(B16,Server_Configs[],4,FALSE), "N/A")</f>
        <v>N/A</v>
      </c>
      <c r="G16" s="615" t="str">
        <f>IF(ISNUMBER(VLOOKUP(B16,Server_Configs[],6,FALSE)), VLOOKUP(B16,Server_Configs[],6,FALSE), "N/A")</f>
        <v>N/A</v>
      </c>
      <c r="H16" s="615" t="str">
        <f>IF(ISNUMBER(VLOOKUP(B16,Server_Configs[],8,FALSE)), VLOOKUP(B16,Server_Configs[],8,FALSE), "N/A")</f>
        <v>N/A</v>
      </c>
      <c r="I16" s="615" t="str">
        <f>IF(ISNUMBER(VLOOKUP(B16,Server_Configs[],9,FALSE)), VLOOKUP(B16,Server_Configs[],9,FALSE), "N/A")</f>
        <v>N/A</v>
      </c>
      <c r="J16" s="617" t="str">
        <f>IF(ISNUMBER(VLOOKUP(B16,Server_Configs[],10,FALSE)), VLOOKUP(B16,Server_Configs[],10,FALSE), "N/A")</f>
        <v>N/A</v>
      </c>
      <c r="K16" s="131"/>
      <c r="L16" s="628" t="str">
        <f t="shared" si="0"/>
        <v>Bank-Q (Y)</v>
      </c>
      <c r="M16" s="629">
        <f t="shared" si="4"/>
        <v>0</v>
      </c>
      <c r="O16" s="668"/>
      <c r="P16" s="5">
        <f>Old_Layout[[#This Row],[Proc / Chassis]]</f>
        <v>0</v>
      </c>
      <c r="Q16" s="615" t="str">
        <f>IF(ISNUMBER(VLOOKUP(P16,Server_Configs[],3,FALSE)), VLOOKUP(P16,Server_Configs[],3,FALSE), "N/A")</f>
        <v>N/A</v>
      </c>
      <c r="R16" s="616" t="str">
        <f>IF(ISNUMBER(Q16), VLOOKUP(P16,Server_Configs[],2,FALSE), "N/A")</f>
        <v>N/A</v>
      </c>
      <c r="S16" s="615" t="str">
        <f>IF(ISNUMBER('Rack Layout'!$Q16),'Rack Layout'!$R16*208/1000,"N/A")</f>
        <v>N/A</v>
      </c>
      <c r="T16" s="615" t="str">
        <f>IF(ISNUMBER(S16), VLOOKUP(P16,Server_Configs[],4,FALSE), "N/A")</f>
        <v>N/A</v>
      </c>
      <c r="U16" s="615" t="str">
        <f>IF(ISNUMBER(VLOOKUP(P16,Server_Configs[],6,FALSE)), VLOOKUP(P16,Server_Configs[],6,FALSE), "N/A")</f>
        <v>N/A</v>
      </c>
      <c r="V16" s="615" t="str">
        <f>IF(ISNUMBER(VLOOKUP(P16,Server_Configs[],8,FALSE)), VLOOKUP(P16,Server_Configs[],8,FALSE), "N/A")</f>
        <v>N/A</v>
      </c>
      <c r="W16" s="615" t="str">
        <f>IF(ISNUMBER(VLOOKUP(P16,Server_Configs[],9,FALSE)), VLOOKUP(P16,Server_Configs[],9,FALSE), "N/A")</f>
        <v>N/A</v>
      </c>
      <c r="X16" s="617" t="str">
        <f>IF(ISNUMBER(VLOOKUP(P16,Server_Configs[],10,FALSE)), VLOOKUP(P16,Server_Configs[],10,FALSE), "N/A")</f>
        <v>N/A</v>
      </c>
      <c r="Z16" s="628" t="str">
        <f t="shared" si="1"/>
        <v>Bank-Q (Y)</v>
      </c>
      <c r="AA16" s="629">
        <f t="shared" si="5"/>
        <v>0</v>
      </c>
      <c r="AC16" s="640"/>
      <c r="AD16" s="641"/>
      <c r="AE16" s="641"/>
      <c r="AF16" s="641"/>
      <c r="AM16" s="237" t="b">
        <f>AND('Rack Layout'!$J16=1,'Rack Layout'!$F16=2)</f>
        <v>0</v>
      </c>
      <c r="AN16" s="237" t="b">
        <f>AND(New_Layout[[#This Row],[Units]]=1,New_Layout[[#This Row],[PSUs]]=2)</f>
        <v>0</v>
      </c>
    </row>
    <row r="17" spans="1:40" ht="15" customHeight="1" x14ac:dyDescent="0.3">
      <c r="A17" s="610">
        <v>15</v>
      </c>
      <c r="B17" s="611"/>
      <c r="C17" s="612" t="str">
        <f>IF(ISNUMBER(VLOOKUP(B17,Server_Configs[],3,FALSE)), VLOOKUP(B17,Server_Configs[],3,FALSE), "N/A")</f>
        <v>N/A</v>
      </c>
      <c r="D17" s="613" t="str">
        <f>IF(ISNUMBER(C17), VLOOKUP(B17,Server_Configs[],2,FALSE), "N/A")</f>
        <v>N/A</v>
      </c>
      <c r="E17" s="612" t="str">
        <f>IF(ISNUMBER('Rack Layout'!$C17),'Rack Layout'!$D17*208/1000,"N/A")</f>
        <v>N/A</v>
      </c>
      <c r="F17" s="612" t="str">
        <f>IF(ISNUMBER(E17), VLOOKUP(B17,Server_Configs[],4,FALSE), "N/A")</f>
        <v>N/A</v>
      </c>
      <c r="G17" s="612" t="str">
        <f>IF(ISNUMBER(VLOOKUP(B17,Server_Configs[],6,FALSE)), VLOOKUP(B17,Server_Configs[],6,FALSE), "N/A")</f>
        <v>N/A</v>
      </c>
      <c r="H17" s="612" t="str">
        <f>IF(ISNUMBER(VLOOKUP(B17,Server_Configs[],8,FALSE)), VLOOKUP(B17,Server_Configs[],8,FALSE), "N/A")</f>
        <v>N/A</v>
      </c>
      <c r="I17" s="612" t="str">
        <f>IF(ISNUMBER(VLOOKUP(B17,Server_Configs[],9,FALSE)), VLOOKUP(B17,Server_Configs[],9,FALSE), "N/A")</f>
        <v>N/A</v>
      </c>
      <c r="J17" s="614" t="str">
        <f>IF(ISNUMBER(VLOOKUP(B17,Server_Configs[],10,FALSE)), VLOOKUP(B17,Server_Configs[],10,FALSE), "N/A")</f>
        <v>N/A</v>
      </c>
      <c r="K17" s="131"/>
      <c r="L17" s="672" t="str">
        <f t="shared" si="0"/>
        <v>Bank-Q (Z)</v>
      </c>
      <c r="M17" s="627">
        <f t="shared" si="4"/>
        <v>0</v>
      </c>
      <c r="O17" s="668"/>
      <c r="P17" s="611">
        <f>Old_Layout[[#This Row],[Proc / Chassis]]</f>
        <v>0</v>
      </c>
      <c r="Q17" s="612" t="str">
        <f>IF(ISNUMBER(VLOOKUP(P17,Server_Configs[],3,FALSE)), VLOOKUP(P17,Server_Configs[],3,FALSE), "N/A")</f>
        <v>N/A</v>
      </c>
      <c r="R17" s="613" t="str">
        <f>IF(ISNUMBER(Q17), VLOOKUP(P17,Server_Configs[],2,FALSE), "N/A")</f>
        <v>N/A</v>
      </c>
      <c r="S17" s="612" t="str">
        <f>IF(ISNUMBER('Rack Layout'!$Q17),'Rack Layout'!$R17*208/1000,"N/A")</f>
        <v>N/A</v>
      </c>
      <c r="T17" s="612" t="str">
        <f>IF(ISNUMBER(S17), VLOOKUP(P17,Server_Configs[],4,FALSE), "N/A")</f>
        <v>N/A</v>
      </c>
      <c r="U17" s="612" t="str">
        <f>IF(ISNUMBER(VLOOKUP(P17,Server_Configs[],6,FALSE)), VLOOKUP(P17,Server_Configs[],6,FALSE), "N/A")</f>
        <v>N/A</v>
      </c>
      <c r="V17" s="612" t="str">
        <f>IF(ISNUMBER(VLOOKUP(P17,Server_Configs[],8,FALSE)), VLOOKUP(P17,Server_Configs[],8,FALSE), "N/A")</f>
        <v>N/A</v>
      </c>
      <c r="W17" s="612" t="str">
        <f>IF(ISNUMBER(VLOOKUP(P17,Server_Configs[],9,FALSE)), VLOOKUP(P17,Server_Configs[],9,FALSE), "N/A")</f>
        <v>N/A</v>
      </c>
      <c r="X17" s="614" t="str">
        <f>IF(ISNUMBER(VLOOKUP(P17,Server_Configs[],10,FALSE)), VLOOKUP(P17,Server_Configs[],10,FALSE), "N/A")</f>
        <v>N/A</v>
      </c>
      <c r="Z17" s="672" t="str">
        <f t="shared" si="1"/>
        <v>Bank-Q (Z)</v>
      </c>
      <c r="AA17" s="627">
        <f t="shared" si="5"/>
        <v>0</v>
      </c>
      <c r="AC17" s="467"/>
      <c r="AD17" s="468"/>
      <c r="AE17" s="468"/>
      <c r="AF17" s="468"/>
      <c r="AM17" s="237" t="b">
        <f>AND('Rack Layout'!$J17=1,'Rack Layout'!$F17=2)</f>
        <v>0</v>
      </c>
      <c r="AN17" s="237" t="b">
        <f>AND(New_Layout[[#This Row],[Units]]=1,New_Layout[[#This Row],[PSUs]]=2)</f>
        <v>0</v>
      </c>
    </row>
    <row r="18" spans="1:40" ht="15" customHeight="1" x14ac:dyDescent="0.3">
      <c r="A18" s="618">
        <v>16</v>
      </c>
      <c r="B18" s="5"/>
      <c r="C18" s="615" t="str">
        <f>IF(ISNUMBER(VLOOKUP(B18,Server_Configs[],3,FALSE)), VLOOKUP(B18,Server_Configs[],3,FALSE), "N/A")</f>
        <v>N/A</v>
      </c>
      <c r="D18" s="616" t="str">
        <f>IF(ISNUMBER(C18), VLOOKUP(B18,Server_Configs[],2,FALSE), "N/A")</f>
        <v>N/A</v>
      </c>
      <c r="E18" s="615" t="str">
        <f>IF(ISNUMBER('Rack Layout'!$C18),'Rack Layout'!$D18*208/1000,"N/A")</f>
        <v>N/A</v>
      </c>
      <c r="F18" s="615" t="str">
        <f>IF(ISNUMBER(E18), VLOOKUP(B18,Server_Configs[],4,FALSE), "N/A")</f>
        <v>N/A</v>
      </c>
      <c r="G18" s="615" t="str">
        <f>IF(ISNUMBER(VLOOKUP(B18,Server_Configs[],6,FALSE)), VLOOKUP(B18,Server_Configs[],6,FALSE), "N/A")</f>
        <v>N/A</v>
      </c>
      <c r="H18" s="615" t="str">
        <f>IF(ISNUMBER(VLOOKUP(B18,Server_Configs[],8,FALSE)), VLOOKUP(B18,Server_Configs[],8,FALSE), "N/A")</f>
        <v>N/A</v>
      </c>
      <c r="I18" s="615" t="str">
        <f>IF(ISNUMBER(VLOOKUP(B18,Server_Configs[],9,FALSE)), VLOOKUP(B18,Server_Configs[],9,FALSE), "N/A")</f>
        <v>N/A</v>
      </c>
      <c r="J18" s="617" t="str">
        <f>IF(ISNUMBER(VLOOKUP(B18,Server_Configs[],10,FALSE)), VLOOKUP(B18,Server_Configs[],10,FALSE), "N/A")</f>
        <v>N/A</v>
      </c>
      <c r="K18" s="131"/>
      <c r="L18" s="796" t="str">
        <f t="shared" si="0"/>
        <v>Failover</v>
      </c>
      <c r="M18" s="797"/>
      <c r="O18" s="669"/>
      <c r="P18" s="5">
        <f>Old_Layout[[#This Row],[Proc / Chassis]]</f>
        <v>0</v>
      </c>
      <c r="Q18" s="615" t="str">
        <f>IF(ISNUMBER(VLOOKUP(P18,Server_Configs[],3,FALSE)), VLOOKUP(P18,Server_Configs[],3,FALSE), "N/A")</f>
        <v>N/A</v>
      </c>
      <c r="R18" s="616" t="str">
        <f>IF(ISNUMBER(Q18), VLOOKUP(P18,Server_Configs[],2,FALSE), "N/A")</f>
        <v>N/A</v>
      </c>
      <c r="S18" s="615" t="str">
        <f>IF(ISNUMBER('Rack Layout'!$Q18),'Rack Layout'!$R18*208/1000,"N/A")</f>
        <v>N/A</v>
      </c>
      <c r="T18" s="615" t="str">
        <f>IF(ISNUMBER(S18), VLOOKUP(P18,Server_Configs[],4,FALSE), "N/A")</f>
        <v>N/A</v>
      </c>
      <c r="U18" s="615" t="str">
        <f>IF(ISNUMBER(VLOOKUP(P18,Server_Configs[],6,FALSE)), VLOOKUP(P18,Server_Configs[],6,FALSE), "N/A")</f>
        <v>N/A</v>
      </c>
      <c r="V18" s="615" t="str">
        <f>IF(ISNUMBER(VLOOKUP(P18,Server_Configs[],8,FALSE)), VLOOKUP(P18,Server_Configs[],8,FALSE), "N/A")</f>
        <v>N/A</v>
      </c>
      <c r="W18" s="615" t="str">
        <f>IF(ISNUMBER(VLOOKUP(P18,Server_Configs[],9,FALSE)), VLOOKUP(P18,Server_Configs[],9,FALSE), "N/A")</f>
        <v>N/A</v>
      </c>
      <c r="X18" s="617" t="str">
        <f>IF(ISNUMBER(VLOOKUP(P18,Server_Configs[],10,FALSE)), VLOOKUP(P18,Server_Configs[],10,FALSE), "N/A")</f>
        <v>N/A</v>
      </c>
      <c r="Z18" s="796" t="str">
        <f t="shared" si="1"/>
        <v>Failover</v>
      </c>
      <c r="AA18" s="797"/>
      <c r="AC18" s="470"/>
      <c r="AD18" s="470"/>
      <c r="AE18" s="470"/>
      <c r="AF18" s="470"/>
      <c r="AM18" s="237" t="b">
        <f>AND('Rack Layout'!$J18=1,'Rack Layout'!$F18=2)</f>
        <v>0</v>
      </c>
      <c r="AN18" s="237" t="b">
        <f>AND(New_Layout[[#This Row],[Units]]=1,New_Layout[[#This Row],[PSUs]]=2)</f>
        <v>0</v>
      </c>
    </row>
    <row r="19" spans="1:40" ht="15" customHeight="1" x14ac:dyDescent="0.3">
      <c r="A19" s="618">
        <v>17</v>
      </c>
      <c r="B19" s="611"/>
      <c r="C19" s="612" t="str">
        <f>IF(ISNUMBER(VLOOKUP(B19,Server_Configs[],3,FALSE)), VLOOKUP(B19,Server_Configs[],3,FALSE), "N/A")</f>
        <v>N/A</v>
      </c>
      <c r="D19" s="613" t="str">
        <f>IF(ISNUMBER(C19), VLOOKUP(B19,Server_Configs[],2,FALSE), "N/A")</f>
        <v>N/A</v>
      </c>
      <c r="E19" s="612" t="str">
        <f>IF(ISNUMBER('Rack Layout'!$C19),'Rack Layout'!$D19*208/1000,"N/A")</f>
        <v>N/A</v>
      </c>
      <c r="F19" s="612" t="str">
        <f>IF(ISNUMBER(E19), VLOOKUP(B19,Server_Configs[],4,FALSE), "N/A")</f>
        <v>N/A</v>
      </c>
      <c r="G19" s="612" t="str">
        <f>IF(ISNUMBER(VLOOKUP(B19,Server_Configs[],6,FALSE)), VLOOKUP(B19,Server_Configs[],6,FALSE), "N/A")</f>
        <v>N/A</v>
      </c>
      <c r="H19" s="612" t="str">
        <f>IF(ISNUMBER(VLOOKUP(B19,Server_Configs[],8,FALSE)), VLOOKUP(B19,Server_Configs[],8,FALSE), "N/A")</f>
        <v>N/A</v>
      </c>
      <c r="I19" s="612" t="str">
        <f>IF(ISNUMBER(VLOOKUP(B19,Server_Configs[],9,FALSE)), VLOOKUP(B19,Server_Configs[],9,FALSE), "N/A")</f>
        <v>N/A</v>
      </c>
      <c r="J19" s="614" t="str">
        <f>IF(ISNUMBER(VLOOKUP(B19,Server_Configs[],10,FALSE)), VLOOKUP(B19,Server_Configs[],10,FALSE), "N/A")</f>
        <v>N/A</v>
      </c>
      <c r="K19" s="131"/>
      <c r="L19" s="672" t="str">
        <f t="shared" si="0"/>
        <v>Failover (X)</v>
      </c>
      <c r="M19" s="627">
        <f>M84</f>
        <v>0</v>
      </c>
      <c r="O19" s="669"/>
      <c r="P19" s="611">
        <f>Old_Layout[[#This Row],[Proc / Chassis]]</f>
        <v>0</v>
      </c>
      <c r="Q19" s="612" t="str">
        <f>IF(ISNUMBER(VLOOKUP(P19,Server_Configs[],3,FALSE)), VLOOKUP(P19,Server_Configs[],3,FALSE), "N/A")</f>
        <v>N/A</v>
      </c>
      <c r="R19" s="613" t="str">
        <f>IF(ISNUMBER(Q19), VLOOKUP(P19,Server_Configs[],2,FALSE), "N/A")</f>
        <v>N/A</v>
      </c>
      <c r="S19" s="612" t="str">
        <f>IF(ISNUMBER('Rack Layout'!$Q19),'Rack Layout'!$R19*208/1000,"N/A")</f>
        <v>N/A</v>
      </c>
      <c r="T19" s="612" t="str">
        <f>IF(ISNUMBER(S19), VLOOKUP(P19,Server_Configs[],4,FALSE), "N/A")</f>
        <v>N/A</v>
      </c>
      <c r="U19" s="612" t="str">
        <f>IF(ISNUMBER(VLOOKUP(P19,Server_Configs[],6,FALSE)), VLOOKUP(P19,Server_Configs[],6,FALSE), "N/A")</f>
        <v>N/A</v>
      </c>
      <c r="V19" s="612" t="str">
        <f>IF(ISNUMBER(VLOOKUP(P19,Server_Configs[],8,FALSE)), VLOOKUP(P19,Server_Configs[],8,FALSE), "N/A")</f>
        <v>N/A</v>
      </c>
      <c r="W19" s="612" t="str">
        <f>IF(ISNUMBER(VLOOKUP(P19,Server_Configs[],9,FALSE)), VLOOKUP(P19,Server_Configs[],9,FALSE), "N/A")</f>
        <v>N/A</v>
      </c>
      <c r="X19" s="614" t="str">
        <f>IF(ISNUMBER(VLOOKUP(P19,Server_Configs[],10,FALSE)), VLOOKUP(P19,Server_Configs[],10,FALSE), "N/A")</f>
        <v>N/A</v>
      </c>
      <c r="Z19" s="672" t="str">
        <f t="shared" si="1"/>
        <v>Failover (X)</v>
      </c>
      <c r="AA19" s="627">
        <f>AA84</f>
        <v>0</v>
      </c>
      <c r="AC19" s="407"/>
      <c r="AD19" s="469"/>
      <c r="AE19" s="469"/>
      <c r="AF19" s="469"/>
      <c r="AM19" s="237" t="b">
        <f>AND('Rack Layout'!$J19=1,'Rack Layout'!$F19=2)</f>
        <v>0</v>
      </c>
      <c r="AN19" s="237" t="b">
        <f>AND(New_Layout[[#This Row],[Units]]=1,New_Layout[[#This Row],[PSUs]]=2)</f>
        <v>0</v>
      </c>
    </row>
    <row r="20" spans="1:40" ht="15" customHeight="1" x14ac:dyDescent="0.3">
      <c r="A20" s="618">
        <v>18</v>
      </c>
      <c r="B20" s="5"/>
      <c r="C20" s="615" t="str">
        <f>IF(ISNUMBER(VLOOKUP(B20,Server_Configs[],3,FALSE)), VLOOKUP(B20,Server_Configs[],3,FALSE), "N/A")</f>
        <v>N/A</v>
      </c>
      <c r="D20" s="616" t="str">
        <f>IF(ISNUMBER(C20), VLOOKUP(B20,Server_Configs[],2,FALSE), "N/A")</f>
        <v>N/A</v>
      </c>
      <c r="E20" s="615" t="str">
        <f>IF(ISNUMBER('Rack Layout'!$C20),'Rack Layout'!$D20*208/1000,"N/A")</f>
        <v>N/A</v>
      </c>
      <c r="F20" s="615" t="str">
        <f>IF(ISNUMBER(E20), VLOOKUP(B20,Server_Configs[],4,FALSE), "N/A")</f>
        <v>N/A</v>
      </c>
      <c r="G20" s="615" t="str">
        <f>IF(ISNUMBER(VLOOKUP(B20,Server_Configs[],6,FALSE)), VLOOKUP(B20,Server_Configs[],6,FALSE), "N/A")</f>
        <v>N/A</v>
      </c>
      <c r="H20" s="615" t="str">
        <f>IF(ISNUMBER(VLOOKUP(B20,Server_Configs[],8,FALSE)), VLOOKUP(B20,Server_Configs[],8,FALSE), "N/A")</f>
        <v>N/A</v>
      </c>
      <c r="I20" s="615" t="str">
        <f>IF(ISNUMBER(VLOOKUP(B20,Server_Configs[],9,FALSE)), VLOOKUP(B20,Server_Configs[],9,FALSE), "N/A")</f>
        <v>N/A</v>
      </c>
      <c r="J20" s="617" t="str">
        <f>IF(ISNUMBER(VLOOKUP(B20,Server_Configs[],10,FALSE)), VLOOKUP(B20,Server_Configs[],10,FALSE), "N/A")</f>
        <v>N/A</v>
      </c>
      <c r="K20" s="131"/>
      <c r="L20" s="628" t="str">
        <f t="shared" si="0"/>
        <v>Failover (Y)</v>
      </c>
      <c r="M20" s="629">
        <f>M85</f>
        <v>0</v>
      </c>
      <c r="O20" s="669"/>
      <c r="P20" s="5">
        <f>Old_Layout[[#This Row],[Proc / Chassis]]</f>
        <v>0</v>
      </c>
      <c r="Q20" s="615" t="str">
        <f>IF(ISNUMBER(VLOOKUP(P20,Server_Configs[],3,FALSE)), VLOOKUP(P20,Server_Configs[],3,FALSE), "N/A")</f>
        <v>N/A</v>
      </c>
      <c r="R20" s="616" t="str">
        <f>IF(ISNUMBER(Q20), VLOOKUP(P20,Server_Configs[],2,FALSE), "N/A")</f>
        <v>N/A</v>
      </c>
      <c r="S20" s="615" t="str">
        <f>IF(ISNUMBER('Rack Layout'!$Q20),'Rack Layout'!$R20*208/1000,"N/A")</f>
        <v>N/A</v>
      </c>
      <c r="T20" s="615" t="str">
        <f>IF(ISNUMBER(S20), VLOOKUP(P20,Server_Configs[],4,FALSE), "N/A")</f>
        <v>N/A</v>
      </c>
      <c r="U20" s="615" t="str">
        <f>IF(ISNUMBER(VLOOKUP(P20,Server_Configs[],6,FALSE)), VLOOKUP(P20,Server_Configs[],6,FALSE), "N/A")</f>
        <v>N/A</v>
      </c>
      <c r="V20" s="615" t="str">
        <f>IF(ISNUMBER(VLOOKUP(P20,Server_Configs[],8,FALSE)), VLOOKUP(P20,Server_Configs[],8,FALSE), "N/A")</f>
        <v>N/A</v>
      </c>
      <c r="W20" s="615" t="str">
        <f>IF(ISNUMBER(VLOOKUP(P20,Server_Configs[],9,FALSE)), VLOOKUP(P20,Server_Configs[],9,FALSE), "N/A")</f>
        <v>N/A</v>
      </c>
      <c r="X20" s="617" t="str">
        <f>IF(ISNUMBER(VLOOKUP(P20,Server_Configs[],10,FALSE)), VLOOKUP(P20,Server_Configs[],10,FALSE), "N/A")</f>
        <v>N/A</v>
      </c>
      <c r="Z20" s="628" t="str">
        <f t="shared" si="1"/>
        <v>Failover (Y)</v>
      </c>
      <c r="AA20" s="629">
        <f>AA85</f>
        <v>0</v>
      </c>
      <c r="AC20" s="465"/>
      <c r="AD20" s="466"/>
      <c r="AE20" s="466"/>
      <c r="AF20" s="466"/>
      <c r="AM20" s="237" t="b">
        <f>AND('Rack Layout'!$J20=1,'Rack Layout'!$F20=2)</f>
        <v>0</v>
      </c>
      <c r="AN20" s="237" t="b">
        <f>AND(New_Layout[[#This Row],[Units]]=1,New_Layout[[#This Row],[PSUs]]=2)</f>
        <v>0</v>
      </c>
    </row>
    <row r="21" spans="1:40" x14ac:dyDescent="0.3">
      <c r="A21" s="618">
        <v>19</v>
      </c>
      <c r="B21" s="611"/>
      <c r="C21" s="612" t="str">
        <f>IF(ISNUMBER(VLOOKUP(B21,Server_Configs[],3,FALSE)), VLOOKUP(B21,Server_Configs[],3,FALSE), "N/A")</f>
        <v>N/A</v>
      </c>
      <c r="D21" s="613" t="str">
        <f>IF(ISNUMBER(C21), VLOOKUP(B21,Server_Configs[],2,FALSE), "N/A")</f>
        <v>N/A</v>
      </c>
      <c r="E21" s="612" t="str">
        <f>IF(ISNUMBER('Rack Layout'!$C21),'Rack Layout'!$D21*208/1000,"N/A")</f>
        <v>N/A</v>
      </c>
      <c r="F21" s="612" t="str">
        <f>IF(ISNUMBER(E21), VLOOKUP(B21,Server_Configs[],4,FALSE), "N/A")</f>
        <v>N/A</v>
      </c>
      <c r="G21" s="612" t="str">
        <f>IF(ISNUMBER(VLOOKUP(B21,Server_Configs[],6,FALSE)), VLOOKUP(B21,Server_Configs[],6,FALSE), "N/A")</f>
        <v>N/A</v>
      </c>
      <c r="H21" s="612" t="str">
        <f>IF(ISNUMBER(VLOOKUP(B21,Server_Configs[],8,FALSE)), VLOOKUP(B21,Server_Configs[],8,FALSE), "N/A")</f>
        <v>N/A</v>
      </c>
      <c r="I21" s="612" t="str">
        <f>IF(ISNUMBER(VLOOKUP(B21,Server_Configs[],9,FALSE)), VLOOKUP(B21,Server_Configs[],9,FALSE), "N/A")</f>
        <v>N/A</v>
      </c>
      <c r="J21" s="614" t="str">
        <f>IF(ISNUMBER(VLOOKUP(B21,Server_Configs[],10,FALSE)), VLOOKUP(B21,Server_Configs[],10,FALSE), "N/A")</f>
        <v>N/A</v>
      </c>
      <c r="K21" s="131"/>
      <c r="L21" s="672" t="str">
        <f t="shared" si="0"/>
        <v>Failover (Z)</v>
      </c>
      <c r="M21" s="627">
        <f>M86</f>
        <v>0</v>
      </c>
      <c r="O21" s="669"/>
      <c r="P21" s="611">
        <f>Old_Layout[[#This Row],[Proc / Chassis]]</f>
        <v>0</v>
      </c>
      <c r="Q21" s="612" t="str">
        <f>IF(ISNUMBER(VLOOKUP(P21,Server_Configs[],3,FALSE)), VLOOKUP(P21,Server_Configs[],3,FALSE), "N/A")</f>
        <v>N/A</v>
      </c>
      <c r="R21" s="613" t="str">
        <f>IF(ISNUMBER(Q21), VLOOKUP(P21,Server_Configs[],2,FALSE), "N/A")</f>
        <v>N/A</v>
      </c>
      <c r="S21" s="612" t="str">
        <f>IF(ISNUMBER('Rack Layout'!$Q21),'Rack Layout'!$R21*208/1000,"N/A")</f>
        <v>N/A</v>
      </c>
      <c r="T21" s="612" t="str">
        <f>IF(ISNUMBER(S21), VLOOKUP(P21,Server_Configs[],4,FALSE), "N/A")</f>
        <v>N/A</v>
      </c>
      <c r="U21" s="612" t="str">
        <f>IF(ISNUMBER(VLOOKUP(P21,Server_Configs[],6,FALSE)), VLOOKUP(P21,Server_Configs[],6,FALSE), "N/A")</f>
        <v>N/A</v>
      </c>
      <c r="V21" s="612" t="str">
        <f>IF(ISNUMBER(VLOOKUP(P21,Server_Configs[],8,FALSE)), VLOOKUP(P21,Server_Configs[],8,FALSE), "N/A")</f>
        <v>N/A</v>
      </c>
      <c r="W21" s="612" t="str">
        <f>IF(ISNUMBER(VLOOKUP(P21,Server_Configs[],9,FALSE)), VLOOKUP(P21,Server_Configs[],9,FALSE), "N/A")</f>
        <v>N/A</v>
      </c>
      <c r="X21" s="614" t="str">
        <f>IF(ISNUMBER(VLOOKUP(P21,Server_Configs[],10,FALSE)), VLOOKUP(P21,Server_Configs[],10,FALSE), "N/A")</f>
        <v>N/A</v>
      </c>
      <c r="Z21" s="672" t="str">
        <f t="shared" si="1"/>
        <v>Failover (Z)</v>
      </c>
      <c r="AA21" s="627">
        <f>AA86</f>
        <v>0</v>
      </c>
      <c r="AC21" s="327"/>
      <c r="AD21" s="327"/>
      <c r="AE21" s="327"/>
      <c r="AF21" s="327"/>
      <c r="AM21" s="237" t="b">
        <f>AND('Rack Layout'!$J21=1,'Rack Layout'!$F21=2)</f>
        <v>0</v>
      </c>
      <c r="AN21" s="237" t="b">
        <f>AND(New_Layout[[#This Row],[Units]]=1,New_Layout[[#This Row],[PSUs]]=2)</f>
        <v>0</v>
      </c>
    </row>
    <row r="22" spans="1:40" ht="15" customHeight="1" x14ac:dyDescent="0.3">
      <c r="A22" s="618">
        <v>20</v>
      </c>
      <c r="B22" s="5"/>
      <c r="C22" s="615" t="str">
        <f>IF(ISNUMBER(VLOOKUP(B22,Server_Configs[],3,FALSE)), VLOOKUP(B22,Server_Configs[],3,FALSE), "N/A")</f>
        <v>N/A</v>
      </c>
      <c r="D22" s="616" t="str">
        <f>IF(ISNUMBER(C22), VLOOKUP(B22,Server_Configs[],2,FALSE), "N/A")</f>
        <v>N/A</v>
      </c>
      <c r="E22" s="615" t="str">
        <f>IF(ISNUMBER('Rack Layout'!$C22),'Rack Layout'!$D22*208/1000,"N/A")</f>
        <v>N/A</v>
      </c>
      <c r="F22" s="615" t="str">
        <f>IF(ISNUMBER(E22), VLOOKUP(B22,Server_Configs[],4,FALSE), "N/A")</f>
        <v>N/A</v>
      </c>
      <c r="G22" s="615" t="str">
        <f>IF(ISNUMBER(VLOOKUP(B22,Server_Configs[],6,FALSE)), VLOOKUP(B22,Server_Configs[],6,FALSE), "N/A")</f>
        <v>N/A</v>
      </c>
      <c r="H22" s="615" t="str">
        <f>IF(ISNUMBER(VLOOKUP(B22,Server_Configs[],8,FALSE)), VLOOKUP(B22,Server_Configs[],8,FALSE), "N/A")</f>
        <v>N/A</v>
      </c>
      <c r="I22" s="615" t="str">
        <f>IF(ISNUMBER(VLOOKUP(B22,Server_Configs[],9,FALSE)), VLOOKUP(B22,Server_Configs[],9,FALSE), "N/A")</f>
        <v>N/A</v>
      </c>
      <c r="J22" s="617" t="str">
        <f>IF(ISNUMBER(VLOOKUP(B22,Server_Configs[],10,FALSE)), VLOOKUP(B22,Server_Configs[],10,FALSE), "N/A")</f>
        <v>N/A</v>
      </c>
      <c r="K22" s="131"/>
      <c r="L22" s="631"/>
      <c r="M22" s="634"/>
      <c r="O22" s="669"/>
      <c r="P22" s="5">
        <f>Old_Layout[[#This Row],[Proc / Chassis]]</f>
        <v>0</v>
      </c>
      <c r="Q22" s="615" t="str">
        <f>IF(ISNUMBER(VLOOKUP(P22,Server_Configs[],3,FALSE)), VLOOKUP(P22,Server_Configs[],3,FALSE), "N/A")</f>
        <v>N/A</v>
      </c>
      <c r="R22" s="616" t="str">
        <f>IF(ISNUMBER(Q22), VLOOKUP(P22,Server_Configs[],2,FALSE), "N/A")</f>
        <v>N/A</v>
      </c>
      <c r="S22" s="615" t="str">
        <f>IF(ISNUMBER('Rack Layout'!$Q22),'Rack Layout'!$R22*208/1000,"N/A")</f>
        <v>N/A</v>
      </c>
      <c r="T22" s="615" t="str">
        <f>IF(ISNUMBER(S22), VLOOKUP(P22,Server_Configs[],4,FALSE), "N/A")</f>
        <v>N/A</v>
      </c>
      <c r="U22" s="615" t="str">
        <f>IF(ISNUMBER(VLOOKUP(P22,Server_Configs[],6,FALSE)), VLOOKUP(P22,Server_Configs[],6,FALSE), "N/A")</f>
        <v>N/A</v>
      </c>
      <c r="V22" s="615" t="str">
        <f>IF(ISNUMBER(VLOOKUP(P22,Server_Configs[],8,FALSE)), VLOOKUP(P22,Server_Configs[],8,FALSE), "N/A")</f>
        <v>N/A</v>
      </c>
      <c r="W22" s="615" t="str">
        <f>IF(ISNUMBER(VLOOKUP(P22,Server_Configs[],9,FALSE)), VLOOKUP(P22,Server_Configs[],9,FALSE), "N/A")</f>
        <v>N/A</v>
      </c>
      <c r="X22" s="617" t="str">
        <f>IF(ISNUMBER(VLOOKUP(P22,Server_Configs[],10,FALSE)), VLOOKUP(P22,Server_Configs[],10,FALSE), "N/A")</f>
        <v>N/A</v>
      </c>
      <c r="Z22" s="630"/>
      <c r="AA22" s="633"/>
      <c r="AM22" s="237" t="b">
        <f>AND('Rack Layout'!$J22=1,'Rack Layout'!$F22=2)</f>
        <v>0</v>
      </c>
      <c r="AN22" s="237" t="b">
        <f>AND(New_Layout[[#This Row],[Units]]=1,New_Layout[[#This Row],[PSUs]]=2)</f>
        <v>0</v>
      </c>
    </row>
    <row r="23" spans="1:40" ht="15" customHeight="1" x14ac:dyDescent="0.3">
      <c r="A23" s="618">
        <v>21</v>
      </c>
      <c r="B23" s="611"/>
      <c r="C23" s="612" t="str">
        <f>IF(ISNUMBER(VLOOKUP(B23,Server_Configs[],3,FALSE)), VLOOKUP(B23,Server_Configs[],3,FALSE), "N/A")</f>
        <v>N/A</v>
      </c>
      <c r="D23" s="613" t="str">
        <f>IF(ISNUMBER(C23), VLOOKUP(B23,Server_Configs[],2,FALSE), "N/A")</f>
        <v>N/A</v>
      </c>
      <c r="E23" s="612" t="str">
        <f>IF(ISNUMBER('Rack Layout'!$C23),'Rack Layout'!$D23*208/1000,"N/A")</f>
        <v>N/A</v>
      </c>
      <c r="F23" s="612" t="str">
        <f>IF(ISNUMBER(E23), VLOOKUP(B23,Server_Configs[],4,FALSE), "N/A")</f>
        <v>N/A</v>
      </c>
      <c r="G23" s="612" t="str">
        <f>IF(ISNUMBER(VLOOKUP(B23,Server_Configs[],6,FALSE)), VLOOKUP(B23,Server_Configs[],6,FALSE), "N/A")</f>
        <v>N/A</v>
      </c>
      <c r="H23" s="612" t="str">
        <f>IF(ISNUMBER(VLOOKUP(B23,Server_Configs[],8,FALSE)), VLOOKUP(B23,Server_Configs[],8,FALSE), "N/A")</f>
        <v>N/A</v>
      </c>
      <c r="I23" s="612" t="str">
        <f>IF(ISNUMBER(VLOOKUP(B23,Server_Configs[],9,FALSE)), VLOOKUP(B23,Server_Configs[],9,FALSE), "N/A")</f>
        <v>N/A</v>
      </c>
      <c r="J23" s="614" t="str">
        <f>IF(ISNUMBER(VLOOKUP(B23,Server_Configs[],10,FALSE)), VLOOKUP(B23,Server_Configs[],10,FALSE), "N/A")</f>
        <v>N/A</v>
      </c>
      <c r="K23" s="131"/>
      <c r="L23" s="631"/>
      <c r="M23" s="632"/>
      <c r="O23" s="669"/>
      <c r="P23" s="611">
        <f>Old_Layout[[#This Row],[Proc / Chassis]]</f>
        <v>0</v>
      </c>
      <c r="Q23" s="612" t="str">
        <f>IF(ISNUMBER(VLOOKUP(P23,Server_Configs[],3,FALSE)), VLOOKUP(P23,Server_Configs[],3,FALSE), "N/A")</f>
        <v>N/A</v>
      </c>
      <c r="R23" s="613" t="str">
        <f>IF(ISNUMBER(Q23), VLOOKUP(P23,Server_Configs[],2,FALSE), "N/A")</f>
        <v>N/A</v>
      </c>
      <c r="S23" s="612" t="str">
        <f>IF(ISNUMBER('Rack Layout'!$Q23),'Rack Layout'!$R23*208/1000,"N/A")</f>
        <v>N/A</v>
      </c>
      <c r="T23" s="612" t="str">
        <f>IF(ISNUMBER(S23), VLOOKUP(P23,Server_Configs[],4,FALSE), "N/A")</f>
        <v>N/A</v>
      </c>
      <c r="U23" s="612" t="str">
        <f>IF(ISNUMBER(VLOOKUP(P23,Server_Configs[],6,FALSE)), VLOOKUP(P23,Server_Configs[],6,FALSE), "N/A")</f>
        <v>N/A</v>
      </c>
      <c r="V23" s="612" t="str">
        <f>IF(ISNUMBER(VLOOKUP(P23,Server_Configs[],8,FALSE)), VLOOKUP(P23,Server_Configs[],8,FALSE), "N/A")</f>
        <v>N/A</v>
      </c>
      <c r="W23" s="612" t="str">
        <f>IF(ISNUMBER(VLOOKUP(P23,Server_Configs[],9,FALSE)), VLOOKUP(P23,Server_Configs[],9,FALSE), "N/A")</f>
        <v>N/A</v>
      </c>
      <c r="X23" s="614" t="str">
        <f>IF(ISNUMBER(VLOOKUP(P23,Server_Configs[],10,FALSE)), VLOOKUP(P23,Server_Configs[],10,FALSE), "N/A")</f>
        <v>N/A</v>
      </c>
      <c r="Z23" s="630"/>
      <c r="AA23" s="633"/>
      <c r="AC23" s="794" t="s">
        <v>546</v>
      </c>
      <c r="AD23" s="795"/>
      <c r="AE23" s="795"/>
      <c r="AF23" s="795"/>
      <c r="AM23" s="237" t="b">
        <f>AND('Rack Layout'!$J23=1,'Rack Layout'!$F23=2)</f>
        <v>0</v>
      </c>
      <c r="AN23" s="237" t="b">
        <f>AND(New_Layout[[#This Row],[Units]]=1,New_Layout[[#This Row],[PSUs]]=2)</f>
        <v>0</v>
      </c>
    </row>
    <row r="24" spans="1:40" ht="15" customHeight="1" x14ac:dyDescent="0.3">
      <c r="A24" s="610">
        <v>22</v>
      </c>
      <c r="B24" s="5"/>
      <c r="C24" s="615" t="str">
        <f>IF(ISNUMBER(VLOOKUP(B24,Server_Configs[],3,FALSE)), VLOOKUP(B24,Server_Configs[],3,FALSE), "N/A")</f>
        <v>N/A</v>
      </c>
      <c r="D24" s="616" t="str">
        <f>IF(ISNUMBER(C24), VLOOKUP(B24,Server_Configs[],2,FALSE), "N/A")</f>
        <v>N/A</v>
      </c>
      <c r="E24" s="615" t="str">
        <f>IF(ISNUMBER('Rack Layout'!$C24),'Rack Layout'!$D24*208/1000,"N/A")</f>
        <v>N/A</v>
      </c>
      <c r="F24" s="615" t="str">
        <f>IF(ISNUMBER(E24), VLOOKUP(B24,Server_Configs[],4,FALSE), "N/A")</f>
        <v>N/A</v>
      </c>
      <c r="G24" s="615" t="str">
        <f>IF(ISNUMBER(VLOOKUP(B24,Server_Configs[],6,FALSE)), VLOOKUP(B24,Server_Configs[],6,FALSE), "N/A")</f>
        <v>N/A</v>
      </c>
      <c r="H24" s="615" t="str">
        <f>IF(ISNUMBER(VLOOKUP(B24,Server_Configs[],8,FALSE)), VLOOKUP(B24,Server_Configs[],8,FALSE), "N/A")</f>
        <v>N/A</v>
      </c>
      <c r="I24" s="615" t="str">
        <f>IF(ISNUMBER(VLOOKUP(B24,Server_Configs[],9,FALSE)), VLOOKUP(B24,Server_Configs[],9,FALSE), "N/A")</f>
        <v>N/A</v>
      </c>
      <c r="J24" s="617" t="str">
        <f>IF(ISNUMBER(VLOOKUP(B24,Server_Configs[],10,FALSE)), VLOOKUP(B24,Server_Configs[],10,FALSE), "N/A")</f>
        <v>N/A</v>
      </c>
      <c r="K24" s="131"/>
      <c r="L24" s="630"/>
      <c r="M24" s="633"/>
      <c r="O24" s="668"/>
      <c r="P24" s="5">
        <f>Old_Layout[[#This Row],[Proc / Chassis]]</f>
        <v>0</v>
      </c>
      <c r="Q24" s="615" t="str">
        <f>IF(ISNUMBER(VLOOKUP(P24,Server_Configs[],3,FALSE)), VLOOKUP(P24,Server_Configs[],3,FALSE), "N/A")</f>
        <v>N/A</v>
      </c>
      <c r="R24" s="616" t="str">
        <f>IF(ISNUMBER(Q24), VLOOKUP(P24,Server_Configs[],2,FALSE), "N/A")</f>
        <v>N/A</v>
      </c>
      <c r="S24" s="615" t="str">
        <f>IF(ISNUMBER('Rack Layout'!$Q24),'Rack Layout'!$R24*208/1000,"N/A")</f>
        <v>N/A</v>
      </c>
      <c r="T24" s="615" t="str">
        <f>IF(ISNUMBER(S24), VLOOKUP(P24,Server_Configs[],4,FALSE), "N/A")</f>
        <v>N/A</v>
      </c>
      <c r="U24" s="615" t="str">
        <f>IF(ISNUMBER(VLOOKUP(P24,Server_Configs[],6,FALSE)), VLOOKUP(P24,Server_Configs[],6,FALSE), "N/A")</f>
        <v>N/A</v>
      </c>
      <c r="V24" s="615" t="str">
        <f>IF(ISNUMBER(VLOOKUP(P24,Server_Configs[],8,FALSE)), VLOOKUP(P24,Server_Configs[],8,FALSE), "N/A")</f>
        <v>N/A</v>
      </c>
      <c r="W24" s="615" t="str">
        <f>IF(ISNUMBER(VLOOKUP(P24,Server_Configs[],9,FALSE)), VLOOKUP(P24,Server_Configs[],9,FALSE), "N/A")</f>
        <v>N/A</v>
      </c>
      <c r="X24" s="617" t="str">
        <f>IF(ISNUMBER(VLOOKUP(P24,Server_Configs[],10,FALSE)), VLOOKUP(P24,Server_Configs[],10,FALSE), "N/A")</f>
        <v>N/A</v>
      </c>
      <c r="Z24" s="630"/>
      <c r="AA24" s="633"/>
      <c r="AC24" s="787" t="s">
        <v>210</v>
      </c>
      <c r="AD24" s="788"/>
      <c r="AE24" s="789">
        <f>COUNTA(B3:B47)-COUNTIF(B3:B47,0)</f>
        <v>0</v>
      </c>
      <c r="AF24" s="790"/>
      <c r="AM24" s="237" t="b">
        <f>AND('Rack Layout'!$J24=1,'Rack Layout'!$F24=2)</f>
        <v>0</v>
      </c>
      <c r="AN24" s="237" t="b">
        <f>AND(New_Layout[[#This Row],[Units]]=1,New_Layout[[#This Row],[PSUs]]=2)</f>
        <v>0</v>
      </c>
    </row>
    <row r="25" spans="1:40" ht="15" customHeight="1" x14ac:dyDescent="0.3">
      <c r="A25" s="610">
        <v>23</v>
      </c>
      <c r="B25" s="611"/>
      <c r="C25" s="612" t="str">
        <f>IF(ISNUMBER(VLOOKUP(B25,Server_Configs[],3,FALSE)), VLOOKUP(B25,Server_Configs[],3,FALSE), "N/A")</f>
        <v>N/A</v>
      </c>
      <c r="D25" s="613" t="str">
        <f>IF(ISNUMBER(C25), VLOOKUP(B25,Server_Configs[],2,FALSE), "N/A")</f>
        <v>N/A</v>
      </c>
      <c r="E25" s="612" t="str">
        <f>IF(ISNUMBER('Rack Layout'!$C25),'Rack Layout'!$D25*208/1000,"N/A")</f>
        <v>N/A</v>
      </c>
      <c r="F25" s="612" t="str">
        <f>IF(ISNUMBER(E25), VLOOKUP(B25,Server_Configs[],4,FALSE), "N/A")</f>
        <v>N/A</v>
      </c>
      <c r="G25" s="612" t="str">
        <f>IF(ISNUMBER(VLOOKUP(B25,Server_Configs[],6,FALSE)), VLOOKUP(B25,Server_Configs[],6,FALSE), "N/A")</f>
        <v>N/A</v>
      </c>
      <c r="H25" s="612" t="str">
        <f>IF(ISNUMBER(VLOOKUP(B25,Server_Configs[],8,FALSE)), VLOOKUP(B25,Server_Configs[],8,FALSE), "N/A")</f>
        <v>N/A</v>
      </c>
      <c r="I25" s="612" t="str">
        <f>IF(ISNUMBER(VLOOKUP(B25,Server_Configs[],9,FALSE)), VLOOKUP(B25,Server_Configs[],9,FALSE), "N/A")</f>
        <v>N/A</v>
      </c>
      <c r="J25" s="614" t="str">
        <f>IF(ISNUMBER(VLOOKUP(B25,Server_Configs[],10,FALSE)), VLOOKUP(B25,Server_Configs[],10,FALSE), "N/A")</f>
        <v>N/A</v>
      </c>
      <c r="K25" s="131"/>
      <c r="L25" s="630"/>
      <c r="M25" s="633"/>
      <c r="O25" s="668"/>
      <c r="P25" s="611">
        <f>Old_Layout[[#This Row],[Proc / Chassis]]</f>
        <v>0</v>
      </c>
      <c r="Q25" s="612" t="str">
        <f>IF(ISNUMBER(VLOOKUP(P25,Server_Configs[],3,FALSE)), VLOOKUP(P25,Server_Configs[],3,FALSE), "N/A")</f>
        <v>N/A</v>
      </c>
      <c r="R25" s="613" t="str">
        <f>IF(ISNUMBER(Q25), VLOOKUP(P25,Server_Configs[],2,FALSE), "N/A")</f>
        <v>N/A</v>
      </c>
      <c r="S25" s="612" t="str">
        <f>IF(ISNUMBER('Rack Layout'!$Q25),'Rack Layout'!$R25*208/1000,"N/A")</f>
        <v>N/A</v>
      </c>
      <c r="T25" s="612" t="str">
        <f>IF(ISNUMBER(S25), VLOOKUP(P25,Server_Configs[],4,FALSE), "N/A")</f>
        <v>N/A</v>
      </c>
      <c r="U25" s="612" t="str">
        <f>IF(ISNUMBER(VLOOKUP(P25,Server_Configs[],6,FALSE)), VLOOKUP(P25,Server_Configs[],6,FALSE), "N/A")</f>
        <v>N/A</v>
      </c>
      <c r="V25" s="612" t="str">
        <f>IF(ISNUMBER(VLOOKUP(P25,Server_Configs[],8,FALSE)), VLOOKUP(P25,Server_Configs[],8,FALSE), "N/A")</f>
        <v>N/A</v>
      </c>
      <c r="W25" s="612" t="str">
        <f>IF(ISNUMBER(VLOOKUP(P25,Server_Configs[],9,FALSE)), VLOOKUP(P25,Server_Configs[],9,FALSE), "N/A")</f>
        <v>N/A</v>
      </c>
      <c r="X25" s="614" t="str">
        <f>IF(ISNUMBER(VLOOKUP(P25,Server_Configs[],10,FALSE)), VLOOKUP(P25,Server_Configs[],10,FALSE), "N/A")</f>
        <v>N/A</v>
      </c>
      <c r="Z25" s="630"/>
      <c r="AA25" s="633"/>
      <c r="AC25" s="802" t="s">
        <v>211</v>
      </c>
      <c r="AD25" s="803"/>
      <c r="AE25" s="802">
        <f>SUM('Rack Layout'!$G$3:$G$47)</f>
        <v>0</v>
      </c>
      <c r="AF25" s="803"/>
      <c r="AM25" s="237" t="b">
        <f>AND('Rack Layout'!$J25=1,'Rack Layout'!$F25=2)</f>
        <v>0</v>
      </c>
      <c r="AN25" s="237" t="b">
        <f>AND(New_Layout[[#This Row],[Units]]=1,New_Layout[[#This Row],[PSUs]]=2)</f>
        <v>0</v>
      </c>
    </row>
    <row r="26" spans="1:40" ht="15" customHeight="1" x14ac:dyDescent="0.3">
      <c r="A26" s="618">
        <v>24</v>
      </c>
      <c r="B26" s="5"/>
      <c r="C26" s="615" t="str">
        <f>IF(ISNUMBER(VLOOKUP(B26,Server_Configs[],3,FALSE)), VLOOKUP(B26,Server_Configs[],3,FALSE), "N/A")</f>
        <v>N/A</v>
      </c>
      <c r="D26" s="616" t="str">
        <f>IF(ISNUMBER(C26), VLOOKUP(B26,Server_Configs[],2,FALSE), "N/A")</f>
        <v>N/A</v>
      </c>
      <c r="E26" s="615" t="str">
        <f>IF(ISNUMBER('Rack Layout'!$C26),'Rack Layout'!$D26*208/1000,"N/A")</f>
        <v>N/A</v>
      </c>
      <c r="F26" s="615" t="str">
        <f>IF(ISNUMBER(E26), VLOOKUP(B26,Server_Configs[],4,FALSE), "N/A")</f>
        <v>N/A</v>
      </c>
      <c r="G26" s="615" t="str">
        <f>IF(ISNUMBER(VLOOKUP(B26,Server_Configs[],6,FALSE)), VLOOKUP(B26,Server_Configs[],6,FALSE), "N/A")</f>
        <v>N/A</v>
      </c>
      <c r="H26" s="615" t="str">
        <f>IF(ISNUMBER(VLOOKUP(B26,Server_Configs[],8,FALSE)), VLOOKUP(B26,Server_Configs[],8,FALSE), "N/A")</f>
        <v>N/A</v>
      </c>
      <c r="I26" s="615" t="str">
        <f>IF(ISNUMBER(VLOOKUP(B26,Server_Configs[],9,FALSE)), VLOOKUP(B26,Server_Configs[],9,FALSE), "N/A")</f>
        <v>N/A</v>
      </c>
      <c r="J26" s="617" t="str">
        <f>IF(ISNUMBER(VLOOKUP(B26,Server_Configs[],10,FALSE)), VLOOKUP(B26,Server_Configs[],10,FALSE), "N/A")</f>
        <v>N/A</v>
      </c>
      <c r="K26" s="131"/>
      <c r="L26" s="630"/>
      <c r="M26" s="633"/>
      <c r="O26" s="669"/>
      <c r="P26" s="5">
        <f>Old_Layout[[#This Row],[Proc / Chassis]]</f>
        <v>0</v>
      </c>
      <c r="Q26" s="615" t="str">
        <f>IF(ISNUMBER(VLOOKUP(P26,Server_Configs[],3,FALSE)), VLOOKUP(P26,Server_Configs[],3,FALSE), "N/A")</f>
        <v>N/A</v>
      </c>
      <c r="R26" s="616" t="str">
        <f>IF(ISNUMBER(Q26), VLOOKUP(P26,Server_Configs[],2,FALSE), "N/A")</f>
        <v>N/A</v>
      </c>
      <c r="S26" s="615" t="str">
        <f>IF(ISNUMBER('Rack Layout'!$Q26),'Rack Layout'!$R26*208/1000,"N/A")</f>
        <v>N/A</v>
      </c>
      <c r="T26" s="615" t="str">
        <f>IF(ISNUMBER(S26), VLOOKUP(P26,Server_Configs[],4,FALSE), "N/A")</f>
        <v>N/A</v>
      </c>
      <c r="U26" s="615" t="str">
        <f>IF(ISNUMBER(VLOOKUP(P26,Server_Configs[],6,FALSE)), VLOOKUP(P26,Server_Configs[],6,FALSE), "N/A")</f>
        <v>N/A</v>
      </c>
      <c r="V26" s="615" t="str">
        <f>IF(ISNUMBER(VLOOKUP(P26,Server_Configs[],8,FALSE)), VLOOKUP(P26,Server_Configs[],8,FALSE), "N/A")</f>
        <v>N/A</v>
      </c>
      <c r="W26" s="615" t="str">
        <f>IF(ISNUMBER(VLOOKUP(P26,Server_Configs[],9,FALSE)), VLOOKUP(P26,Server_Configs[],9,FALSE), "N/A")</f>
        <v>N/A</v>
      </c>
      <c r="X26" s="617" t="str">
        <f>IF(ISNUMBER(VLOOKUP(P26,Server_Configs[],10,FALSE)), VLOOKUP(P26,Server_Configs[],10,FALSE), "N/A")</f>
        <v>N/A</v>
      </c>
      <c r="Z26" s="630"/>
      <c r="AA26" s="633"/>
      <c r="AC26" s="787" t="s">
        <v>5</v>
      </c>
      <c r="AD26" s="788"/>
      <c r="AE26" s="807">
        <f>SUM('Rack Layout'!$H$3:$H$47)</f>
        <v>0</v>
      </c>
      <c r="AF26" s="808"/>
      <c r="AM26" s="237" t="b">
        <f>AND('Rack Layout'!$J26=1,'Rack Layout'!$F26=2)</f>
        <v>0</v>
      </c>
      <c r="AN26" s="237" t="b">
        <f>AND(New_Layout[[#This Row],[Units]]=1,New_Layout[[#This Row],[PSUs]]=2)</f>
        <v>0</v>
      </c>
    </row>
    <row r="27" spans="1:40" ht="15" customHeight="1" x14ac:dyDescent="0.3">
      <c r="A27" s="618">
        <v>25</v>
      </c>
      <c r="B27" s="611"/>
      <c r="C27" s="612" t="str">
        <f>IF(ISNUMBER(VLOOKUP(B27,Server_Configs[],3,FALSE)), VLOOKUP(B27,Server_Configs[],3,FALSE), "N/A")</f>
        <v>N/A</v>
      </c>
      <c r="D27" s="613" t="str">
        <f>IF(ISNUMBER(C27), VLOOKUP(B27,Server_Configs[],2,FALSE), "N/A")</f>
        <v>N/A</v>
      </c>
      <c r="E27" s="612" t="str">
        <f>IF(ISNUMBER('Rack Layout'!$C27),'Rack Layout'!$D27*208/1000,"N/A")</f>
        <v>N/A</v>
      </c>
      <c r="F27" s="612" t="str">
        <f>IF(ISNUMBER(E27), VLOOKUP(B27,Server_Configs[],4,FALSE), "N/A")</f>
        <v>N/A</v>
      </c>
      <c r="G27" s="612" t="str">
        <f>IF(ISNUMBER(VLOOKUP(B27,Server_Configs[],6,FALSE)), VLOOKUP(B27,Server_Configs[],6,FALSE), "N/A")</f>
        <v>N/A</v>
      </c>
      <c r="H27" s="612" t="str">
        <f>IF(ISNUMBER(VLOOKUP(B27,Server_Configs[],8,FALSE)), VLOOKUP(B27,Server_Configs[],8,FALSE), "N/A")</f>
        <v>N/A</v>
      </c>
      <c r="I27" s="612" t="str">
        <f>IF(ISNUMBER(VLOOKUP(B27,Server_Configs[],9,FALSE)), VLOOKUP(B27,Server_Configs[],9,FALSE), "N/A")</f>
        <v>N/A</v>
      </c>
      <c r="J27" s="614" t="str">
        <f>IF(ISNUMBER(VLOOKUP(B27,Server_Configs[],10,FALSE)), VLOOKUP(B27,Server_Configs[],10,FALSE), "N/A")</f>
        <v>N/A</v>
      </c>
      <c r="K27" s="131"/>
      <c r="L27" s="630"/>
      <c r="M27" s="633"/>
      <c r="O27" s="669"/>
      <c r="P27" s="611">
        <f>Old_Layout[[#This Row],[Proc / Chassis]]</f>
        <v>0</v>
      </c>
      <c r="Q27" s="612" t="str">
        <f>IF(ISNUMBER(VLOOKUP(P27,Server_Configs[],3,FALSE)), VLOOKUP(P27,Server_Configs[],3,FALSE), "N/A")</f>
        <v>N/A</v>
      </c>
      <c r="R27" s="613" t="str">
        <f>IF(ISNUMBER(Q27), VLOOKUP(P27,Server_Configs[],2,FALSE), "N/A")</f>
        <v>N/A</v>
      </c>
      <c r="S27" s="612" t="str">
        <f>IF(ISNUMBER('Rack Layout'!$Q27),'Rack Layout'!$R27*208/1000,"N/A")</f>
        <v>N/A</v>
      </c>
      <c r="T27" s="612" t="str">
        <f>IF(ISNUMBER(S27), VLOOKUP(P27,Server_Configs[],4,FALSE), "N/A")</f>
        <v>N/A</v>
      </c>
      <c r="U27" s="612" t="str">
        <f>IF(ISNUMBER(VLOOKUP(P27,Server_Configs[],6,FALSE)), VLOOKUP(P27,Server_Configs[],6,FALSE), "N/A")</f>
        <v>N/A</v>
      </c>
      <c r="V27" s="612" t="str">
        <f>IF(ISNUMBER(VLOOKUP(P27,Server_Configs[],8,FALSE)), VLOOKUP(P27,Server_Configs[],8,FALSE), "N/A")</f>
        <v>N/A</v>
      </c>
      <c r="W27" s="612" t="str">
        <f>IF(ISNUMBER(VLOOKUP(P27,Server_Configs[],9,FALSE)), VLOOKUP(P27,Server_Configs[],9,FALSE), "N/A")</f>
        <v>N/A</v>
      </c>
      <c r="X27" s="614" t="str">
        <f>IF(ISNUMBER(VLOOKUP(P27,Server_Configs[],10,FALSE)), VLOOKUP(P27,Server_Configs[],10,FALSE), "N/A")</f>
        <v>N/A</v>
      </c>
      <c r="Z27" s="630"/>
      <c r="AA27" s="633"/>
      <c r="AC27" s="802" t="s">
        <v>123</v>
      </c>
      <c r="AD27" s="803"/>
      <c r="AE27" s="802">
        <f>SUM('Rack Layout'!$I$3:$I$47)</f>
        <v>0</v>
      </c>
      <c r="AF27" s="803"/>
      <c r="AM27" s="237" t="b">
        <f>AND('Rack Layout'!$J27=1,'Rack Layout'!$F27=2)</f>
        <v>0</v>
      </c>
      <c r="AN27" s="237" t="b">
        <f>AND(New_Layout[[#This Row],[Units]]=1,New_Layout[[#This Row],[PSUs]]=2)</f>
        <v>0</v>
      </c>
    </row>
    <row r="28" spans="1:40" ht="15" customHeight="1" x14ac:dyDescent="0.3">
      <c r="A28" s="618">
        <v>26</v>
      </c>
      <c r="B28" s="5"/>
      <c r="C28" s="615" t="str">
        <f>IF(ISNUMBER(VLOOKUP(B28,Server_Configs[],3,FALSE)), VLOOKUP(B28,Server_Configs[],3,FALSE), "N/A")</f>
        <v>N/A</v>
      </c>
      <c r="D28" s="616" t="str">
        <f>IF(ISNUMBER(C28), VLOOKUP(B28,Server_Configs[],2,FALSE), "N/A")</f>
        <v>N/A</v>
      </c>
      <c r="E28" s="615" t="str">
        <f>IF(ISNUMBER('Rack Layout'!$C28),'Rack Layout'!$D28*208/1000,"N/A")</f>
        <v>N/A</v>
      </c>
      <c r="F28" s="615" t="str">
        <f>IF(ISNUMBER(E28), VLOOKUP(B28,Server_Configs[],4,FALSE), "N/A")</f>
        <v>N/A</v>
      </c>
      <c r="G28" s="615" t="str">
        <f>IF(ISNUMBER(VLOOKUP(B28,Server_Configs[],6,FALSE)), VLOOKUP(B28,Server_Configs[],6,FALSE), "N/A")</f>
        <v>N/A</v>
      </c>
      <c r="H28" s="615" t="str">
        <f>IF(ISNUMBER(VLOOKUP(B28,Server_Configs[],8,FALSE)), VLOOKUP(B28,Server_Configs[],8,FALSE), "N/A")</f>
        <v>N/A</v>
      </c>
      <c r="I28" s="615" t="str">
        <f>IF(ISNUMBER(VLOOKUP(B28,Server_Configs[],9,FALSE)), VLOOKUP(B28,Server_Configs[],9,FALSE), "N/A")</f>
        <v>N/A</v>
      </c>
      <c r="J28" s="617" t="str">
        <f>IF(ISNUMBER(VLOOKUP(B28,Server_Configs[],10,FALSE)), VLOOKUP(B28,Server_Configs[],10,FALSE), "N/A")</f>
        <v>N/A</v>
      </c>
      <c r="K28" s="131"/>
      <c r="L28" s="630"/>
      <c r="M28" s="633"/>
      <c r="O28" s="669"/>
      <c r="P28" s="5">
        <f>Old_Layout[[#This Row],[Proc / Chassis]]</f>
        <v>0</v>
      </c>
      <c r="Q28" s="615" t="str">
        <f>IF(ISNUMBER(VLOOKUP(P28,Server_Configs[],3,FALSE)), VLOOKUP(P28,Server_Configs[],3,FALSE), "N/A")</f>
        <v>N/A</v>
      </c>
      <c r="R28" s="616" t="str">
        <f>IF(ISNUMBER(Q28), VLOOKUP(P28,Server_Configs[],2,FALSE), "N/A")</f>
        <v>N/A</v>
      </c>
      <c r="S28" s="615" t="str">
        <f>IF(ISNUMBER('Rack Layout'!$Q28),'Rack Layout'!$R28*208/1000,"N/A")</f>
        <v>N/A</v>
      </c>
      <c r="T28" s="615" t="str">
        <f>IF(ISNUMBER(S28), VLOOKUP(P28,Server_Configs[],4,FALSE), "N/A")</f>
        <v>N/A</v>
      </c>
      <c r="U28" s="615" t="str">
        <f>IF(ISNUMBER(VLOOKUP(P28,Server_Configs[],6,FALSE)), VLOOKUP(P28,Server_Configs[],6,FALSE), "N/A")</f>
        <v>N/A</v>
      </c>
      <c r="V28" s="615" t="str">
        <f>IF(ISNUMBER(VLOOKUP(P28,Server_Configs[],8,FALSE)), VLOOKUP(P28,Server_Configs[],8,FALSE), "N/A")</f>
        <v>N/A</v>
      </c>
      <c r="W28" s="615" t="str">
        <f>IF(ISNUMBER(VLOOKUP(P28,Server_Configs[],9,FALSE)), VLOOKUP(P28,Server_Configs[],9,FALSE), "N/A")</f>
        <v>N/A</v>
      </c>
      <c r="X28" s="617" t="str">
        <f>IF(ISNUMBER(VLOOKUP(P28,Server_Configs[],10,FALSE)), VLOOKUP(P28,Server_Configs[],10,FALSE), "N/A")</f>
        <v>N/A</v>
      </c>
      <c r="Z28" s="630"/>
      <c r="AA28" s="633"/>
      <c r="AC28" s="805" t="s">
        <v>547</v>
      </c>
      <c r="AD28" s="806"/>
      <c r="AE28" s="806"/>
      <c r="AF28" s="806"/>
      <c r="AM28" s="237" t="b">
        <f>AND('Rack Layout'!$J28=1,'Rack Layout'!$F28=2)</f>
        <v>0</v>
      </c>
      <c r="AN28" s="237" t="b">
        <f>AND(New_Layout[[#This Row],[Units]]=1,New_Layout[[#This Row],[PSUs]]=2)</f>
        <v>0</v>
      </c>
    </row>
    <row r="29" spans="1:40" ht="15" customHeight="1" x14ac:dyDescent="0.3">
      <c r="A29" s="618">
        <v>27</v>
      </c>
      <c r="B29" s="611"/>
      <c r="C29" s="612" t="str">
        <f>IF(ISNUMBER(VLOOKUP(B29,Server_Configs[],3,FALSE)), VLOOKUP(B29,Server_Configs[],3,FALSE), "N/A")</f>
        <v>N/A</v>
      </c>
      <c r="D29" s="613" t="str">
        <f>IF(ISNUMBER(C29), VLOOKUP(B29,Server_Configs[],2,FALSE), "N/A")</f>
        <v>N/A</v>
      </c>
      <c r="E29" s="612" t="str">
        <f>IF(ISNUMBER('Rack Layout'!$C29),'Rack Layout'!$D29*208/1000,"N/A")</f>
        <v>N/A</v>
      </c>
      <c r="F29" s="612" t="str">
        <f>IF(ISNUMBER(E29), VLOOKUP(B29,Server_Configs[],4,FALSE), "N/A")</f>
        <v>N/A</v>
      </c>
      <c r="G29" s="612" t="str">
        <f>IF(ISNUMBER(VLOOKUP(B29,Server_Configs[],6,FALSE)), VLOOKUP(B29,Server_Configs[],6,FALSE), "N/A")</f>
        <v>N/A</v>
      </c>
      <c r="H29" s="612" t="str">
        <f>IF(ISNUMBER(VLOOKUP(B29,Server_Configs[],8,FALSE)), VLOOKUP(B29,Server_Configs[],8,FALSE), "N/A")</f>
        <v>N/A</v>
      </c>
      <c r="I29" s="612" t="str">
        <f>IF(ISNUMBER(VLOOKUP(B29,Server_Configs[],9,FALSE)), VLOOKUP(B29,Server_Configs[],9,FALSE), "N/A")</f>
        <v>N/A</v>
      </c>
      <c r="J29" s="614" t="str">
        <f>IF(ISNUMBER(VLOOKUP(B29,Server_Configs[],10,FALSE)), VLOOKUP(B29,Server_Configs[],10,FALSE), "N/A")</f>
        <v>N/A</v>
      </c>
      <c r="K29" s="131"/>
      <c r="L29" s="630"/>
      <c r="M29" s="633"/>
      <c r="O29" s="669"/>
      <c r="P29" s="611">
        <f>Old_Layout[[#This Row],[Proc / Chassis]]</f>
        <v>0</v>
      </c>
      <c r="Q29" s="612" t="str">
        <f>IF(ISNUMBER(VLOOKUP(P29,Server_Configs[],3,FALSE)), VLOOKUP(P29,Server_Configs[],3,FALSE), "N/A")</f>
        <v>N/A</v>
      </c>
      <c r="R29" s="613" t="str">
        <f>IF(ISNUMBER(Q29), VLOOKUP(P29,Server_Configs[],2,FALSE), "N/A")</f>
        <v>N/A</v>
      </c>
      <c r="S29" s="612" t="str">
        <f>IF(ISNUMBER('Rack Layout'!$Q29),'Rack Layout'!$R29*208/1000,"N/A")</f>
        <v>N/A</v>
      </c>
      <c r="T29" s="612" t="str">
        <f>IF(ISNUMBER(S29), VLOOKUP(P29,Server_Configs[],4,FALSE), "N/A")</f>
        <v>N/A</v>
      </c>
      <c r="U29" s="612" t="str">
        <f>IF(ISNUMBER(VLOOKUP(P29,Server_Configs[],6,FALSE)), VLOOKUP(P29,Server_Configs[],6,FALSE), "N/A")</f>
        <v>N/A</v>
      </c>
      <c r="V29" s="612" t="str">
        <f>IF(ISNUMBER(VLOOKUP(P29,Server_Configs[],8,FALSE)), VLOOKUP(P29,Server_Configs[],8,FALSE), "N/A")</f>
        <v>N/A</v>
      </c>
      <c r="W29" s="612" t="str">
        <f>IF(ISNUMBER(VLOOKUP(P29,Server_Configs[],9,FALSE)), VLOOKUP(P29,Server_Configs[],9,FALSE), "N/A")</f>
        <v>N/A</v>
      </c>
      <c r="X29" s="614" t="str">
        <f>IF(ISNUMBER(VLOOKUP(P29,Server_Configs[],10,FALSE)), VLOOKUP(P29,Server_Configs[],10,FALSE), "N/A")</f>
        <v>N/A</v>
      </c>
      <c r="Z29" s="630"/>
      <c r="AA29" s="633"/>
      <c r="AC29" s="801" t="s">
        <v>210</v>
      </c>
      <c r="AD29" s="801"/>
      <c r="AE29" s="804">
        <f>COUNTA(New_Layout[Proc / Chassis])-COUNTIF(New_Layout[Proc / Chassis],0)</f>
        <v>0</v>
      </c>
      <c r="AF29" s="804"/>
      <c r="AM29" s="237" t="b">
        <f>AND('Rack Layout'!$J29=1,'Rack Layout'!$F29=2)</f>
        <v>0</v>
      </c>
      <c r="AN29" s="237" t="b">
        <f>AND(New_Layout[[#This Row],[Units]]=1,New_Layout[[#This Row],[PSUs]]=2)</f>
        <v>0</v>
      </c>
    </row>
    <row r="30" spans="1:40" ht="15" customHeight="1" x14ac:dyDescent="0.3">
      <c r="A30" s="618">
        <v>28</v>
      </c>
      <c r="B30" s="5"/>
      <c r="C30" s="615" t="str">
        <f>IF(ISNUMBER(VLOOKUP(B30,Server_Configs[],3,FALSE)), VLOOKUP(B30,Server_Configs[],3,FALSE), "N/A")</f>
        <v>N/A</v>
      </c>
      <c r="D30" s="616" t="str">
        <f>IF(ISNUMBER(C30), VLOOKUP(B30,Server_Configs[],2,FALSE), "N/A")</f>
        <v>N/A</v>
      </c>
      <c r="E30" s="615" t="str">
        <f>IF(ISNUMBER('Rack Layout'!$C30),'Rack Layout'!$D30*208/1000,"N/A")</f>
        <v>N/A</v>
      </c>
      <c r="F30" s="615" t="str">
        <f>IF(ISNUMBER(E30), VLOOKUP(B30,Server_Configs[],4,FALSE), "N/A")</f>
        <v>N/A</v>
      </c>
      <c r="G30" s="615" t="str">
        <f>IF(ISNUMBER(VLOOKUP(B30,Server_Configs[],6,FALSE)), VLOOKUP(B30,Server_Configs[],6,FALSE), "N/A")</f>
        <v>N/A</v>
      </c>
      <c r="H30" s="615" t="str">
        <f>IF(ISNUMBER(VLOOKUP(B30,Server_Configs[],8,FALSE)), VLOOKUP(B30,Server_Configs[],8,FALSE), "N/A")</f>
        <v>N/A</v>
      </c>
      <c r="I30" s="615" t="str">
        <f>IF(ISNUMBER(VLOOKUP(B30,Server_Configs[],9,FALSE)), VLOOKUP(B30,Server_Configs[],9,FALSE), "N/A")</f>
        <v>N/A</v>
      </c>
      <c r="J30" s="617" t="str">
        <f>IF(ISNUMBER(VLOOKUP(B30,Server_Configs[],10,FALSE)), VLOOKUP(B30,Server_Configs[],10,FALSE), "N/A")</f>
        <v>N/A</v>
      </c>
      <c r="K30" s="131"/>
      <c r="L30" s="630"/>
      <c r="M30" s="633"/>
      <c r="O30" s="669"/>
      <c r="P30" s="5">
        <f>Old_Layout[[#This Row],[Proc / Chassis]]</f>
        <v>0</v>
      </c>
      <c r="Q30" s="615" t="str">
        <f>IF(ISNUMBER(VLOOKUP(P30,Server_Configs[],3,FALSE)), VLOOKUP(P30,Server_Configs[],3,FALSE), "N/A")</f>
        <v>N/A</v>
      </c>
      <c r="R30" s="616" t="str">
        <f>IF(ISNUMBER(Q30), VLOOKUP(P30,Server_Configs[],2,FALSE), "N/A")</f>
        <v>N/A</v>
      </c>
      <c r="S30" s="615" t="str">
        <f>IF(ISNUMBER('Rack Layout'!$Q30),'Rack Layout'!$R30*208/1000,"N/A")</f>
        <v>N/A</v>
      </c>
      <c r="T30" s="615" t="str">
        <f>IF(ISNUMBER(S30), VLOOKUP(P30,Server_Configs[],4,FALSE), "N/A")</f>
        <v>N/A</v>
      </c>
      <c r="U30" s="615" t="str">
        <f>IF(ISNUMBER(VLOOKUP(P30,Server_Configs[],6,FALSE)), VLOOKUP(P30,Server_Configs[],6,FALSE), "N/A")</f>
        <v>N/A</v>
      </c>
      <c r="V30" s="615" t="str">
        <f>IF(ISNUMBER(VLOOKUP(P30,Server_Configs[],8,FALSE)), VLOOKUP(P30,Server_Configs[],8,FALSE), "N/A")</f>
        <v>N/A</v>
      </c>
      <c r="W30" s="615" t="str">
        <f>IF(ISNUMBER(VLOOKUP(P30,Server_Configs[],9,FALSE)), VLOOKUP(P30,Server_Configs[],9,FALSE), "N/A")</f>
        <v>N/A</v>
      </c>
      <c r="X30" s="617" t="str">
        <f>IF(ISNUMBER(VLOOKUP(P30,Server_Configs[],10,FALSE)), VLOOKUP(P30,Server_Configs[],10,FALSE), "N/A")</f>
        <v>N/A</v>
      </c>
      <c r="Z30" s="630"/>
      <c r="AA30" s="633"/>
      <c r="AC30" s="800" t="s">
        <v>211</v>
      </c>
      <c r="AD30" s="800"/>
      <c r="AE30" s="800">
        <f>SUM(New_Layout[Cores])</f>
        <v>0</v>
      </c>
      <c r="AF30" s="800"/>
      <c r="AM30" s="237" t="b">
        <f>AND('Rack Layout'!$J30=1,'Rack Layout'!$F30=2)</f>
        <v>0</v>
      </c>
      <c r="AN30" s="237" t="b">
        <f>AND(New_Layout[[#This Row],[Units]]=1,New_Layout[[#This Row],[PSUs]]=2)</f>
        <v>0</v>
      </c>
    </row>
    <row r="31" spans="1:40" ht="15" customHeight="1" x14ac:dyDescent="0.3">
      <c r="A31" s="618">
        <v>29</v>
      </c>
      <c r="B31" s="611"/>
      <c r="C31" s="612" t="str">
        <f>IF(ISNUMBER(VLOOKUP(B31,Server_Configs[],3,FALSE)), VLOOKUP(B31,Server_Configs[],3,FALSE), "N/A")</f>
        <v>N/A</v>
      </c>
      <c r="D31" s="613" t="str">
        <f>IF(ISNUMBER(C31), VLOOKUP(B31,Server_Configs[],2,FALSE), "N/A")</f>
        <v>N/A</v>
      </c>
      <c r="E31" s="612" t="str">
        <f>IF(ISNUMBER('Rack Layout'!$C31),'Rack Layout'!$D31*208/1000,"N/A")</f>
        <v>N/A</v>
      </c>
      <c r="F31" s="612" t="str">
        <f>IF(ISNUMBER(E31), VLOOKUP(B31,Server_Configs[],4,FALSE), "N/A")</f>
        <v>N/A</v>
      </c>
      <c r="G31" s="612" t="str">
        <f>IF(ISNUMBER(VLOOKUP(B31,Server_Configs[],6,FALSE)), VLOOKUP(B31,Server_Configs[],6,FALSE), "N/A")</f>
        <v>N/A</v>
      </c>
      <c r="H31" s="612" t="str">
        <f>IF(ISNUMBER(VLOOKUP(B31,Server_Configs[],8,FALSE)), VLOOKUP(B31,Server_Configs[],8,FALSE), "N/A")</f>
        <v>N/A</v>
      </c>
      <c r="I31" s="612" t="str">
        <f>IF(ISNUMBER(VLOOKUP(B31,Server_Configs[],9,FALSE)), VLOOKUP(B31,Server_Configs[],9,FALSE), "N/A")</f>
        <v>N/A</v>
      </c>
      <c r="J31" s="614" t="str">
        <f>IF(ISNUMBER(VLOOKUP(B31,Server_Configs[],10,FALSE)), VLOOKUP(B31,Server_Configs[],10,FALSE), "N/A")</f>
        <v>N/A</v>
      </c>
      <c r="K31" s="131"/>
      <c r="L31" s="630"/>
      <c r="M31" s="633"/>
      <c r="O31" s="669"/>
      <c r="P31" s="611">
        <f>Old_Layout[[#This Row],[Proc / Chassis]]</f>
        <v>0</v>
      </c>
      <c r="Q31" s="612" t="str">
        <f>IF(ISNUMBER(VLOOKUP(P31,Server_Configs[],3,FALSE)), VLOOKUP(P31,Server_Configs[],3,FALSE), "N/A")</f>
        <v>N/A</v>
      </c>
      <c r="R31" s="613" t="str">
        <f>IF(ISNUMBER(Q31), VLOOKUP(P31,Server_Configs[],2,FALSE), "N/A")</f>
        <v>N/A</v>
      </c>
      <c r="S31" s="612" t="str">
        <f>IF(ISNUMBER('Rack Layout'!$Q31),'Rack Layout'!$R31*208/1000,"N/A")</f>
        <v>N/A</v>
      </c>
      <c r="T31" s="612" t="str">
        <f>IF(ISNUMBER(S31), VLOOKUP(P31,Server_Configs[],4,FALSE), "N/A")</f>
        <v>N/A</v>
      </c>
      <c r="U31" s="612" t="str">
        <f>IF(ISNUMBER(VLOOKUP(P31,Server_Configs[],6,FALSE)), VLOOKUP(P31,Server_Configs[],6,FALSE), "N/A")</f>
        <v>N/A</v>
      </c>
      <c r="V31" s="612" t="str">
        <f>IF(ISNUMBER(VLOOKUP(P31,Server_Configs[],8,FALSE)), VLOOKUP(P31,Server_Configs[],8,FALSE), "N/A")</f>
        <v>N/A</v>
      </c>
      <c r="W31" s="612" t="str">
        <f>IF(ISNUMBER(VLOOKUP(P31,Server_Configs[],9,FALSE)), VLOOKUP(P31,Server_Configs[],9,FALSE), "N/A")</f>
        <v>N/A</v>
      </c>
      <c r="X31" s="614" t="str">
        <f>IF(ISNUMBER(VLOOKUP(P31,Server_Configs[],10,FALSE)), VLOOKUP(P31,Server_Configs[],10,FALSE), "N/A")</f>
        <v>N/A</v>
      </c>
      <c r="Z31" s="630"/>
      <c r="AA31" s="633"/>
      <c r="AC31" s="801" t="s">
        <v>5</v>
      </c>
      <c r="AD31" s="801"/>
      <c r="AE31" s="804">
        <f>SUM(New_Layout[RAM])</f>
        <v>0</v>
      </c>
      <c r="AF31" s="804"/>
      <c r="AM31" s="237" t="b">
        <f>AND('Rack Layout'!$J31=1,'Rack Layout'!$F31=2)</f>
        <v>0</v>
      </c>
      <c r="AN31" s="237" t="b">
        <f>AND(New_Layout[[#This Row],[Units]]=1,New_Layout[[#This Row],[PSUs]]=2)</f>
        <v>0</v>
      </c>
    </row>
    <row r="32" spans="1:40" ht="15" customHeight="1" x14ac:dyDescent="0.3">
      <c r="A32" s="610">
        <v>30</v>
      </c>
      <c r="B32" s="5"/>
      <c r="C32" s="615" t="str">
        <f>IF(ISNUMBER(VLOOKUP(B32,Server_Configs[],3,FALSE)), VLOOKUP(B32,Server_Configs[],3,FALSE), "N/A")</f>
        <v>N/A</v>
      </c>
      <c r="D32" s="616" t="str">
        <f>IF(ISNUMBER(C32), VLOOKUP(B32,Server_Configs[],2,FALSE), "N/A")</f>
        <v>N/A</v>
      </c>
      <c r="E32" s="615" t="str">
        <f>IF(ISNUMBER('Rack Layout'!$C32),'Rack Layout'!$D32*208/1000,"N/A")</f>
        <v>N/A</v>
      </c>
      <c r="F32" s="615" t="str">
        <f>IF(ISNUMBER(E32), VLOOKUP(B32,Server_Configs[],4,FALSE), "N/A")</f>
        <v>N/A</v>
      </c>
      <c r="G32" s="615" t="str">
        <f>IF(ISNUMBER(VLOOKUP(B32,Server_Configs[],6,FALSE)), VLOOKUP(B32,Server_Configs[],6,FALSE), "N/A")</f>
        <v>N/A</v>
      </c>
      <c r="H32" s="615" t="str">
        <f>IF(ISNUMBER(VLOOKUP(B32,Server_Configs[],8,FALSE)), VLOOKUP(B32,Server_Configs[],8,FALSE), "N/A")</f>
        <v>N/A</v>
      </c>
      <c r="I32" s="615" t="str">
        <f>IF(ISNUMBER(VLOOKUP(B32,Server_Configs[],9,FALSE)), VLOOKUP(B32,Server_Configs[],9,FALSE), "N/A")</f>
        <v>N/A</v>
      </c>
      <c r="J32" s="617" t="str">
        <f>IF(ISNUMBER(VLOOKUP(B32,Server_Configs[],10,FALSE)), VLOOKUP(B32,Server_Configs[],10,FALSE), "N/A")</f>
        <v>N/A</v>
      </c>
      <c r="K32" s="131"/>
      <c r="L32" s="630"/>
      <c r="M32" s="633"/>
      <c r="O32" s="668"/>
      <c r="P32" s="5">
        <f>Old_Layout[[#This Row],[Proc / Chassis]]</f>
        <v>0</v>
      </c>
      <c r="Q32" s="615" t="str">
        <f>IF(ISNUMBER(VLOOKUP(P32,Server_Configs[],3,FALSE)), VLOOKUP(P32,Server_Configs[],3,FALSE), "N/A")</f>
        <v>N/A</v>
      </c>
      <c r="R32" s="616" t="str">
        <f>IF(ISNUMBER(Q32), VLOOKUP(P32,Server_Configs[],2,FALSE), "N/A")</f>
        <v>N/A</v>
      </c>
      <c r="S32" s="615" t="str">
        <f>IF(ISNUMBER('Rack Layout'!$Q32),'Rack Layout'!$R32*208/1000,"N/A")</f>
        <v>N/A</v>
      </c>
      <c r="T32" s="615" t="str">
        <f>IF(ISNUMBER(S32), VLOOKUP(P32,Server_Configs[],4,FALSE), "N/A")</f>
        <v>N/A</v>
      </c>
      <c r="U32" s="615" t="str">
        <f>IF(ISNUMBER(VLOOKUP(P32,Server_Configs[],6,FALSE)), VLOOKUP(P32,Server_Configs[],6,FALSE), "N/A")</f>
        <v>N/A</v>
      </c>
      <c r="V32" s="615" t="str">
        <f>IF(ISNUMBER(VLOOKUP(P32,Server_Configs[],8,FALSE)), VLOOKUP(P32,Server_Configs[],8,FALSE), "N/A")</f>
        <v>N/A</v>
      </c>
      <c r="W32" s="615" t="str">
        <f>IF(ISNUMBER(VLOOKUP(P32,Server_Configs[],9,FALSE)), VLOOKUP(P32,Server_Configs[],9,FALSE), "N/A")</f>
        <v>N/A</v>
      </c>
      <c r="X32" s="617" t="str">
        <f>IF(ISNUMBER(VLOOKUP(P32,Server_Configs[],10,FALSE)), VLOOKUP(P32,Server_Configs[],10,FALSE), "N/A")</f>
        <v>N/A</v>
      </c>
      <c r="Z32" s="630"/>
      <c r="AA32" s="633"/>
      <c r="AC32" s="800" t="s">
        <v>123</v>
      </c>
      <c r="AD32" s="800"/>
      <c r="AE32" s="800">
        <f>SUM(New_Layout[GPUs])</f>
        <v>0</v>
      </c>
      <c r="AF32" s="800"/>
      <c r="AM32" s="237" t="b">
        <f>AND('Rack Layout'!$J32=1,'Rack Layout'!$F32=2)</f>
        <v>0</v>
      </c>
      <c r="AN32" s="237" t="b">
        <f>AND(New_Layout[[#This Row],[Units]]=1,New_Layout[[#This Row],[PSUs]]=2)</f>
        <v>0</v>
      </c>
    </row>
    <row r="33" spans="1:40" ht="15" customHeight="1" x14ac:dyDescent="0.3">
      <c r="A33" s="610">
        <v>31</v>
      </c>
      <c r="B33" s="611"/>
      <c r="C33" s="612" t="str">
        <f>IF(ISNUMBER(VLOOKUP(B33,Server_Configs[],3,FALSE)), VLOOKUP(B33,Server_Configs[],3,FALSE), "N/A")</f>
        <v>N/A</v>
      </c>
      <c r="D33" s="613" t="str">
        <f>IF(ISNUMBER(C33), VLOOKUP(B33,Server_Configs[],2,FALSE), "N/A")</f>
        <v>N/A</v>
      </c>
      <c r="E33" s="612" t="str">
        <f>IF(ISNUMBER('Rack Layout'!$C33),'Rack Layout'!$D33*208/1000,"N/A")</f>
        <v>N/A</v>
      </c>
      <c r="F33" s="612" t="str">
        <f>IF(ISNUMBER(E33), VLOOKUP(B33,Server_Configs[],4,FALSE), "N/A")</f>
        <v>N/A</v>
      </c>
      <c r="G33" s="612" t="str">
        <f>IF(ISNUMBER(VLOOKUP(B33,Server_Configs[],6,FALSE)), VLOOKUP(B33,Server_Configs[],6,FALSE), "N/A")</f>
        <v>N/A</v>
      </c>
      <c r="H33" s="612" t="str">
        <f>IF(ISNUMBER(VLOOKUP(B33,Server_Configs[],8,FALSE)), VLOOKUP(B33,Server_Configs[],8,FALSE), "N/A")</f>
        <v>N/A</v>
      </c>
      <c r="I33" s="612" t="str">
        <f>IF(ISNUMBER(VLOOKUP(B33,Server_Configs[],9,FALSE)), VLOOKUP(B33,Server_Configs[],9,FALSE), "N/A")</f>
        <v>N/A</v>
      </c>
      <c r="J33" s="614" t="str">
        <f>IF(ISNUMBER(VLOOKUP(B33,Server_Configs[],10,FALSE)), VLOOKUP(B33,Server_Configs[],10,FALSE), "N/A")</f>
        <v>N/A</v>
      </c>
      <c r="K33" s="131"/>
      <c r="L33" s="630"/>
      <c r="M33" s="633"/>
      <c r="O33" s="668"/>
      <c r="P33" s="611">
        <f>Old_Layout[[#This Row],[Proc / Chassis]]</f>
        <v>0</v>
      </c>
      <c r="Q33" s="612" t="str">
        <f>IF(ISNUMBER(VLOOKUP(P33,Server_Configs[],3,FALSE)), VLOOKUP(P33,Server_Configs[],3,FALSE), "N/A")</f>
        <v>N/A</v>
      </c>
      <c r="R33" s="613" t="str">
        <f>IF(ISNUMBER(Q33), VLOOKUP(P33,Server_Configs[],2,FALSE), "N/A")</f>
        <v>N/A</v>
      </c>
      <c r="S33" s="612" t="str">
        <f>IF(ISNUMBER('Rack Layout'!$Q33),'Rack Layout'!$R33*208/1000,"N/A")</f>
        <v>N/A</v>
      </c>
      <c r="T33" s="612" t="str">
        <f>IF(ISNUMBER(S33), VLOOKUP(P33,Server_Configs[],4,FALSE), "N/A")</f>
        <v>N/A</v>
      </c>
      <c r="U33" s="612" t="str">
        <f>IF(ISNUMBER(VLOOKUP(P33,Server_Configs[],6,FALSE)), VLOOKUP(P33,Server_Configs[],6,FALSE), "N/A")</f>
        <v>N/A</v>
      </c>
      <c r="V33" s="612" t="str">
        <f>IF(ISNUMBER(VLOOKUP(P33,Server_Configs[],8,FALSE)), VLOOKUP(P33,Server_Configs[],8,FALSE), "N/A")</f>
        <v>N/A</v>
      </c>
      <c r="W33" s="612" t="str">
        <f>IF(ISNUMBER(VLOOKUP(P33,Server_Configs[],9,FALSE)), VLOOKUP(P33,Server_Configs[],9,FALSE), "N/A")</f>
        <v>N/A</v>
      </c>
      <c r="X33" s="614" t="str">
        <f>IF(ISNUMBER(VLOOKUP(P33,Server_Configs[],10,FALSE)), VLOOKUP(P33,Server_Configs[],10,FALSE), "N/A")</f>
        <v>N/A</v>
      </c>
      <c r="Z33" s="630"/>
      <c r="AA33" s="633"/>
      <c r="AM33" s="237" t="b">
        <f>AND('Rack Layout'!$J33=1,'Rack Layout'!$F33=2)</f>
        <v>0</v>
      </c>
      <c r="AN33" s="237" t="b">
        <f>AND(New_Layout[[#This Row],[Units]]=1,New_Layout[[#This Row],[PSUs]]=2)</f>
        <v>0</v>
      </c>
    </row>
    <row r="34" spans="1:40" ht="15" customHeight="1" x14ac:dyDescent="0.3">
      <c r="A34" s="610">
        <v>32</v>
      </c>
      <c r="B34" s="5"/>
      <c r="C34" s="615" t="str">
        <f>IF(ISNUMBER(VLOOKUP(B34,Server_Configs[],3,FALSE)), VLOOKUP(B34,Server_Configs[],3,FALSE), "N/A")</f>
        <v>N/A</v>
      </c>
      <c r="D34" s="616" t="str">
        <f>IF(ISNUMBER(C34), VLOOKUP(B34,Server_Configs[],2,FALSE), "N/A")</f>
        <v>N/A</v>
      </c>
      <c r="E34" s="615" t="str">
        <f>IF(ISNUMBER('Rack Layout'!$C34),'Rack Layout'!$D34*208/1000,"N/A")</f>
        <v>N/A</v>
      </c>
      <c r="F34" s="615" t="str">
        <f>IF(ISNUMBER(E34), VLOOKUP(B34,Server_Configs[],4,FALSE), "N/A")</f>
        <v>N/A</v>
      </c>
      <c r="G34" s="615" t="str">
        <f>IF(ISNUMBER(VLOOKUP(B34,Server_Configs[],6,FALSE)), VLOOKUP(B34,Server_Configs[],6,FALSE), "N/A")</f>
        <v>N/A</v>
      </c>
      <c r="H34" s="615" t="str">
        <f>IF(ISNUMBER(VLOOKUP(B34,Server_Configs[],8,FALSE)), VLOOKUP(B34,Server_Configs[],8,FALSE), "N/A")</f>
        <v>N/A</v>
      </c>
      <c r="I34" s="615" t="str">
        <f>IF(ISNUMBER(VLOOKUP(B34,Server_Configs[],9,FALSE)), VLOOKUP(B34,Server_Configs[],9,FALSE), "N/A")</f>
        <v>N/A</v>
      </c>
      <c r="J34" s="617" t="str">
        <f>IF(ISNUMBER(VLOOKUP(B34,Server_Configs[],10,FALSE)), VLOOKUP(B34,Server_Configs[],10,FALSE), "N/A")</f>
        <v>N/A</v>
      </c>
      <c r="K34" s="131"/>
      <c r="L34" s="630"/>
      <c r="M34" s="633"/>
      <c r="O34" s="668"/>
      <c r="P34" s="5">
        <f>Old_Layout[[#This Row],[Proc / Chassis]]</f>
        <v>0</v>
      </c>
      <c r="Q34" s="615" t="str">
        <f>IF(ISNUMBER(VLOOKUP(P34,Server_Configs[],3,FALSE)), VLOOKUP(P34,Server_Configs[],3,FALSE), "N/A")</f>
        <v>N/A</v>
      </c>
      <c r="R34" s="616" t="str">
        <f>IF(ISNUMBER(Q34), VLOOKUP(P34,Server_Configs[],2,FALSE), "N/A")</f>
        <v>N/A</v>
      </c>
      <c r="S34" s="615" t="str">
        <f>IF(ISNUMBER('Rack Layout'!$Q34),'Rack Layout'!$R34*208/1000,"N/A")</f>
        <v>N/A</v>
      </c>
      <c r="T34" s="615" t="str">
        <f>IF(ISNUMBER(S34), VLOOKUP(P34,Server_Configs[],4,FALSE), "N/A")</f>
        <v>N/A</v>
      </c>
      <c r="U34" s="615" t="str">
        <f>IF(ISNUMBER(VLOOKUP(P34,Server_Configs[],6,FALSE)), VLOOKUP(P34,Server_Configs[],6,FALSE), "N/A")</f>
        <v>N/A</v>
      </c>
      <c r="V34" s="615" t="str">
        <f>IF(ISNUMBER(VLOOKUP(P34,Server_Configs[],8,FALSE)), VLOOKUP(P34,Server_Configs[],8,FALSE), "N/A")</f>
        <v>N/A</v>
      </c>
      <c r="W34" s="615" t="str">
        <f>IF(ISNUMBER(VLOOKUP(P34,Server_Configs[],9,FALSE)), VLOOKUP(P34,Server_Configs[],9,FALSE), "N/A")</f>
        <v>N/A</v>
      </c>
      <c r="X34" s="617" t="str">
        <f>IF(ISNUMBER(VLOOKUP(P34,Server_Configs[],10,FALSE)), VLOOKUP(P34,Server_Configs[],10,FALSE), "N/A")</f>
        <v>N/A</v>
      </c>
      <c r="Z34" s="630"/>
      <c r="AA34" s="633"/>
      <c r="AM34" s="237" t="b">
        <f>AND('Rack Layout'!$J34=1,'Rack Layout'!$F34=2)</f>
        <v>0</v>
      </c>
      <c r="AN34" s="237" t="b">
        <f>AND(New_Layout[[#This Row],[Units]]=1,New_Layout[[#This Row],[PSUs]]=2)</f>
        <v>0</v>
      </c>
    </row>
    <row r="35" spans="1:40" ht="15" customHeight="1" x14ac:dyDescent="0.3">
      <c r="A35" s="610">
        <v>33</v>
      </c>
      <c r="B35" s="611"/>
      <c r="C35" s="612" t="str">
        <f>IF(ISNUMBER(VLOOKUP(B35,Server_Configs[],3,FALSE)), VLOOKUP(B35,Server_Configs[],3,FALSE), "N/A")</f>
        <v>N/A</v>
      </c>
      <c r="D35" s="613" t="str">
        <f>IF(ISNUMBER(C35), VLOOKUP(B35,Server_Configs[],2,FALSE), "N/A")</f>
        <v>N/A</v>
      </c>
      <c r="E35" s="612" t="str">
        <f>IF(ISNUMBER('Rack Layout'!$C35),'Rack Layout'!$D35*208/1000,"N/A")</f>
        <v>N/A</v>
      </c>
      <c r="F35" s="612" t="str">
        <f>IF(ISNUMBER(E35), VLOOKUP(B35,Server_Configs[],4,FALSE), "N/A")</f>
        <v>N/A</v>
      </c>
      <c r="G35" s="612" t="str">
        <f>IF(ISNUMBER(VLOOKUP(B35,Server_Configs[],6,FALSE)), VLOOKUP(B35,Server_Configs[],6,FALSE), "N/A")</f>
        <v>N/A</v>
      </c>
      <c r="H35" s="612" t="str">
        <f>IF(ISNUMBER(VLOOKUP(B35,Server_Configs[],8,FALSE)), VLOOKUP(B35,Server_Configs[],8,FALSE), "N/A")</f>
        <v>N/A</v>
      </c>
      <c r="I35" s="612" t="str">
        <f>IF(ISNUMBER(VLOOKUP(B35,Server_Configs[],9,FALSE)), VLOOKUP(B35,Server_Configs[],9,FALSE), "N/A")</f>
        <v>N/A</v>
      </c>
      <c r="J35" s="614" t="str">
        <f>IF(ISNUMBER(VLOOKUP(B35,Server_Configs[],10,FALSE)), VLOOKUP(B35,Server_Configs[],10,FALSE), "N/A")</f>
        <v>N/A</v>
      </c>
      <c r="K35" s="131"/>
      <c r="L35" s="630"/>
      <c r="M35" s="633"/>
      <c r="O35" s="668"/>
      <c r="P35" s="611">
        <f>Old_Layout[[#This Row],[Proc / Chassis]]</f>
        <v>0</v>
      </c>
      <c r="Q35" s="612" t="str">
        <f>IF(ISNUMBER(VLOOKUP(P35,Server_Configs[],3,FALSE)), VLOOKUP(P35,Server_Configs[],3,FALSE), "N/A")</f>
        <v>N/A</v>
      </c>
      <c r="R35" s="613" t="str">
        <f>IF(ISNUMBER(Q35), VLOOKUP(P35,Server_Configs[],2,FALSE), "N/A")</f>
        <v>N/A</v>
      </c>
      <c r="S35" s="612" t="str">
        <f>IF(ISNUMBER('Rack Layout'!$Q35),'Rack Layout'!$R35*208/1000,"N/A")</f>
        <v>N/A</v>
      </c>
      <c r="T35" s="612" t="str">
        <f>IF(ISNUMBER(S35), VLOOKUP(P35,Server_Configs[],4,FALSE), "N/A")</f>
        <v>N/A</v>
      </c>
      <c r="U35" s="612" t="str">
        <f>IF(ISNUMBER(VLOOKUP(P35,Server_Configs[],6,FALSE)), VLOOKUP(P35,Server_Configs[],6,FALSE), "N/A")</f>
        <v>N/A</v>
      </c>
      <c r="V35" s="612" t="str">
        <f>IF(ISNUMBER(VLOOKUP(P35,Server_Configs[],8,FALSE)), VLOOKUP(P35,Server_Configs[],8,FALSE), "N/A")</f>
        <v>N/A</v>
      </c>
      <c r="W35" s="612" t="str">
        <f>IF(ISNUMBER(VLOOKUP(P35,Server_Configs[],9,FALSE)), VLOOKUP(P35,Server_Configs[],9,FALSE), "N/A")</f>
        <v>N/A</v>
      </c>
      <c r="X35" s="614" t="str">
        <f>IF(ISNUMBER(VLOOKUP(P35,Server_Configs[],10,FALSE)), VLOOKUP(P35,Server_Configs[],10,FALSE), "N/A")</f>
        <v>N/A</v>
      </c>
      <c r="Z35" s="630"/>
      <c r="AA35" s="633"/>
      <c r="AM35" s="237" t="b">
        <f>AND('Rack Layout'!$J35=1,'Rack Layout'!$F35=2)</f>
        <v>0</v>
      </c>
      <c r="AN35" s="237" t="b">
        <f>AND(New_Layout[[#This Row],[Units]]=1,New_Layout[[#This Row],[PSUs]]=2)</f>
        <v>0</v>
      </c>
    </row>
    <row r="36" spans="1:40" ht="15" customHeight="1" x14ac:dyDescent="0.3">
      <c r="A36" s="610">
        <v>34</v>
      </c>
      <c r="B36" s="5"/>
      <c r="C36" s="615" t="str">
        <f>IF(ISNUMBER(VLOOKUP(B36,Server_Configs[],3,FALSE)), VLOOKUP(B36,Server_Configs[],3,FALSE), "N/A")</f>
        <v>N/A</v>
      </c>
      <c r="D36" s="616" t="str">
        <f>IF(ISNUMBER(C36), VLOOKUP(B36,Server_Configs[],2,FALSE), "N/A")</f>
        <v>N/A</v>
      </c>
      <c r="E36" s="615" t="str">
        <f>IF(ISNUMBER('Rack Layout'!$C36),'Rack Layout'!$D36*208/1000,"N/A")</f>
        <v>N/A</v>
      </c>
      <c r="F36" s="615" t="str">
        <f>IF(ISNUMBER(E36), VLOOKUP(B36,Server_Configs[],4,FALSE), "N/A")</f>
        <v>N/A</v>
      </c>
      <c r="G36" s="615" t="str">
        <f>IF(ISNUMBER(VLOOKUP(B36,Server_Configs[],6,FALSE)), VLOOKUP(B36,Server_Configs[],6,FALSE), "N/A")</f>
        <v>N/A</v>
      </c>
      <c r="H36" s="615" t="str">
        <f>IF(ISNUMBER(VLOOKUP(B36,Server_Configs[],8,FALSE)), VLOOKUP(B36,Server_Configs[],8,FALSE), "N/A")</f>
        <v>N/A</v>
      </c>
      <c r="I36" s="615" t="str">
        <f>IF(ISNUMBER(VLOOKUP(B36,Server_Configs[],9,FALSE)), VLOOKUP(B36,Server_Configs[],9,FALSE), "N/A")</f>
        <v>N/A</v>
      </c>
      <c r="J36" s="617" t="str">
        <f>IF(ISNUMBER(VLOOKUP(B36,Server_Configs[],10,FALSE)), VLOOKUP(B36,Server_Configs[],10,FALSE), "N/A")</f>
        <v>N/A</v>
      </c>
      <c r="K36" s="131"/>
      <c r="L36" s="630"/>
      <c r="M36" s="633"/>
      <c r="O36" s="668"/>
      <c r="P36" s="5">
        <f>Old_Layout[[#This Row],[Proc / Chassis]]</f>
        <v>0</v>
      </c>
      <c r="Q36" s="615" t="str">
        <f>IF(ISNUMBER(VLOOKUP(P36,Server_Configs[],3,FALSE)), VLOOKUP(P36,Server_Configs[],3,FALSE), "N/A")</f>
        <v>N/A</v>
      </c>
      <c r="R36" s="616" t="str">
        <f>IF(ISNUMBER(Q36), VLOOKUP(P36,Server_Configs[],2,FALSE), "N/A")</f>
        <v>N/A</v>
      </c>
      <c r="S36" s="615" t="str">
        <f>IF(ISNUMBER('Rack Layout'!$Q36),'Rack Layout'!$R36*208/1000,"N/A")</f>
        <v>N/A</v>
      </c>
      <c r="T36" s="615" t="str">
        <f>IF(ISNUMBER(S36), VLOOKUP(P36,Server_Configs[],4,FALSE), "N/A")</f>
        <v>N/A</v>
      </c>
      <c r="U36" s="615" t="str">
        <f>IF(ISNUMBER(VLOOKUP(P36,Server_Configs[],6,FALSE)), VLOOKUP(P36,Server_Configs[],6,FALSE), "N/A")</f>
        <v>N/A</v>
      </c>
      <c r="V36" s="615" t="str">
        <f>IF(ISNUMBER(VLOOKUP(P36,Server_Configs[],8,FALSE)), VLOOKUP(P36,Server_Configs[],8,FALSE), "N/A")</f>
        <v>N/A</v>
      </c>
      <c r="W36" s="615" t="str">
        <f>IF(ISNUMBER(VLOOKUP(P36,Server_Configs[],9,FALSE)), VLOOKUP(P36,Server_Configs[],9,FALSE), "N/A")</f>
        <v>N/A</v>
      </c>
      <c r="X36" s="617" t="str">
        <f>IF(ISNUMBER(VLOOKUP(P36,Server_Configs[],10,FALSE)), VLOOKUP(P36,Server_Configs[],10,FALSE), "N/A")</f>
        <v>N/A</v>
      </c>
      <c r="Z36" s="630"/>
      <c r="AA36" s="633"/>
      <c r="AM36" s="237" t="b">
        <f>AND('Rack Layout'!$J36=1,'Rack Layout'!$F36=2)</f>
        <v>0</v>
      </c>
      <c r="AN36" s="237" t="b">
        <f>AND(New_Layout[[#This Row],[Units]]=1,New_Layout[[#This Row],[PSUs]]=2)</f>
        <v>0</v>
      </c>
    </row>
    <row r="37" spans="1:40" ht="15" customHeight="1" x14ac:dyDescent="0.3">
      <c r="A37" s="610">
        <v>35</v>
      </c>
      <c r="B37" s="611"/>
      <c r="C37" s="612" t="str">
        <f>IF(ISNUMBER(VLOOKUP(B37,Server_Configs[],3,FALSE)), VLOOKUP(B37,Server_Configs[],3,FALSE), "N/A")</f>
        <v>N/A</v>
      </c>
      <c r="D37" s="613" t="str">
        <f>IF(ISNUMBER(C37), VLOOKUP(B37,Server_Configs[],2,FALSE), "N/A")</f>
        <v>N/A</v>
      </c>
      <c r="E37" s="612" t="str">
        <f>IF(ISNUMBER('Rack Layout'!$C37),'Rack Layout'!$D37*208/1000,"N/A")</f>
        <v>N/A</v>
      </c>
      <c r="F37" s="612" t="str">
        <f>IF(ISNUMBER(E37), VLOOKUP(B37,Server_Configs[],4,FALSE), "N/A")</f>
        <v>N/A</v>
      </c>
      <c r="G37" s="612" t="str">
        <f>IF(ISNUMBER(VLOOKUP(B37,Server_Configs[],6,FALSE)), VLOOKUP(B37,Server_Configs[],6,FALSE), "N/A")</f>
        <v>N/A</v>
      </c>
      <c r="H37" s="612" t="str">
        <f>IF(ISNUMBER(VLOOKUP(B37,Server_Configs[],8,FALSE)), VLOOKUP(B37,Server_Configs[],8,FALSE), "N/A")</f>
        <v>N/A</v>
      </c>
      <c r="I37" s="612" t="str">
        <f>IF(ISNUMBER(VLOOKUP(B37,Server_Configs[],9,FALSE)), VLOOKUP(B37,Server_Configs[],9,FALSE), "N/A")</f>
        <v>N/A</v>
      </c>
      <c r="J37" s="614" t="str">
        <f>IF(ISNUMBER(VLOOKUP(B37,Server_Configs[],10,FALSE)), VLOOKUP(B37,Server_Configs[],10,FALSE), "N/A")</f>
        <v>N/A</v>
      </c>
      <c r="K37" s="131"/>
      <c r="L37" s="630"/>
      <c r="M37" s="633"/>
      <c r="O37" s="668"/>
      <c r="P37" s="611">
        <f>Old_Layout[[#This Row],[Proc / Chassis]]</f>
        <v>0</v>
      </c>
      <c r="Q37" s="612" t="str">
        <f>IF(ISNUMBER(VLOOKUP(P37,Server_Configs[],3,FALSE)), VLOOKUP(P37,Server_Configs[],3,FALSE), "N/A")</f>
        <v>N/A</v>
      </c>
      <c r="R37" s="613" t="str">
        <f>IF(ISNUMBER(Q37), VLOOKUP(P37,Server_Configs[],2,FALSE), "N/A")</f>
        <v>N/A</v>
      </c>
      <c r="S37" s="612" t="str">
        <f>IF(ISNUMBER('Rack Layout'!$Q37),'Rack Layout'!$R37*208/1000,"N/A")</f>
        <v>N/A</v>
      </c>
      <c r="T37" s="612" t="str">
        <f>IF(ISNUMBER(S37), VLOOKUP(P37,Server_Configs[],4,FALSE), "N/A")</f>
        <v>N/A</v>
      </c>
      <c r="U37" s="612" t="str">
        <f>IF(ISNUMBER(VLOOKUP(P37,Server_Configs[],6,FALSE)), VLOOKUP(P37,Server_Configs[],6,FALSE), "N/A")</f>
        <v>N/A</v>
      </c>
      <c r="V37" s="612" t="str">
        <f>IF(ISNUMBER(VLOOKUP(P37,Server_Configs[],8,FALSE)), VLOOKUP(P37,Server_Configs[],8,FALSE), "N/A")</f>
        <v>N/A</v>
      </c>
      <c r="W37" s="612" t="str">
        <f>IF(ISNUMBER(VLOOKUP(P37,Server_Configs[],9,FALSE)), VLOOKUP(P37,Server_Configs[],9,FALSE), "N/A")</f>
        <v>N/A</v>
      </c>
      <c r="X37" s="614" t="str">
        <f>IF(ISNUMBER(VLOOKUP(P37,Server_Configs[],10,FALSE)), VLOOKUP(P37,Server_Configs[],10,FALSE), "N/A")</f>
        <v>N/A</v>
      </c>
      <c r="Z37" s="630"/>
      <c r="AA37" s="633"/>
      <c r="AM37" s="237" t="b">
        <f>AND('Rack Layout'!$J37=1,'Rack Layout'!$F37=2)</f>
        <v>0</v>
      </c>
      <c r="AN37" s="237" t="b">
        <f>AND(New_Layout[[#This Row],[Units]]=1,New_Layout[[#This Row],[PSUs]]=2)</f>
        <v>0</v>
      </c>
    </row>
    <row r="38" spans="1:40" ht="15" customHeight="1" x14ac:dyDescent="0.3">
      <c r="A38" s="610">
        <v>36</v>
      </c>
      <c r="B38" s="5"/>
      <c r="C38" s="615" t="str">
        <f>IF(ISNUMBER(VLOOKUP(B38,Server_Configs[],3,FALSE)), VLOOKUP(B38,Server_Configs[],3,FALSE), "N/A")</f>
        <v>N/A</v>
      </c>
      <c r="D38" s="616" t="str">
        <f>IF(ISNUMBER(C38), VLOOKUP(B38,Server_Configs[],2,FALSE), "N/A")</f>
        <v>N/A</v>
      </c>
      <c r="E38" s="615" t="str">
        <f>IF(ISNUMBER('Rack Layout'!$C38),'Rack Layout'!$D38*208/1000,"N/A")</f>
        <v>N/A</v>
      </c>
      <c r="F38" s="615" t="str">
        <f>IF(ISNUMBER(E38), VLOOKUP(B38,Server_Configs[],4,FALSE), "N/A")</f>
        <v>N/A</v>
      </c>
      <c r="G38" s="615" t="str">
        <f>IF(ISNUMBER(VLOOKUP(B38,Server_Configs[],6,FALSE)), VLOOKUP(B38,Server_Configs[],6,FALSE), "N/A")</f>
        <v>N/A</v>
      </c>
      <c r="H38" s="615" t="str">
        <f>IF(ISNUMBER(VLOOKUP(B38,Server_Configs[],8,FALSE)), VLOOKUP(B38,Server_Configs[],8,FALSE), "N/A")</f>
        <v>N/A</v>
      </c>
      <c r="I38" s="615" t="str">
        <f>IF(ISNUMBER(VLOOKUP(B38,Server_Configs[],9,FALSE)), VLOOKUP(B38,Server_Configs[],9,FALSE), "N/A")</f>
        <v>N/A</v>
      </c>
      <c r="J38" s="617" t="str">
        <f>IF(ISNUMBER(VLOOKUP(B38,Server_Configs[],10,FALSE)), VLOOKUP(B38,Server_Configs[],10,FALSE), "N/A")</f>
        <v>N/A</v>
      </c>
      <c r="K38" s="131"/>
      <c r="L38" s="630"/>
      <c r="M38" s="633"/>
      <c r="O38" s="668"/>
      <c r="P38" s="5">
        <f>Old_Layout[[#This Row],[Proc / Chassis]]</f>
        <v>0</v>
      </c>
      <c r="Q38" s="615" t="str">
        <f>IF(ISNUMBER(VLOOKUP(P38,Server_Configs[],3,FALSE)), VLOOKUP(P38,Server_Configs[],3,FALSE), "N/A")</f>
        <v>N/A</v>
      </c>
      <c r="R38" s="616" t="str">
        <f>IF(ISNUMBER(Q38), VLOOKUP(P38,Server_Configs[],2,FALSE), "N/A")</f>
        <v>N/A</v>
      </c>
      <c r="S38" s="615" t="str">
        <f>IF(ISNUMBER('Rack Layout'!$Q38),'Rack Layout'!$R38*208/1000,"N/A")</f>
        <v>N/A</v>
      </c>
      <c r="T38" s="615" t="str">
        <f>IF(ISNUMBER(S38), VLOOKUP(P38,Server_Configs[],4,FALSE), "N/A")</f>
        <v>N/A</v>
      </c>
      <c r="U38" s="615" t="str">
        <f>IF(ISNUMBER(VLOOKUP(P38,Server_Configs[],6,FALSE)), VLOOKUP(P38,Server_Configs[],6,FALSE), "N/A")</f>
        <v>N/A</v>
      </c>
      <c r="V38" s="615" t="str">
        <f>IF(ISNUMBER(VLOOKUP(P38,Server_Configs[],8,FALSE)), VLOOKUP(P38,Server_Configs[],8,FALSE), "N/A")</f>
        <v>N/A</v>
      </c>
      <c r="W38" s="615" t="str">
        <f>IF(ISNUMBER(VLOOKUP(P38,Server_Configs[],9,FALSE)), VLOOKUP(P38,Server_Configs[],9,FALSE), "N/A")</f>
        <v>N/A</v>
      </c>
      <c r="X38" s="617" t="str">
        <f>IF(ISNUMBER(VLOOKUP(P38,Server_Configs[],10,FALSE)), VLOOKUP(P38,Server_Configs[],10,FALSE), "N/A")</f>
        <v>N/A</v>
      </c>
      <c r="Z38" s="630"/>
      <c r="AA38" s="633"/>
      <c r="AM38" s="237" t="b">
        <f>AND('Rack Layout'!$J38=1,'Rack Layout'!$F38=2)</f>
        <v>0</v>
      </c>
      <c r="AN38" s="237" t="b">
        <f>AND(New_Layout[[#This Row],[Units]]=1,New_Layout[[#This Row],[PSUs]]=2)</f>
        <v>0</v>
      </c>
    </row>
    <row r="39" spans="1:40" ht="15" customHeight="1" x14ac:dyDescent="0.3">
      <c r="A39" s="610">
        <v>37</v>
      </c>
      <c r="B39" s="611"/>
      <c r="C39" s="612" t="str">
        <f>IF(ISNUMBER(VLOOKUP(B39,Server_Configs[],3,FALSE)), VLOOKUP(B39,Server_Configs[],3,FALSE), "N/A")</f>
        <v>N/A</v>
      </c>
      <c r="D39" s="613" t="str">
        <f>IF(ISNUMBER(C39), VLOOKUP(B39,Server_Configs[],2,FALSE), "N/A")</f>
        <v>N/A</v>
      </c>
      <c r="E39" s="612" t="str">
        <f>IF(ISNUMBER('Rack Layout'!$C39),'Rack Layout'!$D39*208/1000,"N/A")</f>
        <v>N/A</v>
      </c>
      <c r="F39" s="612" t="str">
        <f>IF(ISNUMBER(E39), VLOOKUP(B39,Server_Configs[],4,FALSE), "N/A")</f>
        <v>N/A</v>
      </c>
      <c r="G39" s="612" t="str">
        <f>IF(ISNUMBER(VLOOKUP(B39,Server_Configs[],6,FALSE)), VLOOKUP(B39,Server_Configs[],6,FALSE), "N/A")</f>
        <v>N/A</v>
      </c>
      <c r="H39" s="612" t="str">
        <f>IF(ISNUMBER(VLOOKUP(B39,Server_Configs[],8,FALSE)), VLOOKUP(B39,Server_Configs[],8,FALSE), "N/A")</f>
        <v>N/A</v>
      </c>
      <c r="I39" s="612" t="str">
        <f>IF(ISNUMBER(VLOOKUP(B39,Server_Configs[],9,FALSE)), VLOOKUP(B39,Server_Configs[],9,FALSE), "N/A")</f>
        <v>N/A</v>
      </c>
      <c r="J39" s="614" t="str">
        <f>IF(ISNUMBER(VLOOKUP(B39,Server_Configs[],10,FALSE)), VLOOKUP(B39,Server_Configs[],10,FALSE), "N/A")</f>
        <v>N/A</v>
      </c>
      <c r="K39" s="131"/>
      <c r="L39" s="630"/>
      <c r="M39" s="633"/>
      <c r="O39" s="668"/>
      <c r="P39" s="611">
        <f>Old_Layout[[#This Row],[Proc / Chassis]]</f>
        <v>0</v>
      </c>
      <c r="Q39" s="612" t="str">
        <f>IF(ISNUMBER(VLOOKUP(P39,Server_Configs[],3,FALSE)), VLOOKUP(P39,Server_Configs[],3,FALSE), "N/A")</f>
        <v>N/A</v>
      </c>
      <c r="R39" s="613" t="str">
        <f>IF(ISNUMBER(Q39), VLOOKUP(P39,Server_Configs[],2,FALSE), "N/A")</f>
        <v>N/A</v>
      </c>
      <c r="S39" s="612" t="str">
        <f>IF(ISNUMBER('Rack Layout'!$Q39),'Rack Layout'!$R39*208/1000,"N/A")</f>
        <v>N/A</v>
      </c>
      <c r="T39" s="612" t="str">
        <f>IF(ISNUMBER(S39), VLOOKUP(P39,Server_Configs[],4,FALSE), "N/A")</f>
        <v>N/A</v>
      </c>
      <c r="U39" s="612" t="str">
        <f>IF(ISNUMBER(VLOOKUP(P39,Server_Configs[],6,FALSE)), VLOOKUP(P39,Server_Configs[],6,FALSE), "N/A")</f>
        <v>N/A</v>
      </c>
      <c r="V39" s="612" t="str">
        <f>IF(ISNUMBER(VLOOKUP(P39,Server_Configs[],8,FALSE)), VLOOKUP(P39,Server_Configs[],8,FALSE), "N/A")</f>
        <v>N/A</v>
      </c>
      <c r="W39" s="612" t="str">
        <f>IF(ISNUMBER(VLOOKUP(P39,Server_Configs[],9,FALSE)), VLOOKUP(P39,Server_Configs[],9,FALSE), "N/A")</f>
        <v>N/A</v>
      </c>
      <c r="X39" s="614" t="str">
        <f>IF(ISNUMBER(VLOOKUP(P39,Server_Configs[],10,FALSE)), VLOOKUP(P39,Server_Configs[],10,FALSE), "N/A")</f>
        <v>N/A</v>
      </c>
      <c r="Z39" s="630"/>
      <c r="AA39" s="633"/>
      <c r="AM39" s="237" t="b">
        <f>AND('Rack Layout'!$J39=1,'Rack Layout'!$F39=2)</f>
        <v>0</v>
      </c>
      <c r="AN39" s="237" t="b">
        <f>AND(New_Layout[[#This Row],[Units]]=1,New_Layout[[#This Row],[PSUs]]=2)</f>
        <v>0</v>
      </c>
    </row>
    <row r="40" spans="1:40" ht="15" customHeight="1" x14ac:dyDescent="0.3">
      <c r="A40" s="610">
        <v>38</v>
      </c>
      <c r="B40" s="5"/>
      <c r="C40" s="615" t="str">
        <f>IF(ISNUMBER(VLOOKUP(B40,Server_Configs[],3,FALSE)), VLOOKUP(B40,Server_Configs[],3,FALSE), "N/A")</f>
        <v>N/A</v>
      </c>
      <c r="D40" s="616" t="str">
        <f>IF(ISNUMBER(C40), VLOOKUP(B40,Server_Configs[],2,FALSE), "N/A")</f>
        <v>N/A</v>
      </c>
      <c r="E40" s="615" t="str">
        <f>IF(ISNUMBER('Rack Layout'!$C40),'Rack Layout'!$D40*208/1000,"N/A")</f>
        <v>N/A</v>
      </c>
      <c r="F40" s="615" t="str">
        <f>IF(ISNUMBER(E40), VLOOKUP(B40,Server_Configs[],4,FALSE), "N/A")</f>
        <v>N/A</v>
      </c>
      <c r="G40" s="615" t="str">
        <f>IF(ISNUMBER(VLOOKUP(B40,Server_Configs[],6,FALSE)), VLOOKUP(B40,Server_Configs[],6,FALSE), "N/A")</f>
        <v>N/A</v>
      </c>
      <c r="H40" s="615" t="str">
        <f>IF(ISNUMBER(VLOOKUP(B40,Server_Configs[],8,FALSE)), VLOOKUP(B40,Server_Configs[],8,FALSE), "N/A")</f>
        <v>N/A</v>
      </c>
      <c r="I40" s="615" t="str">
        <f>IF(ISNUMBER(VLOOKUP(B40,Server_Configs[],9,FALSE)), VLOOKUP(B40,Server_Configs[],9,FALSE), "N/A")</f>
        <v>N/A</v>
      </c>
      <c r="J40" s="617" t="str">
        <f>IF(ISNUMBER(VLOOKUP(B40,Server_Configs[],10,FALSE)), VLOOKUP(B40,Server_Configs[],10,FALSE), "N/A")</f>
        <v>N/A</v>
      </c>
      <c r="K40" s="131"/>
      <c r="L40" s="630"/>
      <c r="M40" s="633"/>
      <c r="O40" s="668"/>
      <c r="P40" s="5">
        <f>Old_Layout[[#This Row],[Proc / Chassis]]</f>
        <v>0</v>
      </c>
      <c r="Q40" s="615" t="str">
        <f>IF(ISNUMBER(VLOOKUP(P40,Server_Configs[],3,FALSE)), VLOOKUP(P40,Server_Configs[],3,FALSE), "N/A")</f>
        <v>N/A</v>
      </c>
      <c r="R40" s="616" t="str">
        <f>IF(ISNUMBER(Q40), VLOOKUP(P40,Server_Configs[],2,FALSE), "N/A")</f>
        <v>N/A</v>
      </c>
      <c r="S40" s="615" t="str">
        <f>IF(ISNUMBER('Rack Layout'!$Q40),'Rack Layout'!$R40*208/1000,"N/A")</f>
        <v>N/A</v>
      </c>
      <c r="T40" s="615" t="str">
        <f>IF(ISNUMBER(S40), VLOOKUP(P40,Server_Configs[],4,FALSE), "N/A")</f>
        <v>N/A</v>
      </c>
      <c r="U40" s="615" t="str">
        <f>IF(ISNUMBER(VLOOKUP(P40,Server_Configs[],6,FALSE)), VLOOKUP(P40,Server_Configs[],6,FALSE), "N/A")</f>
        <v>N/A</v>
      </c>
      <c r="V40" s="615" t="str">
        <f>IF(ISNUMBER(VLOOKUP(P40,Server_Configs[],8,FALSE)), VLOOKUP(P40,Server_Configs[],8,FALSE), "N/A")</f>
        <v>N/A</v>
      </c>
      <c r="W40" s="615" t="str">
        <f>IF(ISNUMBER(VLOOKUP(P40,Server_Configs[],9,FALSE)), VLOOKUP(P40,Server_Configs[],9,FALSE), "N/A")</f>
        <v>N/A</v>
      </c>
      <c r="X40" s="617" t="str">
        <f>IF(ISNUMBER(VLOOKUP(P40,Server_Configs[],10,FALSE)), VLOOKUP(P40,Server_Configs[],10,FALSE), "N/A")</f>
        <v>N/A</v>
      </c>
      <c r="Z40" s="630"/>
      <c r="AA40" s="633"/>
      <c r="AM40" s="237" t="b">
        <f>AND('Rack Layout'!$J40=1,'Rack Layout'!$F40=2)</f>
        <v>0</v>
      </c>
      <c r="AN40" s="237" t="b">
        <f>AND(New_Layout[[#This Row],[Units]]=1,New_Layout[[#This Row],[PSUs]]=2)</f>
        <v>0</v>
      </c>
    </row>
    <row r="41" spans="1:40" ht="15" customHeight="1" x14ac:dyDescent="0.3">
      <c r="A41" s="610">
        <v>39</v>
      </c>
      <c r="B41" s="611"/>
      <c r="C41" s="612" t="str">
        <f>IF(ISNUMBER(VLOOKUP(B41,Server_Configs[],3,FALSE)), VLOOKUP(B41,Server_Configs[],3,FALSE), "N/A")</f>
        <v>N/A</v>
      </c>
      <c r="D41" s="613" t="str">
        <f>IF(ISNUMBER(C41), VLOOKUP(B41,Server_Configs[],2,FALSE), "N/A")</f>
        <v>N/A</v>
      </c>
      <c r="E41" s="612" t="str">
        <f>IF(ISNUMBER('Rack Layout'!$C41),'Rack Layout'!$D41*208/1000,"N/A")</f>
        <v>N/A</v>
      </c>
      <c r="F41" s="612" t="str">
        <f>IF(ISNUMBER(E41), VLOOKUP(B41,Server_Configs[],4,FALSE), "N/A")</f>
        <v>N/A</v>
      </c>
      <c r="G41" s="612" t="str">
        <f>IF(ISNUMBER(VLOOKUP(B41,Server_Configs[],6,FALSE)), VLOOKUP(B41,Server_Configs[],6,FALSE), "N/A")</f>
        <v>N/A</v>
      </c>
      <c r="H41" s="612" t="str">
        <f>IF(ISNUMBER(VLOOKUP(B41,Server_Configs[],8,FALSE)), VLOOKUP(B41,Server_Configs[],8,FALSE), "N/A")</f>
        <v>N/A</v>
      </c>
      <c r="I41" s="612" t="str">
        <f>IF(ISNUMBER(VLOOKUP(B41,Server_Configs[],9,FALSE)), VLOOKUP(B41,Server_Configs[],9,FALSE), "N/A")</f>
        <v>N/A</v>
      </c>
      <c r="J41" s="614" t="str">
        <f>IF(ISNUMBER(VLOOKUP(B41,Server_Configs[],10,FALSE)), VLOOKUP(B41,Server_Configs[],10,FALSE), "N/A")</f>
        <v>N/A</v>
      </c>
      <c r="K41" s="131"/>
      <c r="L41" s="630"/>
      <c r="M41" s="633"/>
      <c r="O41" s="668"/>
      <c r="P41" s="611">
        <f>Old_Layout[[#This Row],[Proc / Chassis]]</f>
        <v>0</v>
      </c>
      <c r="Q41" s="612" t="str">
        <f>IF(ISNUMBER(VLOOKUP(P41,Server_Configs[],3,FALSE)), VLOOKUP(P41,Server_Configs[],3,FALSE), "N/A")</f>
        <v>N/A</v>
      </c>
      <c r="R41" s="613" t="str">
        <f>IF(ISNUMBER(Q41), VLOOKUP(P41,Server_Configs[],2,FALSE), "N/A")</f>
        <v>N/A</v>
      </c>
      <c r="S41" s="612" t="str">
        <f>IF(ISNUMBER('Rack Layout'!$Q41),'Rack Layout'!$R41*208/1000,"N/A")</f>
        <v>N/A</v>
      </c>
      <c r="T41" s="612" t="str">
        <f>IF(ISNUMBER(S41), VLOOKUP(P41,Server_Configs[],4,FALSE), "N/A")</f>
        <v>N/A</v>
      </c>
      <c r="U41" s="612" t="str">
        <f>IF(ISNUMBER(VLOOKUP(P41,Server_Configs[],6,FALSE)), VLOOKUP(P41,Server_Configs[],6,FALSE), "N/A")</f>
        <v>N/A</v>
      </c>
      <c r="V41" s="612" t="str">
        <f>IF(ISNUMBER(VLOOKUP(P41,Server_Configs[],8,FALSE)), VLOOKUP(P41,Server_Configs[],8,FALSE), "N/A")</f>
        <v>N/A</v>
      </c>
      <c r="W41" s="612" t="str">
        <f>IF(ISNUMBER(VLOOKUP(P41,Server_Configs[],9,FALSE)), VLOOKUP(P41,Server_Configs[],9,FALSE), "N/A")</f>
        <v>N/A</v>
      </c>
      <c r="X41" s="614" t="str">
        <f>IF(ISNUMBER(VLOOKUP(P41,Server_Configs[],10,FALSE)), VLOOKUP(P41,Server_Configs[],10,FALSE), "N/A")</f>
        <v>N/A</v>
      </c>
      <c r="Z41" s="630"/>
      <c r="AA41" s="633"/>
      <c r="AM41" s="237" t="b">
        <f>AND('Rack Layout'!$J41=1,'Rack Layout'!$F41=2)</f>
        <v>0</v>
      </c>
      <c r="AN41" s="237" t="b">
        <f>AND(New_Layout[[#This Row],[Units]]=1,New_Layout[[#This Row],[PSUs]]=2)</f>
        <v>0</v>
      </c>
    </row>
    <row r="42" spans="1:40" ht="15" customHeight="1" x14ac:dyDescent="0.3">
      <c r="A42" s="610">
        <v>40</v>
      </c>
      <c r="B42" s="5"/>
      <c r="C42" s="615" t="str">
        <f>IF(ISNUMBER(VLOOKUP(B42,Server_Configs[],3,FALSE)), VLOOKUP(B42,Server_Configs[],3,FALSE), "N/A")</f>
        <v>N/A</v>
      </c>
      <c r="D42" s="616" t="str">
        <f>IF(ISNUMBER(C42), VLOOKUP(B42,Server_Configs[],2,FALSE), "N/A")</f>
        <v>N/A</v>
      </c>
      <c r="E42" s="615" t="str">
        <f>IF(ISNUMBER('Rack Layout'!$C42),'Rack Layout'!$D42*208/1000,"N/A")</f>
        <v>N/A</v>
      </c>
      <c r="F42" s="615" t="str">
        <f>IF(ISNUMBER(E42), VLOOKUP(B42,Server_Configs[],4,FALSE), "N/A")</f>
        <v>N/A</v>
      </c>
      <c r="G42" s="615" t="str">
        <f>IF(ISNUMBER(VLOOKUP(B42,Server_Configs[],6,FALSE)), VLOOKUP(B42,Server_Configs[],6,FALSE), "N/A")</f>
        <v>N/A</v>
      </c>
      <c r="H42" s="615" t="str">
        <f>IF(ISNUMBER(VLOOKUP(B42,Server_Configs[],8,FALSE)), VLOOKUP(B42,Server_Configs[],8,FALSE), "N/A")</f>
        <v>N/A</v>
      </c>
      <c r="I42" s="615" t="str">
        <f>IF(ISNUMBER(VLOOKUP(B42,Server_Configs[],9,FALSE)), VLOOKUP(B42,Server_Configs[],9,FALSE), "N/A")</f>
        <v>N/A</v>
      </c>
      <c r="J42" s="617" t="str">
        <f>IF(ISNUMBER(VLOOKUP(B42,Server_Configs[],10,FALSE)), VLOOKUP(B42,Server_Configs[],10,FALSE), "N/A")</f>
        <v>N/A</v>
      </c>
      <c r="K42" s="131"/>
      <c r="L42" s="630"/>
      <c r="M42" s="633"/>
      <c r="O42" s="668"/>
      <c r="P42" s="5">
        <f>Old_Layout[[#This Row],[Proc / Chassis]]</f>
        <v>0</v>
      </c>
      <c r="Q42" s="615" t="str">
        <f>IF(ISNUMBER(VLOOKUP(P42,Server_Configs[],3,FALSE)), VLOOKUP(P42,Server_Configs[],3,FALSE), "N/A")</f>
        <v>N/A</v>
      </c>
      <c r="R42" s="616" t="str">
        <f>IF(ISNUMBER(Q42), VLOOKUP(P42,Server_Configs[],2,FALSE), "N/A")</f>
        <v>N/A</v>
      </c>
      <c r="S42" s="615" t="str">
        <f>IF(ISNUMBER('Rack Layout'!$Q42),'Rack Layout'!$R42*208/1000,"N/A")</f>
        <v>N/A</v>
      </c>
      <c r="T42" s="615" t="str">
        <f>IF(ISNUMBER(S42), VLOOKUP(P42,Server_Configs[],4,FALSE), "N/A")</f>
        <v>N/A</v>
      </c>
      <c r="U42" s="615" t="str">
        <f>IF(ISNUMBER(VLOOKUP(P42,Server_Configs[],6,FALSE)), VLOOKUP(P42,Server_Configs[],6,FALSE), "N/A")</f>
        <v>N/A</v>
      </c>
      <c r="V42" s="615" t="str">
        <f>IF(ISNUMBER(VLOOKUP(P42,Server_Configs[],8,FALSE)), VLOOKUP(P42,Server_Configs[],8,FALSE), "N/A")</f>
        <v>N/A</v>
      </c>
      <c r="W42" s="615" t="str">
        <f>IF(ISNUMBER(VLOOKUP(P42,Server_Configs[],9,FALSE)), VLOOKUP(P42,Server_Configs[],9,FALSE), "N/A")</f>
        <v>N/A</v>
      </c>
      <c r="X42" s="617" t="str">
        <f>IF(ISNUMBER(VLOOKUP(P42,Server_Configs[],10,FALSE)), VLOOKUP(P42,Server_Configs[],10,FALSE), "N/A")</f>
        <v>N/A</v>
      </c>
      <c r="Z42" s="630"/>
      <c r="AA42" s="633"/>
      <c r="AM42" s="237" t="b">
        <f>AND('Rack Layout'!$J42=1,'Rack Layout'!$F42=2)</f>
        <v>0</v>
      </c>
      <c r="AN42" s="237" t="b">
        <f>AND(New_Layout[[#This Row],[Units]]=1,New_Layout[[#This Row],[PSUs]]=2)</f>
        <v>0</v>
      </c>
    </row>
    <row r="43" spans="1:40" ht="15" customHeight="1" x14ac:dyDescent="0.3">
      <c r="A43" s="610">
        <v>41</v>
      </c>
      <c r="B43" s="611"/>
      <c r="C43" s="612" t="str">
        <f>IF(ISNUMBER(VLOOKUP(B43,Server_Configs[],3,FALSE)), VLOOKUP(B43,Server_Configs[],3,FALSE), "N/A")</f>
        <v>N/A</v>
      </c>
      <c r="D43" s="613" t="str">
        <f>IF(ISNUMBER(C43), VLOOKUP(B43,Server_Configs[],2,FALSE), "N/A")</f>
        <v>N/A</v>
      </c>
      <c r="E43" s="612" t="str">
        <f>IF(ISNUMBER('Rack Layout'!$C43),'Rack Layout'!$D43*208/1000,"N/A")</f>
        <v>N/A</v>
      </c>
      <c r="F43" s="612" t="str">
        <f>IF(ISNUMBER(E43), VLOOKUP(B43,Server_Configs[],4,FALSE), "N/A")</f>
        <v>N/A</v>
      </c>
      <c r="G43" s="612" t="str">
        <f>IF(ISNUMBER(VLOOKUP(B43,Server_Configs[],6,FALSE)), VLOOKUP(B43,Server_Configs[],6,FALSE), "N/A")</f>
        <v>N/A</v>
      </c>
      <c r="H43" s="612" t="str">
        <f>IF(ISNUMBER(VLOOKUP(B43,Server_Configs[],8,FALSE)), VLOOKUP(B43,Server_Configs[],8,FALSE), "N/A")</f>
        <v>N/A</v>
      </c>
      <c r="I43" s="612" t="str">
        <f>IF(ISNUMBER(VLOOKUP(B43,Server_Configs[],9,FALSE)), VLOOKUP(B43,Server_Configs[],9,FALSE), "N/A")</f>
        <v>N/A</v>
      </c>
      <c r="J43" s="614" t="str">
        <f>IF(ISNUMBER(VLOOKUP(B43,Server_Configs[],10,FALSE)), VLOOKUP(B43,Server_Configs[],10,FALSE), "N/A")</f>
        <v>N/A</v>
      </c>
      <c r="K43" s="131"/>
      <c r="L43" s="630"/>
      <c r="M43" s="633"/>
      <c r="O43" s="668"/>
      <c r="P43" s="611">
        <f>Old_Layout[[#This Row],[Proc / Chassis]]</f>
        <v>0</v>
      </c>
      <c r="Q43" s="612" t="str">
        <f>IF(ISNUMBER(VLOOKUP(P43,Server_Configs[],3,FALSE)), VLOOKUP(P43,Server_Configs[],3,FALSE), "N/A")</f>
        <v>N/A</v>
      </c>
      <c r="R43" s="613" t="str">
        <f>IF(ISNUMBER(Q43), VLOOKUP(P43,Server_Configs[],2,FALSE), "N/A")</f>
        <v>N/A</v>
      </c>
      <c r="S43" s="612" t="str">
        <f>IF(ISNUMBER('Rack Layout'!$Q43),'Rack Layout'!$R43*208/1000,"N/A")</f>
        <v>N/A</v>
      </c>
      <c r="T43" s="612" t="str">
        <f>IF(ISNUMBER(S43), VLOOKUP(P43,Server_Configs[],4,FALSE), "N/A")</f>
        <v>N/A</v>
      </c>
      <c r="U43" s="612" t="str">
        <f>IF(ISNUMBER(VLOOKUP(P43,Server_Configs[],6,FALSE)), VLOOKUP(P43,Server_Configs[],6,FALSE), "N/A")</f>
        <v>N/A</v>
      </c>
      <c r="V43" s="612" t="str">
        <f>IF(ISNUMBER(VLOOKUP(P43,Server_Configs[],8,FALSE)), VLOOKUP(P43,Server_Configs[],8,FALSE), "N/A")</f>
        <v>N/A</v>
      </c>
      <c r="W43" s="612" t="str">
        <f>IF(ISNUMBER(VLOOKUP(P43,Server_Configs[],9,FALSE)), VLOOKUP(P43,Server_Configs[],9,FALSE), "N/A")</f>
        <v>N/A</v>
      </c>
      <c r="X43" s="614" t="str">
        <f>IF(ISNUMBER(VLOOKUP(P43,Server_Configs[],10,FALSE)), VLOOKUP(P43,Server_Configs[],10,FALSE), "N/A")</f>
        <v>N/A</v>
      </c>
      <c r="Z43" s="630"/>
      <c r="AA43" s="633"/>
      <c r="AM43" s="237" t="b">
        <f>AND('Rack Layout'!$J43=1,'Rack Layout'!$F43=2)</f>
        <v>0</v>
      </c>
      <c r="AN43" s="237" t="b">
        <f>AND(New_Layout[[#This Row],[Units]]=1,New_Layout[[#This Row],[PSUs]]=2)</f>
        <v>0</v>
      </c>
    </row>
    <row r="44" spans="1:40" ht="15" customHeight="1" x14ac:dyDescent="0.3">
      <c r="A44" s="610">
        <v>42</v>
      </c>
      <c r="B44" s="5"/>
      <c r="C44" s="615" t="str">
        <f>IF(ISNUMBER(VLOOKUP(B44,Server_Configs[],3,FALSE)), VLOOKUP(B44,Server_Configs[],3,FALSE), "N/A")</f>
        <v>N/A</v>
      </c>
      <c r="D44" s="616" t="str">
        <f>IF(ISNUMBER(C44), VLOOKUP(B44,Server_Configs[],2,FALSE), "N/A")</f>
        <v>N/A</v>
      </c>
      <c r="E44" s="615" t="str">
        <f>IF(ISNUMBER('Rack Layout'!$C44),'Rack Layout'!$D44*208/1000,"N/A")</f>
        <v>N/A</v>
      </c>
      <c r="F44" s="615" t="str">
        <f>IF(ISNUMBER(E44), VLOOKUP(B44,Server_Configs[],4,FALSE), "N/A")</f>
        <v>N/A</v>
      </c>
      <c r="G44" s="615" t="str">
        <f>IF(ISNUMBER(VLOOKUP(B44,Server_Configs[],6,FALSE)), VLOOKUP(B44,Server_Configs[],6,FALSE), "N/A")</f>
        <v>N/A</v>
      </c>
      <c r="H44" s="615" t="str">
        <f>IF(ISNUMBER(VLOOKUP(B44,Server_Configs[],8,FALSE)), VLOOKUP(B44,Server_Configs[],8,FALSE), "N/A")</f>
        <v>N/A</v>
      </c>
      <c r="I44" s="615" t="str">
        <f>IF(ISNUMBER(VLOOKUP(B44,Server_Configs[],9,FALSE)), VLOOKUP(B44,Server_Configs[],9,FALSE), "N/A")</f>
        <v>N/A</v>
      </c>
      <c r="J44" s="617" t="str">
        <f>IF(ISNUMBER(VLOOKUP(B44,Server_Configs[],10,FALSE)), VLOOKUP(B44,Server_Configs[],10,FALSE), "N/A")</f>
        <v>N/A</v>
      </c>
      <c r="K44" s="131"/>
      <c r="L44" s="630"/>
      <c r="M44" s="633"/>
      <c r="O44" s="668"/>
      <c r="P44" s="5">
        <f>Old_Layout[[#This Row],[Proc / Chassis]]</f>
        <v>0</v>
      </c>
      <c r="Q44" s="615" t="str">
        <f>IF(ISNUMBER(VLOOKUP(P44,Server_Configs[],3,FALSE)), VLOOKUP(P44,Server_Configs[],3,FALSE), "N/A")</f>
        <v>N/A</v>
      </c>
      <c r="R44" s="616" t="str">
        <f>IF(ISNUMBER(Q44), VLOOKUP(P44,Server_Configs[],2,FALSE), "N/A")</f>
        <v>N/A</v>
      </c>
      <c r="S44" s="615" t="str">
        <f>IF(ISNUMBER('Rack Layout'!$Q44),'Rack Layout'!$R44*208/1000,"N/A")</f>
        <v>N/A</v>
      </c>
      <c r="T44" s="615" t="str">
        <f>IF(ISNUMBER(S44), VLOOKUP(P44,Server_Configs[],4,FALSE), "N/A")</f>
        <v>N/A</v>
      </c>
      <c r="U44" s="615" t="str">
        <f>IF(ISNUMBER(VLOOKUP(P44,Server_Configs[],6,FALSE)), VLOOKUP(P44,Server_Configs[],6,FALSE), "N/A")</f>
        <v>N/A</v>
      </c>
      <c r="V44" s="615" t="str">
        <f>IF(ISNUMBER(VLOOKUP(P44,Server_Configs[],8,FALSE)), VLOOKUP(P44,Server_Configs[],8,FALSE), "N/A")</f>
        <v>N/A</v>
      </c>
      <c r="W44" s="615" t="str">
        <f>IF(ISNUMBER(VLOOKUP(P44,Server_Configs[],9,FALSE)), VLOOKUP(P44,Server_Configs[],9,FALSE), "N/A")</f>
        <v>N/A</v>
      </c>
      <c r="X44" s="617" t="str">
        <f>IF(ISNUMBER(VLOOKUP(P44,Server_Configs[],10,FALSE)), VLOOKUP(P44,Server_Configs[],10,FALSE), "N/A")</f>
        <v>N/A</v>
      </c>
      <c r="Z44" s="630"/>
      <c r="AA44" s="633"/>
      <c r="AM44" s="237" t="b">
        <f>AND('Rack Layout'!$J44=1,'Rack Layout'!$F44=2)</f>
        <v>0</v>
      </c>
      <c r="AN44" s="237" t="b">
        <f>AND(New_Layout[[#This Row],[Units]]=1,New_Layout[[#This Row],[PSUs]]=2)</f>
        <v>0</v>
      </c>
    </row>
    <row r="45" spans="1:40" ht="15" customHeight="1" x14ac:dyDescent="0.3">
      <c r="A45" s="610">
        <v>43</v>
      </c>
      <c r="B45" s="611"/>
      <c r="C45" s="612" t="str">
        <f>IF(ISNUMBER(VLOOKUP(B45,Server_Configs[],3,FALSE)), VLOOKUP(B45,Server_Configs[],3,FALSE), "N/A")</f>
        <v>N/A</v>
      </c>
      <c r="D45" s="613" t="str">
        <f>IF(ISNUMBER(C45), VLOOKUP(B45,Server_Configs[],2,FALSE), "N/A")</f>
        <v>N/A</v>
      </c>
      <c r="E45" s="612" t="str">
        <f>IF(ISNUMBER('Rack Layout'!$C45),'Rack Layout'!$D45*208/1000,"N/A")</f>
        <v>N/A</v>
      </c>
      <c r="F45" s="612" t="str">
        <f>IF(ISNUMBER(E45), VLOOKUP(B45,Server_Configs[],4,FALSE), "N/A")</f>
        <v>N/A</v>
      </c>
      <c r="G45" s="612" t="str">
        <f>IF(ISNUMBER(VLOOKUP(B45,Server_Configs[],6,FALSE)), VLOOKUP(B45,Server_Configs[],6,FALSE), "N/A")</f>
        <v>N/A</v>
      </c>
      <c r="H45" s="612" t="str">
        <f>IF(ISNUMBER(VLOOKUP(B45,Server_Configs[],8,FALSE)), VLOOKUP(B45,Server_Configs[],8,FALSE), "N/A")</f>
        <v>N/A</v>
      </c>
      <c r="I45" s="612" t="str">
        <f>IF(ISNUMBER(VLOOKUP(B45,Server_Configs[],9,FALSE)), VLOOKUP(B45,Server_Configs[],9,FALSE), "N/A")</f>
        <v>N/A</v>
      </c>
      <c r="J45" s="614" t="str">
        <f>IF(ISNUMBER(VLOOKUP(B45,Server_Configs[],10,FALSE)), VLOOKUP(B45,Server_Configs[],10,FALSE), "N/A")</f>
        <v>N/A</v>
      </c>
      <c r="K45" s="131"/>
      <c r="L45" s="630"/>
      <c r="M45" s="633"/>
      <c r="O45" s="668"/>
      <c r="P45" s="611">
        <f>Old_Layout[[#This Row],[Proc / Chassis]]</f>
        <v>0</v>
      </c>
      <c r="Q45" s="612" t="str">
        <f>IF(ISNUMBER(VLOOKUP(P45,Server_Configs[],3,FALSE)), VLOOKUP(P45,Server_Configs[],3,FALSE), "N/A")</f>
        <v>N/A</v>
      </c>
      <c r="R45" s="613" t="str">
        <f>IF(ISNUMBER(Q45), VLOOKUP(P45,Server_Configs[],2,FALSE), "N/A")</f>
        <v>N/A</v>
      </c>
      <c r="S45" s="612" t="str">
        <f>IF(ISNUMBER('Rack Layout'!$Q45),'Rack Layout'!$R45*208/1000,"N/A")</f>
        <v>N/A</v>
      </c>
      <c r="T45" s="612" t="str">
        <f>IF(ISNUMBER(S45), VLOOKUP(P45,Server_Configs[],4,FALSE), "N/A")</f>
        <v>N/A</v>
      </c>
      <c r="U45" s="612" t="str">
        <f>IF(ISNUMBER(VLOOKUP(P45,Server_Configs[],6,FALSE)), VLOOKUP(P45,Server_Configs[],6,FALSE), "N/A")</f>
        <v>N/A</v>
      </c>
      <c r="V45" s="612" t="str">
        <f>IF(ISNUMBER(VLOOKUP(P45,Server_Configs[],8,FALSE)), VLOOKUP(P45,Server_Configs[],8,FALSE), "N/A")</f>
        <v>N/A</v>
      </c>
      <c r="W45" s="612" t="str">
        <f>IF(ISNUMBER(VLOOKUP(P45,Server_Configs[],9,FALSE)), VLOOKUP(P45,Server_Configs[],9,FALSE), "N/A")</f>
        <v>N/A</v>
      </c>
      <c r="X45" s="614" t="str">
        <f>IF(ISNUMBER(VLOOKUP(P45,Server_Configs[],10,FALSE)), VLOOKUP(P45,Server_Configs[],10,FALSE), "N/A")</f>
        <v>N/A</v>
      </c>
      <c r="Z45" s="630"/>
      <c r="AA45" s="633"/>
      <c r="AM45" s="237" t="b">
        <f>AND('Rack Layout'!$J45=1,'Rack Layout'!$F45=2)</f>
        <v>0</v>
      </c>
      <c r="AN45" s="237" t="b">
        <f>AND(New_Layout[[#This Row],[Units]]=1,New_Layout[[#This Row],[PSUs]]=2)</f>
        <v>0</v>
      </c>
    </row>
    <row r="46" spans="1:40" ht="15" customHeight="1" x14ac:dyDescent="0.3">
      <c r="A46" s="610">
        <v>44</v>
      </c>
      <c r="B46" s="5"/>
      <c r="C46" s="615" t="str">
        <f>IF(ISNUMBER(VLOOKUP(B46,Server_Configs[],3,FALSE)), VLOOKUP(B46,Server_Configs[],3,FALSE), "N/A")</f>
        <v>N/A</v>
      </c>
      <c r="D46" s="616" t="str">
        <f>IF(ISNUMBER(C46), VLOOKUP(B46,Server_Configs[],2,FALSE), "N/A")</f>
        <v>N/A</v>
      </c>
      <c r="E46" s="615" t="str">
        <f>IF(ISNUMBER('Rack Layout'!$C46),'Rack Layout'!$D46*208/1000,"N/A")</f>
        <v>N/A</v>
      </c>
      <c r="F46" s="615" t="str">
        <f>IF(ISNUMBER(E46), VLOOKUP(B46,Server_Configs[],4,FALSE), "N/A")</f>
        <v>N/A</v>
      </c>
      <c r="G46" s="615" t="str">
        <f>IF(ISNUMBER(VLOOKUP(B46,Server_Configs[],6,FALSE)), VLOOKUP(B46,Server_Configs[],6,FALSE), "N/A")</f>
        <v>N/A</v>
      </c>
      <c r="H46" s="615" t="str">
        <f>IF(ISNUMBER(VLOOKUP(B46,Server_Configs[],8,FALSE)), VLOOKUP(B46,Server_Configs[],8,FALSE), "N/A")</f>
        <v>N/A</v>
      </c>
      <c r="I46" s="615" t="str">
        <f>IF(ISNUMBER(VLOOKUP(B46,Server_Configs[],9,FALSE)), VLOOKUP(B46,Server_Configs[],9,FALSE), "N/A")</f>
        <v>N/A</v>
      </c>
      <c r="J46" s="617" t="str">
        <f>IF(ISNUMBER(VLOOKUP(B46,Server_Configs[],10,FALSE)), VLOOKUP(B46,Server_Configs[],10,FALSE), "N/A")</f>
        <v>N/A</v>
      </c>
      <c r="K46" s="131"/>
      <c r="L46" s="630"/>
      <c r="M46" s="633"/>
      <c r="O46" s="668"/>
      <c r="P46" s="5">
        <f>Old_Layout[[#This Row],[Proc / Chassis]]</f>
        <v>0</v>
      </c>
      <c r="Q46" s="615" t="str">
        <f>IF(ISNUMBER(VLOOKUP(P46,Server_Configs[],3,FALSE)), VLOOKUP(P46,Server_Configs[],3,FALSE), "N/A")</f>
        <v>N/A</v>
      </c>
      <c r="R46" s="616" t="str">
        <f>IF(ISNUMBER(Q46), VLOOKUP(P46,Server_Configs[],2,FALSE), "N/A")</f>
        <v>N/A</v>
      </c>
      <c r="S46" s="615" t="str">
        <f>IF(ISNUMBER('Rack Layout'!$Q46),'Rack Layout'!$R46*208/1000,"N/A")</f>
        <v>N/A</v>
      </c>
      <c r="T46" s="615" t="str">
        <f>IF(ISNUMBER(S46), VLOOKUP(P46,Server_Configs[],4,FALSE), "N/A")</f>
        <v>N/A</v>
      </c>
      <c r="U46" s="615" t="str">
        <f>IF(ISNUMBER(VLOOKUP(P46,Server_Configs[],6,FALSE)), VLOOKUP(P46,Server_Configs[],6,FALSE), "N/A")</f>
        <v>N/A</v>
      </c>
      <c r="V46" s="615" t="str">
        <f>IF(ISNUMBER(VLOOKUP(P46,Server_Configs[],8,FALSE)), VLOOKUP(P46,Server_Configs[],8,FALSE), "N/A")</f>
        <v>N/A</v>
      </c>
      <c r="W46" s="615" t="str">
        <f>IF(ISNUMBER(VLOOKUP(P46,Server_Configs[],9,FALSE)), VLOOKUP(P46,Server_Configs[],9,FALSE), "N/A")</f>
        <v>N/A</v>
      </c>
      <c r="X46" s="617" t="str">
        <f>IF(ISNUMBER(VLOOKUP(P46,Server_Configs[],10,FALSE)), VLOOKUP(P46,Server_Configs[],10,FALSE), "N/A")</f>
        <v>N/A</v>
      </c>
      <c r="Z46" s="630"/>
      <c r="AA46" s="633"/>
      <c r="AM46" s="237" t="b">
        <f>AND('Rack Layout'!$J46=1,'Rack Layout'!$F46=2)</f>
        <v>0</v>
      </c>
      <c r="AN46" s="237" t="b">
        <f>AND(New_Layout[[#This Row],[Units]]=1,New_Layout[[#This Row],[PSUs]]=2)</f>
        <v>0</v>
      </c>
    </row>
    <row r="47" spans="1:40" x14ac:dyDescent="0.3">
      <c r="A47" s="619">
        <v>45</v>
      </c>
      <c r="B47" s="620"/>
      <c r="C47" s="621" t="str">
        <f>IF(ISNUMBER(VLOOKUP(B47,Server_Configs[],3,FALSE)), VLOOKUP(B47,Server_Configs[],3,FALSE), "N/A")</f>
        <v>N/A</v>
      </c>
      <c r="D47" s="622" t="str">
        <f>IF(ISNUMBER(C47), VLOOKUP(B47,Server_Configs[],2,FALSE), "N/A")</f>
        <v>N/A</v>
      </c>
      <c r="E47" s="621" t="str">
        <f>IF(ISNUMBER('Rack Layout'!$C47),'Rack Layout'!$D47*208/1000,"N/A")</f>
        <v>N/A</v>
      </c>
      <c r="F47" s="621" t="str">
        <f>IF(ISNUMBER(E47), VLOOKUP(B47,Server_Configs[],4,FALSE), "N/A")</f>
        <v>N/A</v>
      </c>
      <c r="G47" s="621" t="str">
        <f>IF(ISNUMBER(VLOOKUP(B47,Server_Configs[],6,FALSE)), VLOOKUP(B47,Server_Configs[],6,FALSE), "N/A")</f>
        <v>N/A</v>
      </c>
      <c r="H47" s="621" t="str">
        <f>IF(ISNUMBER(VLOOKUP(B47,Server_Configs[],8,FALSE)), VLOOKUP(B47,Server_Configs[],8,FALSE), "N/A")</f>
        <v>N/A</v>
      </c>
      <c r="I47" s="621" t="str">
        <f>IF(ISNUMBER(VLOOKUP(B47,Server_Configs[],9,FALSE)), VLOOKUP(B47,Server_Configs[],9,FALSE), "N/A")</f>
        <v>N/A</v>
      </c>
      <c r="J47" s="623" t="str">
        <f>IF(ISNUMBER(VLOOKUP(B47,Server_Configs[],10,FALSE)), VLOOKUP(B47,Server_Configs[],10,FALSE), "N/A")</f>
        <v>N/A</v>
      </c>
      <c r="L47" s="630"/>
      <c r="M47" s="633"/>
      <c r="O47" s="668"/>
      <c r="P47" s="620">
        <f>Old_Layout[[#This Row],[Proc / Chassis]]</f>
        <v>0</v>
      </c>
      <c r="Q47" s="621" t="str">
        <f>IF(ISNUMBER(VLOOKUP(P47,Server_Configs[],3,FALSE)), VLOOKUP(P47,Server_Configs[],3,FALSE), "N/A")</f>
        <v>N/A</v>
      </c>
      <c r="R47" s="622" t="str">
        <f>IF(ISNUMBER(Q47), VLOOKUP(P47,Server_Configs[],2,FALSE), "N/A")</f>
        <v>N/A</v>
      </c>
      <c r="S47" s="621" t="str">
        <f>IF(ISNUMBER('Rack Layout'!$Q47),'Rack Layout'!$R47*208/1000,"N/A")</f>
        <v>N/A</v>
      </c>
      <c r="T47" s="621" t="str">
        <f>IF(ISNUMBER(S47), VLOOKUP(P47,Server_Configs[],4,FALSE), "N/A")</f>
        <v>N/A</v>
      </c>
      <c r="U47" s="621" t="str">
        <f>IF(ISNUMBER(VLOOKUP(P47,Server_Configs[],6,FALSE)), VLOOKUP(P47,Server_Configs[],6,FALSE), "N/A")</f>
        <v>N/A</v>
      </c>
      <c r="V47" s="621" t="str">
        <f>IF(ISNUMBER(VLOOKUP(P47,Server_Configs[],8,FALSE)), VLOOKUP(P47,Server_Configs[],8,FALSE), "N/A")</f>
        <v>N/A</v>
      </c>
      <c r="W47" s="621" t="str">
        <f>IF(ISNUMBER(VLOOKUP(P47,Server_Configs[],9,FALSE)), VLOOKUP(P47,Server_Configs[],9,FALSE), "N/A")</f>
        <v>N/A</v>
      </c>
      <c r="X47" s="623" t="str">
        <f>IF(ISNUMBER(VLOOKUP(P47,Server_Configs[],10,FALSE)), VLOOKUP(P47,Server_Configs[],10,FALSE), "N/A")</f>
        <v>N/A</v>
      </c>
      <c r="Z47" s="630"/>
      <c r="AA47" s="633"/>
    </row>
    <row r="48" spans="1:40" hidden="1" x14ac:dyDescent="0.3">
      <c r="B48" s="70"/>
      <c r="C48" s="131"/>
      <c r="D48" s="131"/>
      <c r="E48" s="328"/>
      <c r="F48" s="131"/>
      <c r="G48" s="131"/>
      <c r="H48" s="131"/>
      <c r="I48" s="131"/>
      <c r="J48" s="131"/>
      <c r="L48" s="625" t="s">
        <v>203</v>
      </c>
      <c r="M48" s="626">
        <f>'Rack Calc (Single Phase)'!I53</f>
        <v>0</v>
      </c>
      <c r="O48" s="131"/>
      <c r="W48" s="237"/>
      <c r="Z48" s="643" t="s">
        <v>203</v>
      </c>
      <c r="AA48" s="644">
        <f>'Rack Calc (Single Phase)'!V53</f>
        <v>0</v>
      </c>
    </row>
    <row r="49" spans="2:27" hidden="1" x14ac:dyDescent="0.3">
      <c r="B49" s="131"/>
      <c r="C49" s="131"/>
      <c r="D49" s="328"/>
      <c r="E49" s="131"/>
      <c r="F49" s="131"/>
      <c r="G49" s="131"/>
      <c r="H49" s="131"/>
      <c r="I49" s="131"/>
      <c r="J49" s="327"/>
      <c r="L49" s="425" t="s">
        <v>204</v>
      </c>
      <c r="M49" s="426">
        <f>'Rack Calc (Single Phase)'!J52</f>
        <v>0</v>
      </c>
      <c r="O49" s="131"/>
      <c r="W49" s="237"/>
      <c r="Z49" s="561" t="s">
        <v>204</v>
      </c>
      <c r="AA49" s="562">
        <f>'Rack Calc (Single Phase)'!W52</f>
        <v>0</v>
      </c>
    </row>
    <row r="50" spans="2:27" hidden="1" x14ac:dyDescent="0.3">
      <c r="B50" s="131"/>
      <c r="C50" s="131"/>
      <c r="D50" s="328"/>
      <c r="E50" s="131"/>
      <c r="F50" s="131"/>
      <c r="G50" s="131"/>
      <c r="H50" s="131"/>
      <c r="I50" s="131"/>
      <c r="J50" s="327"/>
      <c r="L50" s="423" t="s">
        <v>205</v>
      </c>
      <c r="M50" s="424">
        <f>'Rack Calc (Single Phase)'!D52</f>
        <v>0</v>
      </c>
      <c r="O50" s="131"/>
      <c r="W50" s="237"/>
      <c r="Z50" s="559" t="s">
        <v>205</v>
      </c>
      <c r="AA50" s="560">
        <f>'Rack Calc (Single Phase)'!Q52</f>
        <v>0</v>
      </c>
    </row>
    <row r="51" spans="2:27" hidden="1" x14ac:dyDescent="0.3">
      <c r="C51" s="131"/>
      <c r="D51" s="328"/>
      <c r="E51" s="131"/>
      <c r="F51" s="131"/>
      <c r="G51" s="131"/>
      <c r="H51" s="131"/>
      <c r="I51" s="131"/>
      <c r="J51" s="327"/>
      <c r="L51" s="425" t="s">
        <v>206</v>
      </c>
      <c r="M51" s="426">
        <f>'Rack Calc (Single Phase)'!D40</f>
        <v>0</v>
      </c>
      <c r="O51" s="131"/>
      <c r="W51" s="237"/>
      <c r="Z51" s="561" t="s">
        <v>206</v>
      </c>
      <c r="AA51" s="562">
        <f>'Rack Calc (Single Phase)'!Q40</f>
        <v>0</v>
      </c>
    </row>
    <row r="52" spans="2:27" hidden="1" x14ac:dyDescent="0.3">
      <c r="B52" s="131"/>
      <c r="C52" s="131"/>
      <c r="D52" s="328"/>
      <c r="E52" s="131"/>
      <c r="F52" s="131"/>
      <c r="G52" s="131"/>
      <c r="H52" s="131"/>
      <c r="I52" s="131"/>
      <c r="J52" s="327"/>
      <c r="L52" s="423" t="s">
        <v>207</v>
      </c>
      <c r="M52" s="424">
        <f>'Rack Calc (Single Phase)'!D47</f>
        <v>0</v>
      </c>
      <c r="O52" s="131"/>
      <c r="W52" s="237"/>
      <c r="Z52" s="559" t="s">
        <v>207</v>
      </c>
      <c r="AA52" s="560">
        <f>'Rack Calc (Single Phase)'!Q47</f>
        <v>0</v>
      </c>
    </row>
    <row r="53" spans="2:27" hidden="1" x14ac:dyDescent="0.3">
      <c r="B53" s="131"/>
      <c r="C53" s="131"/>
      <c r="D53" s="328"/>
      <c r="E53" s="131"/>
      <c r="F53" s="131"/>
      <c r="G53" s="131"/>
      <c r="H53" s="131"/>
      <c r="I53" s="131"/>
      <c r="J53" s="327"/>
      <c r="L53" s="425" t="s">
        <v>208</v>
      </c>
      <c r="M53" s="426">
        <f>'Rack Calc (Single Phase)'!J40</f>
        <v>0</v>
      </c>
      <c r="O53" s="131"/>
      <c r="W53" s="237"/>
      <c r="Z53" s="561" t="s">
        <v>208</v>
      </c>
      <c r="AA53" s="562">
        <f>'Rack Calc (Single Phase)'!W40</f>
        <v>0</v>
      </c>
    </row>
    <row r="54" spans="2:27" hidden="1" x14ac:dyDescent="0.3">
      <c r="B54" s="131"/>
      <c r="C54" s="131"/>
      <c r="D54" s="328"/>
      <c r="E54" s="131"/>
      <c r="F54" s="131"/>
      <c r="G54" s="131"/>
      <c r="H54" s="131"/>
      <c r="I54" s="131"/>
      <c r="J54" s="327"/>
      <c r="L54" s="423" t="s">
        <v>209</v>
      </c>
      <c r="M54" s="424">
        <f>'Rack Calc (Single Phase)'!J47</f>
        <v>0</v>
      </c>
      <c r="O54" s="131"/>
      <c r="W54" s="237"/>
      <c r="Z54" s="559" t="s">
        <v>209</v>
      </c>
      <c r="AA54" s="560">
        <f>'Rack Calc (Single Phase)'!W47</f>
        <v>0</v>
      </c>
    </row>
    <row r="55" spans="2:27" hidden="1" x14ac:dyDescent="0.3">
      <c r="B55" s="131"/>
      <c r="C55" s="131"/>
      <c r="D55" s="328"/>
      <c r="E55" s="131"/>
      <c r="F55" s="131"/>
      <c r="G55" s="131"/>
      <c r="H55" s="131"/>
      <c r="I55" s="131"/>
      <c r="J55" s="327"/>
      <c r="L55" s="798" t="s">
        <v>460</v>
      </c>
      <c r="M55" s="799"/>
      <c r="O55" s="131"/>
      <c r="W55" s="237"/>
      <c r="Z55" s="638" t="s">
        <v>460</v>
      </c>
      <c r="AA55" s="639"/>
    </row>
    <row r="56" spans="2:27" hidden="1" x14ac:dyDescent="0.3">
      <c r="B56" s="131"/>
      <c r="C56" s="131"/>
      <c r="D56" s="328"/>
      <c r="E56" s="131"/>
      <c r="F56" s="131"/>
      <c r="G56" s="131"/>
      <c r="H56" s="131"/>
      <c r="I56" s="131"/>
      <c r="J56" s="327"/>
      <c r="L56" s="423" t="s">
        <v>203</v>
      </c>
      <c r="M56" s="424">
        <f>SUM(M59:M66)*208/1000</f>
        <v>0</v>
      </c>
      <c r="O56" s="131"/>
      <c r="W56" s="237"/>
      <c r="Z56" s="423" t="s">
        <v>203</v>
      </c>
      <c r="AA56" s="424">
        <f>SUM(AA59:AA66)*208/1000</f>
        <v>0</v>
      </c>
    </row>
    <row r="57" spans="2:27" hidden="1" x14ac:dyDescent="0.3">
      <c r="D57" s="330"/>
      <c r="E57" s="329"/>
      <c r="F57" s="237"/>
      <c r="J57" s="327"/>
      <c r="L57" s="425" t="s">
        <v>465</v>
      </c>
      <c r="M57" s="426">
        <f>'Rack Calc (Single Phase) (x4)'!D52</f>
        <v>0</v>
      </c>
      <c r="O57" s="131"/>
      <c r="W57" s="237"/>
      <c r="Z57" s="425" t="s">
        <v>465</v>
      </c>
      <c r="AA57" s="426">
        <f>'Rack Calc (Single Phase) (x4)'!BH52</f>
        <v>0</v>
      </c>
    </row>
    <row r="58" spans="2:27" hidden="1" x14ac:dyDescent="0.3">
      <c r="D58" s="330"/>
      <c r="E58" s="329"/>
      <c r="F58" s="237"/>
      <c r="J58" s="327"/>
      <c r="L58" s="423" t="s">
        <v>466</v>
      </c>
      <c r="M58" s="424">
        <f>'Rack Calc (Single Phase) (x4)'!P52</f>
        <v>0</v>
      </c>
      <c r="O58" s="131"/>
      <c r="W58" s="237"/>
      <c r="Z58" s="423" t="s">
        <v>466</v>
      </c>
      <c r="AA58" s="424">
        <f>'Rack Calc (Single Phase) (x4)'!BT52</f>
        <v>0</v>
      </c>
    </row>
    <row r="59" spans="2:27" hidden="1" x14ac:dyDescent="0.3">
      <c r="D59" s="330"/>
      <c r="E59" s="329"/>
      <c r="F59" s="237"/>
      <c r="J59" s="327"/>
      <c r="L59" s="425" t="s">
        <v>206</v>
      </c>
      <c r="M59" s="426">
        <f>'Rack Calc (Single Phase) (x4)'!P40</f>
        <v>0</v>
      </c>
      <c r="O59" s="131"/>
      <c r="W59" s="237"/>
      <c r="Z59" s="425" t="s">
        <v>206</v>
      </c>
      <c r="AA59" s="426">
        <f>'Rack Calc (Single Phase) (x4)'!BT40</f>
        <v>0</v>
      </c>
    </row>
    <row r="60" spans="2:27" hidden="1" x14ac:dyDescent="0.3">
      <c r="D60" s="330"/>
      <c r="E60" s="329"/>
      <c r="F60" s="237"/>
      <c r="J60" s="327"/>
      <c r="L60" s="423" t="s">
        <v>207</v>
      </c>
      <c r="M60" s="424">
        <f>'Rack Calc (Single Phase) (x4)'!P47</f>
        <v>0</v>
      </c>
      <c r="O60" s="131"/>
      <c r="W60" s="237"/>
      <c r="Z60" s="423" t="s">
        <v>207</v>
      </c>
      <c r="AA60" s="424">
        <f>'Rack Calc (Single Phase) (x4)'!BT47</f>
        <v>0</v>
      </c>
    </row>
    <row r="61" spans="2:27" hidden="1" x14ac:dyDescent="0.3">
      <c r="D61" s="330"/>
      <c r="E61" s="329"/>
      <c r="F61" s="237"/>
      <c r="J61" s="327"/>
      <c r="L61" s="425" t="s">
        <v>208</v>
      </c>
      <c r="M61" s="426">
        <f>'Rack Calc (Single Phase) (x4)'!V40</f>
        <v>0</v>
      </c>
      <c r="O61" s="131"/>
      <c r="W61" s="237"/>
      <c r="Z61" s="425" t="s">
        <v>208</v>
      </c>
      <c r="AA61" s="426">
        <f>'Rack Calc (Single Phase) (x4)'!BZ40</f>
        <v>0</v>
      </c>
    </row>
    <row r="62" spans="2:27" hidden="1" x14ac:dyDescent="0.3">
      <c r="D62" s="330"/>
      <c r="E62" s="329"/>
      <c r="F62" s="237"/>
      <c r="J62" s="327"/>
      <c r="L62" s="423" t="s">
        <v>209</v>
      </c>
      <c r="M62" s="424">
        <f>'Rack Calc (Single Phase) (x4)'!V47</f>
        <v>0</v>
      </c>
      <c r="O62" s="131"/>
      <c r="W62" s="237"/>
      <c r="Z62" s="423" t="s">
        <v>209</v>
      </c>
      <c r="AA62" s="424">
        <f>'Rack Calc (Single Phase) (x4)'!BZ47</f>
        <v>0</v>
      </c>
    </row>
    <row r="63" spans="2:27" hidden="1" x14ac:dyDescent="0.3">
      <c r="D63" s="330"/>
      <c r="E63" s="329"/>
      <c r="F63" s="237"/>
      <c r="J63" s="327"/>
      <c r="L63" s="425" t="s">
        <v>445</v>
      </c>
      <c r="M63" s="426">
        <f>'Rack Calc (Single Phase) (x4)'!D40</f>
        <v>0</v>
      </c>
      <c r="O63" s="131"/>
      <c r="W63" s="237"/>
      <c r="Z63" s="425" t="s">
        <v>445</v>
      </c>
      <c r="AA63" s="426">
        <f>'Rack Calc (Single Phase) (x4)'!BH40</f>
        <v>0</v>
      </c>
    </row>
    <row r="64" spans="2:27" hidden="1" x14ac:dyDescent="0.3">
      <c r="D64" s="330"/>
      <c r="E64" s="329"/>
      <c r="F64" s="237"/>
      <c r="J64" s="327"/>
      <c r="L64" s="423" t="s">
        <v>446</v>
      </c>
      <c r="M64" s="424">
        <f>'Rack Calc (Single Phase) (x4)'!D47</f>
        <v>0</v>
      </c>
      <c r="O64" s="131"/>
      <c r="Z64" s="423" t="s">
        <v>446</v>
      </c>
      <c r="AA64" s="424">
        <f>'Rack Calc (Single Phase) (x4)'!BH47</f>
        <v>0</v>
      </c>
    </row>
    <row r="65" spans="4:27" hidden="1" x14ac:dyDescent="0.3">
      <c r="D65" s="330"/>
      <c r="E65" s="329"/>
      <c r="F65" s="237"/>
      <c r="J65" s="327"/>
      <c r="L65" s="425" t="s">
        <v>447</v>
      </c>
      <c r="M65" s="426">
        <f>'Rack Calc (Single Phase) (x4)'!J40</f>
        <v>0</v>
      </c>
      <c r="O65" s="131"/>
      <c r="Z65" s="425" t="s">
        <v>447</v>
      </c>
      <c r="AA65" s="426">
        <f>'Rack Calc (Single Phase) (x4)'!BN40</f>
        <v>0</v>
      </c>
    </row>
    <row r="66" spans="4:27" hidden="1" x14ac:dyDescent="0.3">
      <c r="D66" s="330"/>
      <c r="E66" s="329"/>
      <c r="F66" s="237"/>
      <c r="J66" s="327"/>
      <c r="L66" s="423" t="s">
        <v>448</v>
      </c>
      <c r="M66" s="424">
        <f>'Rack Calc (Single Phase) (x4)'!J47</f>
        <v>0</v>
      </c>
      <c r="O66" s="131"/>
      <c r="Z66" s="423" t="s">
        <v>448</v>
      </c>
      <c r="AA66" s="424">
        <f>'Rack Calc (Single Phase) (x4)'!BN47</f>
        <v>0</v>
      </c>
    </row>
    <row r="67" spans="4:27" hidden="1" x14ac:dyDescent="0.3">
      <c r="D67" s="330"/>
      <c r="E67" s="329"/>
      <c r="F67" s="237"/>
      <c r="J67" s="327"/>
      <c r="L67" s="600" t="s">
        <v>372</v>
      </c>
      <c r="M67" s="601"/>
      <c r="O67" s="131"/>
      <c r="Z67" s="600" t="s">
        <v>372</v>
      </c>
      <c r="AA67" s="601"/>
    </row>
    <row r="68" spans="4:27" hidden="1" x14ac:dyDescent="0.3">
      <c r="D68" s="330"/>
      <c r="E68" s="329"/>
      <c r="F68" s="237"/>
      <c r="J68" s="327"/>
      <c r="L68" s="115" t="s">
        <v>203</v>
      </c>
      <c r="M68" s="135">
        <f>'Rack Calc (Three Phase)'!P29</f>
        <v>0</v>
      </c>
      <c r="O68" s="131"/>
      <c r="Z68" s="115" t="s">
        <v>203</v>
      </c>
      <c r="AA68" s="135">
        <f>'Rack Calc (Three Phase)'!AS29</f>
        <v>0</v>
      </c>
    </row>
    <row r="69" spans="4:27" hidden="1" x14ac:dyDescent="0.3">
      <c r="D69" s="330"/>
      <c r="E69" s="329"/>
      <c r="F69" s="237"/>
      <c r="J69" s="327"/>
      <c r="L69" s="599" t="s">
        <v>354</v>
      </c>
      <c r="M69" s="599"/>
      <c r="O69" s="131"/>
      <c r="Z69" s="599" t="s">
        <v>354</v>
      </c>
      <c r="AA69" s="599"/>
    </row>
    <row r="70" spans="4:27" hidden="1" x14ac:dyDescent="0.3">
      <c r="D70" s="330"/>
      <c r="E70" s="329"/>
      <c r="F70" s="237"/>
      <c r="J70" s="327"/>
      <c r="L70" s="134" t="s">
        <v>369</v>
      </c>
      <c r="M70" s="427">
        <f>'Rack Calc (Three Phase)'!P9</f>
        <v>0</v>
      </c>
      <c r="O70" s="131"/>
      <c r="Z70" s="134" t="s">
        <v>369</v>
      </c>
      <c r="AA70" s="427">
        <f>'Rack Calc (Three Phase)'!AS9</f>
        <v>0</v>
      </c>
    </row>
    <row r="71" spans="4:27" hidden="1" x14ac:dyDescent="0.3">
      <c r="D71" s="330"/>
      <c r="E71" s="329"/>
      <c r="F71" s="237"/>
      <c r="J71" s="327"/>
      <c r="L71" s="115" t="s">
        <v>370</v>
      </c>
      <c r="M71" s="135">
        <f>'Rack Calc (Three Phase)'!P10</f>
        <v>0</v>
      </c>
      <c r="Z71" s="115" t="s">
        <v>370</v>
      </c>
      <c r="AA71" s="135">
        <f>'Rack Calc (Three Phase)'!AS10</f>
        <v>0</v>
      </c>
    </row>
    <row r="72" spans="4:27" hidden="1" x14ac:dyDescent="0.3">
      <c r="L72" s="134" t="s">
        <v>371</v>
      </c>
      <c r="M72" s="427">
        <f>'Rack Calc (Three Phase)'!P11</f>
        <v>0</v>
      </c>
      <c r="Z72" s="134" t="s">
        <v>371</v>
      </c>
      <c r="AA72" s="427">
        <f>'Rack Calc (Three Phase)'!AS21</f>
        <v>0</v>
      </c>
    </row>
    <row r="73" spans="4:27" hidden="1" x14ac:dyDescent="0.3">
      <c r="L73" s="115" t="s">
        <v>373</v>
      </c>
      <c r="M73" s="135">
        <f>'Rack Calc (Three Phase)'!P4</f>
        <v>0</v>
      </c>
      <c r="Z73" s="115" t="s">
        <v>373</v>
      </c>
      <c r="AA73" s="135">
        <f>'Rack Calc (Three Phase)'!AS4</f>
        <v>0</v>
      </c>
    </row>
    <row r="74" spans="4:27" hidden="1" x14ac:dyDescent="0.3">
      <c r="L74" s="134" t="s">
        <v>375</v>
      </c>
      <c r="M74" s="427">
        <f>'Rack Calc (Three Phase)'!P5</f>
        <v>0</v>
      </c>
      <c r="Z74" s="134" t="s">
        <v>375</v>
      </c>
      <c r="AA74" s="427">
        <f>'Rack Calc (Three Phase)'!AS5</f>
        <v>0</v>
      </c>
    </row>
    <row r="75" spans="4:27" hidden="1" x14ac:dyDescent="0.3">
      <c r="L75" s="115" t="s">
        <v>374</v>
      </c>
      <c r="M75" s="135">
        <f>'Rack Calc (Three Phase)'!P6</f>
        <v>0</v>
      </c>
      <c r="Z75" s="115" t="s">
        <v>374</v>
      </c>
      <c r="AA75" s="135">
        <f>'Rack Calc (Three Phase)'!AS6</f>
        <v>0</v>
      </c>
    </row>
    <row r="76" spans="4:27" hidden="1" x14ac:dyDescent="0.3">
      <c r="L76" s="599" t="s">
        <v>360</v>
      </c>
      <c r="M76" s="599"/>
      <c r="Z76" s="599" t="s">
        <v>360</v>
      </c>
      <c r="AA76" s="599"/>
    </row>
    <row r="77" spans="4:27" hidden="1" x14ac:dyDescent="0.3">
      <c r="L77" s="134" t="s">
        <v>366</v>
      </c>
      <c r="M77" s="427">
        <f>'Rack Calc (Three Phase)'!P19</f>
        <v>0</v>
      </c>
      <c r="Z77" s="134" t="s">
        <v>366</v>
      </c>
      <c r="AA77" s="427">
        <f>'Rack Calc (Three Phase)'!AS19</f>
        <v>0</v>
      </c>
    </row>
    <row r="78" spans="4:27" hidden="1" x14ac:dyDescent="0.3">
      <c r="L78" s="115" t="s">
        <v>368</v>
      </c>
      <c r="M78" s="135">
        <f>'Rack Calc (Three Phase)'!P20</f>
        <v>0</v>
      </c>
      <c r="Z78" s="115" t="s">
        <v>368</v>
      </c>
      <c r="AA78" s="135">
        <f>'Rack Calc (Three Phase)'!AS20</f>
        <v>0</v>
      </c>
    </row>
    <row r="79" spans="4:27" hidden="1" x14ac:dyDescent="0.3">
      <c r="L79" s="134" t="s">
        <v>367</v>
      </c>
      <c r="M79" s="427">
        <f>'Rack Calc (Three Phase)'!P21</f>
        <v>0</v>
      </c>
      <c r="Z79" s="134" t="s">
        <v>367</v>
      </c>
      <c r="AA79" s="427">
        <f>'Rack Calc (Three Phase)'!AS21</f>
        <v>0</v>
      </c>
    </row>
    <row r="80" spans="4:27" hidden="1" x14ac:dyDescent="0.3">
      <c r="L80" s="115" t="s">
        <v>376</v>
      </c>
      <c r="M80" s="135">
        <f>'Rack Calc (Three Phase)'!P14</f>
        <v>0</v>
      </c>
      <c r="Z80" s="115" t="s">
        <v>376</v>
      </c>
      <c r="AA80" s="135">
        <f>'Rack Calc (Three Phase)'!AS14</f>
        <v>0</v>
      </c>
    </row>
    <row r="81" spans="12:27" hidden="1" x14ac:dyDescent="0.3">
      <c r="L81" s="134" t="s">
        <v>377</v>
      </c>
      <c r="M81" s="427">
        <f>'Rack Calc (Three Phase)'!P15</f>
        <v>0</v>
      </c>
      <c r="Z81" s="134" t="s">
        <v>377</v>
      </c>
      <c r="AA81" s="427">
        <f>'Rack Calc (Three Phase)'!AS15</f>
        <v>0</v>
      </c>
    </row>
    <row r="82" spans="12:27" hidden="1" x14ac:dyDescent="0.3">
      <c r="L82" s="115" t="s">
        <v>378</v>
      </c>
      <c r="M82" s="135">
        <f>'Rack Calc (Three Phase)'!P16</f>
        <v>0</v>
      </c>
      <c r="Z82" s="115" t="s">
        <v>378</v>
      </c>
      <c r="AA82" s="135">
        <f>'Rack Calc (Three Phase)'!AS16</f>
        <v>0</v>
      </c>
    </row>
    <row r="83" spans="12:27" hidden="1" x14ac:dyDescent="0.3">
      <c r="L83" s="602" t="s">
        <v>205</v>
      </c>
      <c r="M83" s="603"/>
      <c r="Z83" s="602" t="s">
        <v>205</v>
      </c>
      <c r="AA83" s="603"/>
    </row>
    <row r="84" spans="12:27" hidden="1" x14ac:dyDescent="0.3">
      <c r="L84" s="428" t="s">
        <v>383</v>
      </c>
      <c r="M84" s="429">
        <f>'Rack Calc (Three Phase)'!P24</f>
        <v>0</v>
      </c>
      <c r="Z84" s="428" t="s">
        <v>383</v>
      </c>
      <c r="AA84" s="429">
        <f>'Rack Calc (Three Phase)'!AS24</f>
        <v>0</v>
      </c>
    </row>
    <row r="85" spans="12:27" hidden="1" x14ac:dyDescent="0.3">
      <c r="L85" s="430" t="s">
        <v>381</v>
      </c>
      <c r="M85" s="431">
        <f>'Rack Calc (Three Phase)'!P25</f>
        <v>0</v>
      </c>
      <c r="Z85" s="430" t="s">
        <v>381</v>
      </c>
      <c r="AA85" s="431">
        <f>'Rack Calc (Three Phase)'!AS25</f>
        <v>0</v>
      </c>
    </row>
    <row r="86" spans="12:27" hidden="1" x14ac:dyDescent="0.3">
      <c r="L86" s="428" t="s">
        <v>382</v>
      </c>
      <c r="M86" s="429">
        <f>'Rack Calc (Three Phase)'!P26</f>
        <v>0</v>
      </c>
      <c r="Z86" s="428" t="s">
        <v>382</v>
      </c>
      <c r="AA86" s="429">
        <f>'Rack Calc (Three Phase)'!AS26</f>
        <v>0</v>
      </c>
    </row>
    <row r="87" spans="12:27" hidden="1" x14ac:dyDescent="0.3">
      <c r="L87" s="604" t="s">
        <v>489</v>
      </c>
      <c r="M87" s="604"/>
      <c r="Z87" s="635" t="s">
        <v>489</v>
      </c>
      <c r="AA87" s="635"/>
    </row>
    <row r="88" spans="12:27" hidden="1" x14ac:dyDescent="0.3">
      <c r="L88" s="471" t="s">
        <v>203</v>
      </c>
      <c r="M88" s="473">
        <f>'Rack Calc (Three Phase) (400V)'!P14</f>
        <v>0</v>
      </c>
      <c r="Z88" s="471" t="s">
        <v>203</v>
      </c>
      <c r="AA88" s="473">
        <f>'Rack Calc (Three Phase) (400V)'!AS14</f>
        <v>0</v>
      </c>
    </row>
    <row r="89" spans="12:27" hidden="1" x14ac:dyDescent="0.3">
      <c r="L89" s="602" t="s">
        <v>467</v>
      </c>
      <c r="M89" s="603"/>
      <c r="Z89" s="636" t="s">
        <v>467</v>
      </c>
      <c r="AA89" s="637"/>
    </row>
    <row r="90" spans="12:27" hidden="1" x14ac:dyDescent="0.3">
      <c r="L90" s="471" t="s">
        <v>490</v>
      </c>
      <c r="M90" s="473">
        <f>'Rack Calc (Three Phase) (400V)'!P4</f>
        <v>0</v>
      </c>
      <c r="Z90" s="471" t="s">
        <v>490</v>
      </c>
      <c r="AA90" s="473">
        <f>'Rack Calc (Three Phase) (400V)'!AS4</f>
        <v>0</v>
      </c>
    </row>
    <row r="91" spans="12:27" hidden="1" x14ac:dyDescent="0.3">
      <c r="L91" s="472" t="s">
        <v>491</v>
      </c>
      <c r="M91" s="474">
        <f>'Rack Calc (Three Phase) (400V)'!P5</f>
        <v>0</v>
      </c>
      <c r="Z91" s="472" t="s">
        <v>491</v>
      </c>
      <c r="AA91" s="474">
        <f>'Rack Calc (Three Phase) (400V)'!AS5</f>
        <v>0</v>
      </c>
    </row>
    <row r="92" spans="12:27" hidden="1" x14ac:dyDescent="0.3">
      <c r="L92" s="471" t="s">
        <v>492</v>
      </c>
      <c r="M92" s="473">
        <f>'Rack Calc (Three Phase) (400V)'!P6</f>
        <v>0</v>
      </c>
      <c r="Z92" s="471" t="s">
        <v>492</v>
      </c>
      <c r="AA92" s="473">
        <f>'Rack Calc (Three Phase) (400V)'!AS6</f>
        <v>0</v>
      </c>
    </row>
    <row r="93" spans="12:27" hidden="1" x14ac:dyDescent="0.3">
      <c r="L93" s="602" t="s">
        <v>468</v>
      </c>
      <c r="M93" s="603"/>
      <c r="Z93" s="636" t="s">
        <v>468</v>
      </c>
      <c r="AA93" s="637"/>
    </row>
    <row r="94" spans="12:27" hidden="1" x14ac:dyDescent="0.3">
      <c r="L94" s="471" t="s">
        <v>493</v>
      </c>
      <c r="M94" s="473">
        <f>'Rack Calc (Three Phase) (400V)'!P9</f>
        <v>0</v>
      </c>
      <c r="Z94" s="471" t="s">
        <v>493</v>
      </c>
      <c r="AA94" s="473">
        <f>'Rack Calc (Three Phase) (400V)'!AS9</f>
        <v>0</v>
      </c>
    </row>
    <row r="95" spans="12:27" hidden="1" x14ac:dyDescent="0.3">
      <c r="L95" s="472" t="s">
        <v>494</v>
      </c>
      <c r="M95" s="474">
        <f>'Rack Calc (Three Phase) (400V)'!P10</f>
        <v>0</v>
      </c>
      <c r="Z95" s="472" t="s">
        <v>494</v>
      </c>
      <c r="AA95" s="474">
        <f>'Rack Calc (Three Phase) (400V)'!AS10</f>
        <v>0</v>
      </c>
    </row>
    <row r="96" spans="12:27" hidden="1" x14ac:dyDescent="0.3">
      <c r="L96" s="471" t="s">
        <v>495</v>
      </c>
      <c r="M96" s="473">
        <f>'Rack Calc (Three Phase) (400V)'!P11</f>
        <v>0</v>
      </c>
      <c r="Z96" s="471" t="s">
        <v>495</v>
      </c>
      <c r="AA96" s="473">
        <f>'Rack Calc (Three Phase) (400V)'!AS11</f>
        <v>0</v>
      </c>
    </row>
    <row r="97" spans="12:27" hidden="1" x14ac:dyDescent="0.3">
      <c r="L97" s="667" t="s">
        <v>557</v>
      </c>
      <c r="M97" s="667"/>
      <c r="Z97" s="667" t="s">
        <v>557</v>
      </c>
      <c r="AA97" s="667"/>
    </row>
    <row r="98" spans="12:27" hidden="1" x14ac:dyDescent="0.3">
      <c r="L98" s="625" t="s">
        <v>203</v>
      </c>
      <c r="M98" s="626">
        <f>'Rack Calc (Single Phase x48)'!H75</f>
        <v>0</v>
      </c>
      <c r="Z98" s="625" t="s">
        <v>203</v>
      </c>
      <c r="AA98" s="626">
        <f>'Rack Calc (Single Phase x48)'!AU75</f>
        <v>0</v>
      </c>
    </row>
    <row r="99" spans="12:27" hidden="1" x14ac:dyDescent="0.3">
      <c r="L99" s="425" t="s">
        <v>204</v>
      </c>
      <c r="M99" s="426">
        <f>'Rack Calc (Single Phase x48)'!D73</f>
        <v>0</v>
      </c>
      <c r="Z99" s="425" t="s">
        <v>204</v>
      </c>
      <c r="AA99" s="426">
        <f>'Rack Calc (Single Phase x48)'!AQ73</f>
        <v>0</v>
      </c>
    </row>
    <row r="100" spans="12:27" hidden="1" x14ac:dyDescent="0.3">
      <c r="L100" s="423" t="s">
        <v>205</v>
      </c>
      <c r="M100" s="424">
        <f>'Rack Calc (Single Phase x48)'!D74</f>
        <v>0</v>
      </c>
      <c r="Z100" s="423" t="s">
        <v>205</v>
      </c>
      <c r="AA100" s="424">
        <f>'Rack Calc (Single Phase x48)'!AQ74</f>
        <v>0</v>
      </c>
    </row>
    <row r="101" spans="12:27" hidden="1" x14ac:dyDescent="0.3">
      <c r="L101" s="425" t="s">
        <v>206</v>
      </c>
      <c r="M101" s="426">
        <f>'Rack Calc (Single Phase x48)'!D62</f>
        <v>0</v>
      </c>
      <c r="Z101" s="425" t="s">
        <v>206</v>
      </c>
      <c r="AA101" s="426">
        <f>'Rack Calc (Single Phase x48)'!AQ62</f>
        <v>0</v>
      </c>
    </row>
    <row r="102" spans="12:27" hidden="1" x14ac:dyDescent="0.3">
      <c r="L102" s="423" t="s">
        <v>207</v>
      </c>
      <c r="M102" s="424">
        <f>'Rack Calc (Single Phase x48)'!D69</f>
        <v>0</v>
      </c>
      <c r="Z102" s="423" t="s">
        <v>207</v>
      </c>
      <c r="AA102" s="424">
        <f>'Rack Calc (Single Phase x48)'!AQ69</f>
        <v>0</v>
      </c>
    </row>
    <row r="103" spans="12:27" hidden="1" x14ac:dyDescent="0.3">
      <c r="L103" s="425" t="s">
        <v>208</v>
      </c>
      <c r="M103" s="426">
        <f>'Rack Calc (Single Phase x48)'!J62</f>
        <v>0</v>
      </c>
      <c r="Z103" s="425" t="s">
        <v>208</v>
      </c>
      <c r="AA103" s="426">
        <f>'Rack Calc (Single Phase x48)'!AW62</f>
        <v>0</v>
      </c>
    </row>
    <row r="104" spans="12:27" hidden="1" x14ac:dyDescent="0.3">
      <c r="L104" s="423" t="s">
        <v>209</v>
      </c>
      <c r="M104" s="424">
        <f>'Rack Calc (Single Phase x48)'!J69</f>
        <v>0</v>
      </c>
      <c r="Z104" s="423" t="s">
        <v>209</v>
      </c>
      <c r="AA104" s="424">
        <f>'Rack Calc (Single Phase x48)'!AW69</f>
        <v>0</v>
      </c>
    </row>
    <row r="105" spans="12:27" hidden="1" x14ac:dyDescent="0.3">
      <c r="L105" s="667" t="s">
        <v>564</v>
      </c>
      <c r="M105" s="667"/>
      <c r="Z105" s="667" t="s">
        <v>564</v>
      </c>
      <c r="AA105" s="667"/>
    </row>
    <row r="106" spans="12:27" hidden="1" x14ac:dyDescent="0.3">
      <c r="L106" s="625" t="s">
        <v>203</v>
      </c>
      <c r="M106" s="626">
        <f>'Rack Calc (Single Phase 48 230)'!H75</f>
        <v>0</v>
      </c>
      <c r="Z106" s="625" t="s">
        <v>203</v>
      </c>
      <c r="AA106" s="626">
        <f>'Rack Calc (Single Phase 48 230)'!AU75</f>
        <v>0</v>
      </c>
    </row>
    <row r="107" spans="12:27" hidden="1" x14ac:dyDescent="0.3">
      <c r="L107" s="425" t="s">
        <v>204</v>
      </c>
      <c r="M107" s="426">
        <f>'Rack Calc (Single Phase 48 230)'!D73</f>
        <v>0</v>
      </c>
      <c r="Z107" s="425" t="s">
        <v>204</v>
      </c>
      <c r="AA107" s="426">
        <f>'Rack Calc (Single Phase 48 230)'!AQ73</f>
        <v>0</v>
      </c>
    </row>
    <row r="108" spans="12:27" hidden="1" x14ac:dyDescent="0.3">
      <c r="L108" s="423" t="s">
        <v>205</v>
      </c>
      <c r="M108" s="424">
        <f>'Rack Calc (Single Phase 48 230)'!D74</f>
        <v>0</v>
      </c>
      <c r="Z108" s="423" t="s">
        <v>205</v>
      </c>
      <c r="AA108" s="424">
        <f>'Rack Calc (Single Phase 48 230)'!AQ74</f>
        <v>0</v>
      </c>
    </row>
    <row r="109" spans="12:27" hidden="1" x14ac:dyDescent="0.3">
      <c r="L109" s="425" t="s">
        <v>206</v>
      </c>
      <c r="M109" s="426">
        <f>'Rack Calc (Single Phase 48 230)'!D62</f>
        <v>0</v>
      </c>
      <c r="Z109" s="425" t="s">
        <v>206</v>
      </c>
      <c r="AA109" s="426">
        <f>'Rack Calc (Single Phase 48 230)'!AQ62</f>
        <v>0</v>
      </c>
    </row>
    <row r="110" spans="12:27" hidden="1" x14ac:dyDescent="0.3">
      <c r="L110" s="423" t="s">
        <v>207</v>
      </c>
      <c r="M110" s="424">
        <f>'Rack Calc (Single Phase 48 230)'!D69</f>
        <v>0</v>
      </c>
      <c r="Z110" s="423" t="s">
        <v>207</v>
      </c>
      <c r="AA110" s="424">
        <f>'Rack Calc (Single Phase 48 230)'!AQ69</f>
        <v>0</v>
      </c>
    </row>
    <row r="111" spans="12:27" hidden="1" x14ac:dyDescent="0.3">
      <c r="L111" s="425" t="s">
        <v>208</v>
      </c>
      <c r="M111" s="426">
        <f>'Rack Calc (Single Phase 48 230)'!J62</f>
        <v>0</v>
      </c>
      <c r="Z111" s="425" t="s">
        <v>208</v>
      </c>
      <c r="AA111" s="426">
        <f>'Rack Calc (Single Phase 48 230)'!AW62</f>
        <v>0</v>
      </c>
    </row>
    <row r="112" spans="12:27" hidden="1" x14ac:dyDescent="0.3">
      <c r="L112" s="423" t="s">
        <v>209</v>
      </c>
      <c r="M112" s="424">
        <f>'Rack Calc (Single Phase 48 230)'!J69</f>
        <v>0</v>
      </c>
      <c r="Z112" s="423" t="s">
        <v>209</v>
      </c>
      <c r="AA112" s="424">
        <f>'Rack Calc (Single Phase 48 230)'!AW69</f>
        <v>0</v>
      </c>
    </row>
  </sheetData>
  <sheetProtection autoFilter="0"/>
  <dataConsolidate/>
  <mergeCells count="29">
    <mergeCell ref="AE32:AF32"/>
    <mergeCell ref="AC25:AD25"/>
    <mergeCell ref="AC26:AD26"/>
    <mergeCell ref="AC27:AD27"/>
    <mergeCell ref="AE30:AF30"/>
    <mergeCell ref="AE31:AF31"/>
    <mergeCell ref="AC28:AF28"/>
    <mergeCell ref="AE29:AF29"/>
    <mergeCell ref="AE25:AF25"/>
    <mergeCell ref="AE26:AF26"/>
    <mergeCell ref="AE27:AF27"/>
    <mergeCell ref="L55:M55"/>
    <mergeCell ref="AC32:AD32"/>
    <mergeCell ref="AC29:AD29"/>
    <mergeCell ref="AC30:AD30"/>
    <mergeCell ref="AC31:AD31"/>
    <mergeCell ref="AC24:AD24"/>
    <mergeCell ref="AE24:AF24"/>
    <mergeCell ref="L1:M1"/>
    <mergeCell ref="L2:M2"/>
    <mergeCell ref="Z1:AA1"/>
    <mergeCell ref="AC23:AF23"/>
    <mergeCell ref="Z2:AA2"/>
    <mergeCell ref="L4:M4"/>
    <mergeCell ref="Z4:AA4"/>
    <mergeCell ref="L18:M18"/>
    <mergeCell ref="L11:M11"/>
    <mergeCell ref="Z18:AA18"/>
    <mergeCell ref="Z11:AA11"/>
  </mergeCells>
  <conditionalFormatting sqref="M68">
    <cfRule type="cellIs" dxfId="274" priority="109" operator="greaterThan">
      <formula>8</formula>
    </cfRule>
  </conditionalFormatting>
  <conditionalFormatting sqref="M68">
    <cfRule type="cellIs" dxfId="273" priority="98" operator="greaterThan">
      <formula>8</formula>
    </cfRule>
  </conditionalFormatting>
  <conditionalFormatting sqref="M70:M72 M77:M79">
    <cfRule type="cellIs" dxfId="272" priority="96" operator="greaterThan">
      <formula>15</formula>
    </cfRule>
  </conditionalFormatting>
  <conditionalFormatting sqref="AA48">
    <cfRule type="cellIs" dxfId="271" priority="95" operator="greaterThan">
      <formula>8</formula>
    </cfRule>
  </conditionalFormatting>
  <conditionalFormatting sqref="AA49:AA50">
    <cfRule type="cellIs" dxfId="270" priority="94" operator="greaterThan">
      <formula>50</formula>
    </cfRule>
  </conditionalFormatting>
  <conditionalFormatting sqref="AA51:AA54">
    <cfRule type="cellIs" dxfId="269" priority="93" operator="greaterThan">
      <formula>15</formula>
    </cfRule>
  </conditionalFormatting>
  <conditionalFormatting sqref="AA68">
    <cfRule type="cellIs" dxfId="268" priority="92" operator="greaterThan">
      <formula>8</formula>
    </cfRule>
  </conditionalFormatting>
  <conditionalFormatting sqref="AA68">
    <cfRule type="cellIs" dxfId="267" priority="91" operator="greaterThan">
      <formula>8</formula>
    </cfRule>
  </conditionalFormatting>
  <conditionalFormatting sqref="AA70:AA72 AA77:AA79">
    <cfRule type="cellIs" dxfId="266" priority="90" operator="greaterThan">
      <formula>15</formula>
    </cfRule>
  </conditionalFormatting>
  <conditionalFormatting sqref="M48 M50 M52 M54">
    <cfRule type="containsBlanks" dxfId="265" priority="111">
      <formula>LEN(TRIM(M48))=0</formula>
    </cfRule>
  </conditionalFormatting>
  <conditionalFormatting sqref="M49 M51 M53">
    <cfRule type="containsBlanks" dxfId="264" priority="112">
      <formula>LEN(TRIM(M49))=0</formula>
    </cfRule>
  </conditionalFormatting>
  <conditionalFormatting sqref="M56 M58 M60 M62 M64 M66">
    <cfRule type="cellIs" dxfId="263" priority="49" operator="greaterThan">
      <formula>25</formula>
    </cfRule>
  </conditionalFormatting>
  <conditionalFormatting sqref="M57 M59 M61 M63 M65">
    <cfRule type="cellIs" dxfId="262" priority="48" operator="greaterThan">
      <formula>25</formula>
    </cfRule>
  </conditionalFormatting>
  <conditionalFormatting sqref="AA56 AA58 AA60 AA62 AA64 AA66">
    <cfRule type="cellIs" dxfId="261" priority="47" operator="greaterThan">
      <formula>25</formula>
    </cfRule>
  </conditionalFormatting>
  <conditionalFormatting sqref="AA57 AA59 AA61 AA63 AA65">
    <cfRule type="cellIs" dxfId="260" priority="46" operator="greaterThan">
      <formula>25</formula>
    </cfRule>
  </conditionalFormatting>
  <conditionalFormatting sqref="M98 M100 M102 M104">
    <cfRule type="containsBlanks" dxfId="259" priority="7">
      <formula>LEN(TRIM(M98))=0</formula>
    </cfRule>
  </conditionalFormatting>
  <conditionalFormatting sqref="M99 M101 M103">
    <cfRule type="containsBlanks" dxfId="258" priority="8">
      <formula>LEN(TRIM(M99))=0</formula>
    </cfRule>
  </conditionalFormatting>
  <conditionalFormatting sqref="AA98 AA100 AA102 AA104">
    <cfRule type="containsBlanks" dxfId="257" priority="5">
      <formula>LEN(TRIM(AA98))=0</formula>
    </cfRule>
  </conditionalFormatting>
  <conditionalFormatting sqref="AA99 AA101 AA103">
    <cfRule type="containsBlanks" dxfId="256" priority="6">
      <formula>LEN(TRIM(AA99))=0</formula>
    </cfRule>
  </conditionalFormatting>
  <conditionalFormatting sqref="M106 M108 M110 M112">
    <cfRule type="containsBlanks" dxfId="255" priority="3">
      <formula>LEN(TRIM(M106))=0</formula>
    </cfRule>
  </conditionalFormatting>
  <conditionalFormatting sqref="M107 M109 M111">
    <cfRule type="containsBlanks" dxfId="254" priority="4">
      <formula>LEN(TRIM(M107))=0</formula>
    </cfRule>
  </conditionalFormatting>
  <conditionalFormatting sqref="AA106 AA108 AA110 AA112">
    <cfRule type="containsBlanks" dxfId="253" priority="1">
      <formula>LEN(TRIM(AA106))=0</formula>
    </cfRule>
  </conditionalFormatting>
  <conditionalFormatting sqref="AA107 AA109 AA111">
    <cfRule type="containsBlanks" dxfId="252" priority="2">
      <formula>LEN(TRIM(AA107))=0</formula>
    </cfRule>
  </conditionalFormatting>
  <dataValidations count="2">
    <dataValidation type="list" allowBlank="1" showInputMessage="1" showErrorMessage="1" sqref="B3:B47 P3:P47" xr:uid="{00000000-0002-0000-1000-000000000000}">
      <formula1>Server_List</formula1>
    </dataValidation>
    <dataValidation type="list" allowBlank="1" showInputMessage="1" showErrorMessage="1" sqref="L2:M2 Z2:AA2" xr:uid="{00000000-0002-0000-1000-000001000000}">
      <formula1>Power_Layouts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ResetNewRackConfig">
                <anchor moveWithCells="1">
                  <from>
                    <xdr:col>11</xdr:col>
                    <xdr:colOff>0</xdr:colOff>
                    <xdr:row>34</xdr:row>
                    <xdr:rowOff>7620</xdr:rowOff>
                  </from>
                  <to>
                    <xdr:col>12</xdr:col>
                    <xdr:colOff>723900</xdr:colOff>
                    <xdr:row>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" name="Button 22">
              <controlPr defaultSize="0" print="0" autoFill="0" autoPict="0" macro="[0]!ResetOldRackConfig">
                <anchor moveWithCells="1">
                  <from>
                    <xdr:col>11</xdr:col>
                    <xdr:colOff>0</xdr:colOff>
                    <xdr:row>16</xdr:row>
                    <xdr:rowOff>7620</xdr:rowOff>
                  </from>
                  <to>
                    <xdr:col>12</xdr:col>
                    <xdr:colOff>723900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6" name="Button 35">
              <controlPr defaultSize="0" print="0" autoFill="0" autoPict="0" macro="[0]!ResetOldRackConfig">
                <anchor moveWithCells="1">
                  <from>
                    <xdr:col>28</xdr:col>
                    <xdr:colOff>0</xdr:colOff>
                    <xdr:row>32</xdr:row>
                    <xdr:rowOff>160020</xdr:rowOff>
                  </from>
                  <to>
                    <xdr:col>32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7" name="Button 36">
              <controlPr defaultSize="0" print="0" autoFill="0" autoPict="0" macro="[0]!ResetNewRackConfig">
                <anchor moveWithCells="1">
                  <from>
                    <xdr:col>28</xdr:col>
                    <xdr:colOff>0</xdr:colOff>
                    <xdr:row>34</xdr:row>
                    <xdr:rowOff>144780</xdr:rowOff>
                  </from>
                  <to>
                    <xdr:col>31</xdr:col>
                    <xdr:colOff>594360</xdr:colOff>
                    <xdr:row>35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8" name="Button 46">
              <controlPr defaultSize="0" print="0" autoFill="0" autoPict="0" macro="[0]!ResetNewRackConfig">
                <anchor moveWithCells="1">
                  <from>
                    <xdr:col>25</xdr:col>
                    <xdr:colOff>0</xdr:colOff>
                    <xdr:row>45</xdr:row>
                    <xdr:rowOff>7620</xdr:rowOff>
                  </from>
                  <to>
                    <xdr:col>26</xdr:col>
                    <xdr:colOff>723900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LBoxSavedLayouts">
              <controlPr locked="0" defaultSize="0" autoLine="0" autoPict="0" macro="[0]!UserForm4_show">
                <anchor moveWithCells="1" sizeWithCells="1">
                  <from>
                    <xdr:col>28</xdr:col>
                    <xdr:colOff>60960</xdr:colOff>
                    <xdr:row>1</xdr:row>
                    <xdr:rowOff>121920</xdr:rowOff>
                  </from>
                  <to>
                    <xdr:col>31</xdr:col>
                    <xdr:colOff>426720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0" name="Group Box 78">
              <controlPr defaultSize="0" autoFill="0" autoPict="0">
                <anchor moveWithCells="1" sizeWithCells="1">
                  <from>
                    <xdr:col>27</xdr:col>
                    <xdr:colOff>83820</xdr:colOff>
                    <xdr:row>0</xdr:row>
                    <xdr:rowOff>175260</xdr:rowOff>
                  </from>
                  <to>
                    <xdr:col>32</xdr:col>
                    <xdr:colOff>114300</xdr:colOff>
                    <xdr:row>21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1" name="Button 80">
              <controlPr defaultSize="0" print="0" autoFill="0" autoPict="0" macro="[0]!UserForm6_show">
                <anchor moveWithCells="1">
                  <from>
                    <xdr:col>27</xdr:col>
                    <xdr:colOff>601980</xdr:colOff>
                    <xdr:row>16</xdr:row>
                    <xdr:rowOff>160020</xdr:rowOff>
                  </from>
                  <to>
                    <xdr:col>32</xdr:col>
                    <xdr:colOff>7620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12" name="Button 87">
              <controlPr defaultSize="0" print="0" autoFill="0" autoPict="0" macro="[0]!ResetOldRackConfig">
                <anchor moveWithCells="1">
                  <from>
                    <xdr:col>25</xdr:col>
                    <xdr:colOff>0</xdr:colOff>
                    <xdr:row>16</xdr:row>
                    <xdr:rowOff>7620</xdr:rowOff>
                  </from>
                  <to>
                    <xdr:col>26</xdr:col>
                    <xdr:colOff>723900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13"/>
    <tablePart r:id="rId1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6" tint="-0.499984740745262"/>
  </sheetPr>
  <dimension ref="A1:AO53"/>
  <sheetViews>
    <sheetView showGridLines="0" zoomScale="70" zoomScaleNormal="70" workbookViewId="0">
      <selection activeCell="AB34" sqref="AB34"/>
    </sheetView>
  </sheetViews>
  <sheetFormatPr defaultColWidth="9.109375" defaultRowHeight="14.4" x14ac:dyDescent="0.3"/>
  <cols>
    <col min="1" max="1" width="3.109375" style="237" customWidth="1"/>
    <col min="2" max="2" width="5.44140625" style="237" bestFit="1" customWidth="1"/>
    <col min="3" max="7" width="10" style="237" customWidth="1"/>
    <col min="8" max="8" width="10.44140625" style="237" customWidth="1"/>
    <col min="9" max="13" width="9.6640625" style="237" customWidth="1"/>
    <col min="14" max="14" width="1.6640625" style="237" customWidth="1"/>
    <col min="15" max="15" width="10.44140625" style="237" customWidth="1"/>
    <col min="16" max="20" width="9.109375" style="237" customWidth="1"/>
    <col min="21" max="26" width="10.44140625" style="237" customWidth="1"/>
    <col min="27" max="27" width="2.33203125" style="237" customWidth="1"/>
    <col min="28" max="28" width="4.5546875" style="237" bestFit="1" customWidth="1"/>
    <col min="29" max="29" width="11.88671875" style="237" bestFit="1" customWidth="1"/>
    <col min="30" max="30" width="10.44140625" style="237" bestFit="1" customWidth="1"/>
    <col min="31" max="33" width="10.44140625" style="237" customWidth="1"/>
    <col min="34" max="34" width="2.33203125" style="237" customWidth="1"/>
    <col min="35" max="35" width="4.5546875" style="237" bestFit="1" customWidth="1"/>
    <col min="36" max="36" width="11.88671875" style="237" customWidth="1"/>
    <col min="37" max="37" width="10.44140625" style="237" customWidth="1"/>
    <col min="38" max="16384" width="9.109375" style="237"/>
  </cols>
  <sheetData>
    <row r="1" spans="1:41" ht="10.5" customHeight="1" x14ac:dyDescent="0.3">
      <c r="A1" s="827" t="s">
        <v>521</v>
      </c>
      <c r="B1" s="827"/>
      <c r="C1" s="827"/>
      <c r="D1" s="827"/>
      <c r="E1" s="827"/>
      <c r="F1" s="827"/>
      <c r="G1" s="827"/>
      <c r="H1" s="827"/>
      <c r="I1" s="827"/>
      <c r="J1" s="827"/>
      <c r="K1" s="827"/>
      <c r="L1" s="827"/>
      <c r="M1" s="827"/>
      <c r="N1" s="235"/>
      <c r="O1" s="826" t="s">
        <v>197</v>
      </c>
      <c r="P1" s="827"/>
      <c r="Q1" s="827"/>
      <c r="R1" s="827"/>
      <c r="S1" s="827"/>
      <c r="T1" s="827"/>
      <c r="U1" s="827"/>
      <c r="V1" s="827"/>
      <c r="W1" s="827"/>
      <c r="X1" s="827"/>
      <c r="Y1" s="827"/>
      <c r="Z1" s="827"/>
      <c r="AA1" s="236"/>
      <c r="AB1" s="826" t="s">
        <v>545</v>
      </c>
      <c r="AC1" s="827"/>
      <c r="AD1" s="827"/>
      <c r="AE1" s="827"/>
      <c r="AF1" s="827"/>
      <c r="AG1" s="342"/>
      <c r="AH1" s="236"/>
      <c r="AI1" s="826" t="s">
        <v>214</v>
      </c>
      <c r="AJ1" s="827"/>
      <c r="AK1" s="827"/>
      <c r="AL1" s="827"/>
      <c r="AM1" s="827"/>
      <c r="AN1" s="342"/>
      <c r="AO1" s="236"/>
    </row>
    <row r="2" spans="1:41" ht="10.5" customHeight="1" x14ac:dyDescent="0.3">
      <c r="A2" s="827"/>
      <c r="B2" s="827"/>
      <c r="C2" s="827"/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235"/>
      <c r="O2" s="826"/>
      <c r="P2" s="827"/>
      <c r="Q2" s="827"/>
      <c r="R2" s="827"/>
      <c r="S2" s="827"/>
      <c r="T2" s="827"/>
      <c r="U2" s="827"/>
      <c r="V2" s="827"/>
      <c r="W2" s="827"/>
      <c r="X2" s="827"/>
      <c r="Y2" s="827"/>
      <c r="Z2" s="827"/>
      <c r="AA2" s="236"/>
      <c r="AB2" s="826"/>
      <c r="AC2" s="827"/>
      <c r="AD2" s="827"/>
      <c r="AE2" s="827"/>
      <c r="AF2" s="827"/>
      <c r="AG2" s="342"/>
      <c r="AH2" s="236"/>
      <c r="AI2" s="826"/>
      <c r="AJ2" s="827"/>
      <c r="AK2" s="827"/>
      <c r="AL2" s="827"/>
      <c r="AM2" s="827"/>
      <c r="AN2" s="342"/>
      <c r="AO2" s="236"/>
    </row>
    <row r="3" spans="1:41" x14ac:dyDescent="0.3">
      <c r="A3" s="238"/>
      <c r="B3" s="861" t="s">
        <v>215</v>
      </c>
      <c r="C3" s="861"/>
      <c r="D3" s="861"/>
      <c r="E3" s="861"/>
      <c r="F3" s="861"/>
      <c r="G3" s="862"/>
      <c r="H3" s="864" t="s">
        <v>216</v>
      </c>
      <c r="I3" s="861"/>
      <c r="J3" s="861"/>
      <c r="K3" s="861"/>
      <c r="L3" s="861"/>
      <c r="M3" s="861"/>
      <c r="N3" s="240"/>
      <c r="O3" s="241"/>
      <c r="P3" s="861" t="s">
        <v>215</v>
      </c>
      <c r="Q3" s="861"/>
      <c r="R3" s="861"/>
      <c r="S3" s="861"/>
      <c r="T3" s="861"/>
      <c r="U3" s="236"/>
      <c r="V3" s="861" t="s">
        <v>216</v>
      </c>
      <c r="W3" s="861"/>
      <c r="X3" s="861"/>
      <c r="Y3" s="861"/>
      <c r="Z3" s="861"/>
      <c r="AA3" s="236"/>
      <c r="AB3" s="242" t="s">
        <v>191</v>
      </c>
      <c r="AC3" s="243" t="s">
        <v>217</v>
      </c>
      <c r="AD3" s="243" t="s">
        <v>218</v>
      </c>
      <c r="AE3" s="243" t="s">
        <v>330</v>
      </c>
      <c r="AF3" s="244" t="s">
        <v>331</v>
      </c>
      <c r="AG3" s="350" t="s">
        <v>536</v>
      </c>
      <c r="AH3" s="236"/>
      <c r="AI3" s="242" t="s">
        <v>191</v>
      </c>
      <c r="AJ3" s="243" t="s">
        <v>217</v>
      </c>
      <c r="AK3" s="243" t="s">
        <v>218</v>
      </c>
      <c r="AL3" s="243" t="s">
        <v>330</v>
      </c>
      <c r="AM3" s="244" t="s">
        <v>331</v>
      </c>
      <c r="AN3" s="350" t="s">
        <v>536</v>
      </c>
      <c r="AO3" s="236"/>
    </row>
    <row r="4" spans="1:41" ht="15" thickBot="1" x14ac:dyDescent="0.35">
      <c r="A4" s="238"/>
      <c r="B4" s="861"/>
      <c r="C4" s="861"/>
      <c r="D4" s="861"/>
      <c r="E4" s="861"/>
      <c r="F4" s="861"/>
      <c r="G4" s="862"/>
      <c r="H4" s="864"/>
      <c r="I4" s="861"/>
      <c r="J4" s="861"/>
      <c r="K4" s="861"/>
      <c r="L4" s="861"/>
      <c r="M4" s="861"/>
      <c r="N4" s="240"/>
      <c r="O4" s="241"/>
      <c r="P4" s="861"/>
      <c r="Q4" s="861"/>
      <c r="R4" s="861"/>
      <c r="S4" s="861"/>
      <c r="T4" s="861"/>
      <c r="U4" s="239"/>
      <c r="V4" s="861"/>
      <c r="W4" s="861"/>
      <c r="X4" s="861"/>
      <c r="Y4" s="861"/>
      <c r="Z4" s="861"/>
      <c r="AA4" s="236" t="s">
        <v>336</v>
      </c>
      <c r="AB4" s="245">
        <v>1</v>
      </c>
      <c r="AC4" s="246" t="s">
        <v>336</v>
      </c>
      <c r="AD4" s="246" t="s">
        <v>336</v>
      </c>
      <c r="AE4" s="246" t="s">
        <v>336</v>
      </c>
      <c r="AF4" s="246" t="s">
        <v>336</v>
      </c>
      <c r="AG4" s="246" t="s">
        <v>336</v>
      </c>
      <c r="AH4" s="236" t="s">
        <v>336</v>
      </c>
      <c r="AI4" s="245">
        <v>1</v>
      </c>
      <c r="AJ4" s="246" t="s">
        <v>336</v>
      </c>
      <c r="AK4" s="246" t="s">
        <v>336</v>
      </c>
      <c r="AL4" s="246" t="s">
        <v>336</v>
      </c>
      <c r="AM4" s="246" t="s">
        <v>336</v>
      </c>
      <c r="AN4" s="246" t="s">
        <v>336</v>
      </c>
      <c r="AO4" s="236"/>
    </row>
    <row r="5" spans="1:41" ht="15" thickBot="1" x14ac:dyDescent="0.35">
      <c r="A5" s="236"/>
      <c r="B5" s="247" t="s">
        <v>192</v>
      </c>
      <c r="C5" s="248" t="s">
        <v>219</v>
      </c>
      <c r="D5" s="249" t="s">
        <v>220</v>
      </c>
      <c r="E5" s="249" t="s">
        <v>332</v>
      </c>
      <c r="F5" s="249" t="s">
        <v>333</v>
      </c>
      <c r="G5" s="249" t="s">
        <v>535</v>
      </c>
      <c r="H5" s="250"/>
      <c r="I5" s="251" t="s">
        <v>219</v>
      </c>
      <c r="J5" s="252" t="s">
        <v>220</v>
      </c>
      <c r="K5" s="231" t="s">
        <v>332</v>
      </c>
      <c r="L5" s="231" t="s">
        <v>333</v>
      </c>
      <c r="M5" s="249" t="s">
        <v>535</v>
      </c>
      <c r="N5" s="249"/>
      <c r="O5" s="247" t="s">
        <v>192</v>
      </c>
      <c r="P5" s="248" t="s">
        <v>219</v>
      </c>
      <c r="Q5" s="249" t="s">
        <v>220</v>
      </c>
      <c r="R5" s="249" t="s">
        <v>332</v>
      </c>
      <c r="S5" s="249" t="s">
        <v>333</v>
      </c>
      <c r="T5" s="249" t="s">
        <v>535</v>
      </c>
      <c r="U5" s="250" t="s">
        <v>192</v>
      </c>
      <c r="V5" s="248" t="s">
        <v>219</v>
      </c>
      <c r="W5" s="249" t="s">
        <v>220</v>
      </c>
      <c r="X5" s="249" t="s">
        <v>332</v>
      </c>
      <c r="Y5" s="249" t="s">
        <v>333</v>
      </c>
      <c r="Z5" s="249" t="s">
        <v>535</v>
      </c>
      <c r="AA5" s="236" t="s">
        <v>336</v>
      </c>
      <c r="AB5" s="253">
        <v>2</v>
      </c>
      <c r="AC5" s="254" t="s">
        <v>336</v>
      </c>
      <c r="AD5" s="254" t="s">
        <v>336</v>
      </c>
      <c r="AE5" s="254" t="s">
        <v>336</v>
      </c>
      <c r="AF5" s="255" t="s">
        <v>336</v>
      </c>
      <c r="AG5" s="255" t="s">
        <v>336</v>
      </c>
      <c r="AH5" s="236" t="s">
        <v>336</v>
      </c>
      <c r="AI5" s="253">
        <v>2</v>
      </c>
      <c r="AJ5" s="254" t="s">
        <v>336</v>
      </c>
      <c r="AK5" s="254" t="s">
        <v>336</v>
      </c>
      <c r="AL5" s="254" t="s">
        <v>336</v>
      </c>
      <c r="AM5" s="255" t="s">
        <v>336</v>
      </c>
      <c r="AN5" s="255" t="s">
        <v>336</v>
      </c>
      <c r="AO5" s="236"/>
    </row>
    <row r="6" spans="1:41" x14ac:dyDescent="0.3">
      <c r="A6" s="236"/>
      <c r="B6" s="256">
        <v>1</v>
      </c>
      <c r="C6" s="257" t="str">
        <f>AC4</f>
        <v>N/A</v>
      </c>
      <c r="D6" s="258" t="str">
        <f>AD4</f>
        <v>N/A</v>
      </c>
      <c r="E6" s="258" t="str">
        <f>AE4</f>
        <v>N/A</v>
      </c>
      <c r="F6" s="258" t="str">
        <f>AF4</f>
        <v>N/A</v>
      </c>
      <c r="G6" s="258" t="str">
        <f>AG4</f>
        <v>N/A</v>
      </c>
      <c r="H6" s="259">
        <v>2</v>
      </c>
      <c r="I6" s="257" t="str">
        <f>AC5</f>
        <v>N/A</v>
      </c>
      <c r="J6" s="257" t="str">
        <f>AD5</f>
        <v>N/A</v>
      </c>
      <c r="K6" s="257" t="str">
        <f>AE5</f>
        <v>N/A</v>
      </c>
      <c r="L6" s="257" t="str">
        <f>AF5</f>
        <v>N/A</v>
      </c>
      <c r="M6" s="257" t="str">
        <f>AG5</f>
        <v>N/A</v>
      </c>
      <c r="N6" s="260"/>
      <c r="O6" s="256">
        <v>1</v>
      </c>
      <c r="P6" s="257" t="str">
        <f>AJ4</f>
        <v>N/A</v>
      </c>
      <c r="Q6" s="261" t="str">
        <f>AK4</f>
        <v>N/A</v>
      </c>
      <c r="R6" s="262" t="str">
        <f>AL4</f>
        <v>N/A</v>
      </c>
      <c r="S6" s="262" t="str">
        <f>AM4</f>
        <v>N/A</v>
      </c>
      <c r="T6" s="262" t="str">
        <f>AN4</f>
        <v>N/A</v>
      </c>
      <c r="U6" s="259">
        <v>2</v>
      </c>
      <c r="V6" s="257" t="str">
        <f>AJ5</f>
        <v>N/A</v>
      </c>
      <c r="W6" s="263" t="str">
        <f>AK5</f>
        <v>N/A</v>
      </c>
      <c r="X6" s="263" t="str">
        <f>AL5</f>
        <v>N/A</v>
      </c>
      <c r="Y6" s="263" t="str">
        <f>AM5</f>
        <v>N/A</v>
      </c>
      <c r="Z6" s="263" t="str">
        <f>AN5</f>
        <v>N/A</v>
      </c>
      <c r="AA6" s="236" t="s">
        <v>336</v>
      </c>
      <c r="AB6" s="245">
        <v>3</v>
      </c>
      <c r="AC6" s="246" t="s">
        <v>336</v>
      </c>
      <c r="AD6" s="246" t="s">
        <v>336</v>
      </c>
      <c r="AE6" s="246" t="s">
        <v>336</v>
      </c>
      <c r="AF6" s="246" t="s">
        <v>336</v>
      </c>
      <c r="AG6" s="246" t="s">
        <v>336</v>
      </c>
      <c r="AH6" s="236" t="s">
        <v>336</v>
      </c>
      <c r="AI6" s="245">
        <v>3</v>
      </c>
      <c r="AJ6" s="246" t="s">
        <v>336</v>
      </c>
      <c r="AK6" s="246" t="s">
        <v>336</v>
      </c>
      <c r="AL6" s="246" t="s">
        <v>336</v>
      </c>
      <c r="AM6" s="246" t="s">
        <v>336</v>
      </c>
      <c r="AN6" s="246" t="s">
        <v>336</v>
      </c>
      <c r="AO6" s="236"/>
    </row>
    <row r="7" spans="1:41" x14ac:dyDescent="0.3">
      <c r="A7" s="236"/>
      <c r="B7" s="264">
        <v>3</v>
      </c>
      <c r="C7" s="265" t="str">
        <f>AC6</f>
        <v>N/A</v>
      </c>
      <c r="D7" s="265" t="str">
        <f>AD6</f>
        <v>N/A</v>
      </c>
      <c r="E7" s="265" t="str">
        <f>AE6</f>
        <v>N/A</v>
      </c>
      <c r="F7" s="265" t="str">
        <f>AF6</f>
        <v>N/A</v>
      </c>
      <c r="G7" s="265" t="str">
        <f>AG6</f>
        <v>N/A</v>
      </c>
      <c r="H7" s="266">
        <v>4</v>
      </c>
      <c r="I7" s="265" t="str">
        <f>AC7</f>
        <v>N/A</v>
      </c>
      <c r="J7" s="265" t="str">
        <f>AD7</f>
        <v>N/A</v>
      </c>
      <c r="K7" s="265" t="str">
        <f>AE7</f>
        <v>N/A</v>
      </c>
      <c r="L7" s="265" t="str">
        <f>AF7</f>
        <v>N/A</v>
      </c>
      <c r="M7" s="265" t="str">
        <f>AG7</f>
        <v>N/A</v>
      </c>
      <c r="N7" s="260"/>
      <c r="O7" s="264">
        <v>3</v>
      </c>
      <c r="P7" s="265" t="str">
        <f>AJ6</f>
        <v>N/A</v>
      </c>
      <c r="Q7" s="267" t="str">
        <f>AK6</f>
        <v>N/A</v>
      </c>
      <c r="R7" s="255" t="str">
        <f>AL6</f>
        <v>N/A</v>
      </c>
      <c r="S7" s="255" t="str">
        <f>AM6</f>
        <v>N/A</v>
      </c>
      <c r="T7" s="255" t="str">
        <f>AN6</f>
        <v>N/A</v>
      </c>
      <c r="U7" s="266">
        <v>4</v>
      </c>
      <c r="V7" s="265" t="str">
        <f>AJ7</f>
        <v>N/A</v>
      </c>
      <c r="W7" s="268" t="str">
        <f>AK7</f>
        <v>N/A</v>
      </c>
      <c r="X7" s="268" t="str">
        <f>AL7</f>
        <v>N/A</v>
      </c>
      <c r="Y7" s="268" t="str">
        <f>AM7</f>
        <v>N/A</v>
      </c>
      <c r="Z7" s="268" t="str">
        <f>AN7</f>
        <v>N/A</v>
      </c>
      <c r="AA7" s="236" t="s">
        <v>336</v>
      </c>
      <c r="AB7" s="253">
        <v>4</v>
      </c>
      <c r="AC7" s="254" t="s">
        <v>336</v>
      </c>
      <c r="AD7" s="254" t="s">
        <v>336</v>
      </c>
      <c r="AE7" s="254" t="s">
        <v>336</v>
      </c>
      <c r="AF7" s="254" t="s">
        <v>336</v>
      </c>
      <c r="AG7" s="254" t="s">
        <v>336</v>
      </c>
      <c r="AH7" s="236" t="s">
        <v>336</v>
      </c>
      <c r="AI7" s="253">
        <v>4</v>
      </c>
      <c r="AJ7" s="254" t="s">
        <v>336</v>
      </c>
      <c r="AK7" s="254" t="s">
        <v>336</v>
      </c>
      <c r="AL7" s="254" t="s">
        <v>336</v>
      </c>
      <c r="AM7" s="254" t="s">
        <v>336</v>
      </c>
      <c r="AN7" s="254" t="s">
        <v>336</v>
      </c>
      <c r="AO7" s="236"/>
    </row>
    <row r="8" spans="1:41" x14ac:dyDescent="0.3">
      <c r="A8" s="236"/>
      <c r="B8" s="269">
        <v>5</v>
      </c>
      <c r="C8" s="257" t="str">
        <f>AC8</f>
        <v>N/A</v>
      </c>
      <c r="D8" s="257" t="str">
        <f>AD8</f>
        <v>N/A</v>
      </c>
      <c r="E8" s="257" t="str">
        <f>AE8</f>
        <v>N/A</v>
      </c>
      <c r="F8" s="257" t="str">
        <f>AF8</f>
        <v>N/A</v>
      </c>
      <c r="G8" s="257" t="str">
        <f>AG8</f>
        <v>N/A</v>
      </c>
      <c r="H8" s="270">
        <v>6</v>
      </c>
      <c r="I8" s="257" t="str">
        <f>AC9</f>
        <v>N/A</v>
      </c>
      <c r="J8" s="257" t="str">
        <f>AD9</f>
        <v>N/A</v>
      </c>
      <c r="K8" s="257" t="str">
        <f>AE9</f>
        <v>N/A</v>
      </c>
      <c r="L8" s="257" t="str">
        <f>AF9</f>
        <v>N/A</v>
      </c>
      <c r="M8" s="257" t="str">
        <f>AG9</f>
        <v>N/A</v>
      </c>
      <c r="N8" s="260"/>
      <c r="O8" s="269">
        <v>5</v>
      </c>
      <c r="P8" s="257" t="str">
        <f>AJ8</f>
        <v>N/A</v>
      </c>
      <c r="Q8" s="261" t="str">
        <f>AK8</f>
        <v>N/A</v>
      </c>
      <c r="R8" s="262" t="str">
        <f>AL8</f>
        <v>N/A</v>
      </c>
      <c r="S8" s="262" t="str">
        <f>AM8</f>
        <v>N/A</v>
      </c>
      <c r="T8" s="262" t="str">
        <f>AN8</f>
        <v>N/A</v>
      </c>
      <c r="U8" s="270">
        <v>6</v>
      </c>
      <c r="V8" s="257" t="str">
        <f>AJ9</f>
        <v>N/A</v>
      </c>
      <c r="W8" s="263" t="str">
        <f>AK9</f>
        <v>N/A</v>
      </c>
      <c r="X8" s="263" t="str">
        <f>AL9</f>
        <v>N/A</v>
      </c>
      <c r="Y8" s="263" t="str">
        <f>AM9</f>
        <v>N/A</v>
      </c>
      <c r="Z8" s="263" t="str">
        <f>AN9</f>
        <v>N/A</v>
      </c>
      <c r="AA8" s="236" t="s">
        <v>336</v>
      </c>
      <c r="AB8" s="245">
        <v>5</v>
      </c>
      <c r="AC8" s="246" t="s">
        <v>336</v>
      </c>
      <c r="AD8" s="246" t="s">
        <v>336</v>
      </c>
      <c r="AE8" s="246" t="s">
        <v>336</v>
      </c>
      <c r="AF8" s="246" t="s">
        <v>336</v>
      </c>
      <c r="AG8" s="246" t="s">
        <v>336</v>
      </c>
      <c r="AH8" s="236" t="s">
        <v>336</v>
      </c>
      <c r="AI8" s="245">
        <v>5</v>
      </c>
      <c r="AJ8" s="246" t="s">
        <v>336</v>
      </c>
      <c r="AK8" s="246" t="s">
        <v>336</v>
      </c>
      <c r="AL8" s="246" t="s">
        <v>336</v>
      </c>
      <c r="AM8" s="246" t="s">
        <v>336</v>
      </c>
      <c r="AN8" s="246" t="s">
        <v>336</v>
      </c>
      <c r="AO8" s="236"/>
    </row>
    <row r="9" spans="1:41" x14ac:dyDescent="0.3">
      <c r="A9" s="236"/>
      <c r="B9" s="264">
        <v>7</v>
      </c>
      <c r="C9" s="265" t="str">
        <f>AC10</f>
        <v>N/A</v>
      </c>
      <c r="D9" s="265" t="str">
        <f>AD10</f>
        <v>N/A</v>
      </c>
      <c r="E9" s="265" t="str">
        <f>AE10</f>
        <v>N/A</v>
      </c>
      <c r="F9" s="265" t="str">
        <f>AF10</f>
        <v>N/A</v>
      </c>
      <c r="G9" s="265" t="str">
        <f>AG10</f>
        <v>N/A</v>
      </c>
      <c r="H9" s="266">
        <v>8</v>
      </c>
      <c r="I9" s="265" t="str">
        <f>AC11</f>
        <v>N/A</v>
      </c>
      <c r="J9" s="265" t="str">
        <f>AD11</f>
        <v>N/A</v>
      </c>
      <c r="K9" s="265" t="str">
        <f>AE11</f>
        <v>N/A</v>
      </c>
      <c r="L9" s="265" t="str">
        <f>AF11</f>
        <v>N/A</v>
      </c>
      <c r="M9" s="265" t="str">
        <f>AG11</f>
        <v>N/A</v>
      </c>
      <c r="N9" s="260"/>
      <c r="O9" s="264">
        <v>7</v>
      </c>
      <c r="P9" s="265" t="str">
        <f>AJ10</f>
        <v>N/A</v>
      </c>
      <c r="Q9" s="267" t="str">
        <f>AK10</f>
        <v>N/A</v>
      </c>
      <c r="R9" s="255" t="str">
        <f>AL10</f>
        <v>N/A</v>
      </c>
      <c r="S9" s="255" t="str">
        <f>AM10</f>
        <v>N/A</v>
      </c>
      <c r="T9" s="255" t="str">
        <f>AN10</f>
        <v>N/A</v>
      </c>
      <c r="U9" s="266">
        <v>8</v>
      </c>
      <c r="V9" s="265" t="str">
        <f>AJ11</f>
        <v>N/A</v>
      </c>
      <c r="W9" s="268" t="str">
        <f>AK11</f>
        <v>N/A</v>
      </c>
      <c r="X9" s="268" t="str">
        <f>AL11</f>
        <v>N/A</v>
      </c>
      <c r="Y9" s="268" t="str">
        <f>AM11</f>
        <v>N/A</v>
      </c>
      <c r="Z9" s="268" t="str">
        <f>AN11</f>
        <v>N/A</v>
      </c>
      <c r="AA9" s="236" t="s">
        <v>336</v>
      </c>
      <c r="AB9" s="253">
        <v>6</v>
      </c>
      <c r="AC9" s="254" t="s">
        <v>336</v>
      </c>
      <c r="AD9" s="254" t="s">
        <v>336</v>
      </c>
      <c r="AE9" s="254" t="s">
        <v>336</v>
      </c>
      <c r="AF9" s="254" t="s">
        <v>336</v>
      </c>
      <c r="AG9" s="254" t="s">
        <v>336</v>
      </c>
      <c r="AH9" s="236" t="s">
        <v>336</v>
      </c>
      <c r="AI9" s="253">
        <v>6</v>
      </c>
      <c r="AJ9" s="254" t="s">
        <v>336</v>
      </c>
      <c r="AK9" s="254" t="s">
        <v>336</v>
      </c>
      <c r="AL9" s="254" t="s">
        <v>336</v>
      </c>
      <c r="AM9" s="254" t="s">
        <v>336</v>
      </c>
      <c r="AN9" s="254" t="s">
        <v>336</v>
      </c>
      <c r="AO9" s="236"/>
    </row>
    <row r="10" spans="1:41" x14ac:dyDescent="0.3">
      <c r="A10" s="236"/>
      <c r="B10" s="269">
        <v>9</v>
      </c>
      <c r="C10" s="257" t="str">
        <f>AC12</f>
        <v>N/A</v>
      </c>
      <c r="D10" s="257" t="str">
        <f>AD12</f>
        <v>N/A</v>
      </c>
      <c r="E10" s="257" t="str">
        <f>AE12</f>
        <v>N/A</v>
      </c>
      <c r="F10" s="257" t="str">
        <f>AF12</f>
        <v>N/A</v>
      </c>
      <c r="G10" s="257" t="str">
        <f>AG12</f>
        <v>N/A</v>
      </c>
      <c r="H10" s="270">
        <v>10</v>
      </c>
      <c r="I10" s="257" t="str">
        <f>AC13</f>
        <v>N/A</v>
      </c>
      <c r="J10" s="257" t="str">
        <f>AD13</f>
        <v>N/A</v>
      </c>
      <c r="K10" s="257" t="str">
        <f>AE13</f>
        <v>N/A</v>
      </c>
      <c r="L10" s="257" t="str">
        <f>AF13</f>
        <v>N/A</v>
      </c>
      <c r="M10" s="257" t="str">
        <f>AG13</f>
        <v>N/A</v>
      </c>
      <c r="N10" s="260"/>
      <c r="O10" s="269">
        <v>9</v>
      </c>
      <c r="P10" s="257" t="str">
        <f>AJ12</f>
        <v>N/A</v>
      </c>
      <c r="Q10" s="261" t="str">
        <f>AK12</f>
        <v>N/A</v>
      </c>
      <c r="R10" s="262" t="str">
        <f>AL12</f>
        <v>N/A</v>
      </c>
      <c r="S10" s="262" t="str">
        <f>AM12</f>
        <v>N/A</v>
      </c>
      <c r="T10" s="262" t="str">
        <f>AN12</f>
        <v>N/A</v>
      </c>
      <c r="U10" s="270">
        <v>10</v>
      </c>
      <c r="V10" s="257" t="str">
        <f>AJ13</f>
        <v>N/A</v>
      </c>
      <c r="W10" s="263" t="str">
        <f>AK13</f>
        <v>N/A</v>
      </c>
      <c r="X10" s="263" t="str">
        <f>AL13</f>
        <v>N/A</v>
      </c>
      <c r="Y10" s="263" t="str">
        <f>AM13</f>
        <v>N/A</v>
      </c>
      <c r="Z10" s="263" t="str">
        <f>AN13</f>
        <v>N/A</v>
      </c>
      <c r="AA10" s="236" t="s">
        <v>336</v>
      </c>
      <c r="AB10" s="245">
        <v>7</v>
      </c>
      <c r="AC10" s="246" t="s">
        <v>336</v>
      </c>
      <c r="AD10" s="246" t="s">
        <v>336</v>
      </c>
      <c r="AE10" s="246" t="s">
        <v>336</v>
      </c>
      <c r="AF10" s="246" t="s">
        <v>336</v>
      </c>
      <c r="AG10" s="246" t="s">
        <v>336</v>
      </c>
      <c r="AH10" s="236" t="s">
        <v>336</v>
      </c>
      <c r="AI10" s="245">
        <v>7</v>
      </c>
      <c r="AJ10" s="246" t="s">
        <v>336</v>
      </c>
      <c r="AK10" s="246" t="s">
        <v>336</v>
      </c>
      <c r="AL10" s="246" t="s">
        <v>336</v>
      </c>
      <c r="AM10" s="246" t="s">
        <v>336</v>
      </c>
      <c r="AN10" s="246" t="s">
        <v>336</v>
      </c>
      <c r="AO10" s="236"/>
    </row>
    <row r="11" spans="1:41" x14ac:dyDescent="0.3">
      <c r="A11" s="236"/>
      <c r="B11" s="264">
        <v>11</v>
      </c>
      <c r="C11" s="265" t="str">
        <f>AC14</f>
        <v>N/A</v>
      </c>
      <c r="D11" s="265" t="str">
        <f>AD14</f>
        <v>N/A</v>
      </c>
      <c r="E11" s="265" t="str">
        <f>AE14</f>
        <v>N/A</v>
      </c>
      <c r="F11" s="265" t="str">
        <f>AF14</f>
        <v>N/A</v>
      </c>
      <c r="G11" s="265" t="str">
        <f>AG14</f>
        <v>N/A</v>
      </c>
      <c r="H11" s="266">
        <v>12</v>
      </c>
      <c r="I11" s="265" t="str">
        <f>AC15</f>
        <v>N/A</v>
      </c>
      <c r="J11" s="265" t="str">
        <f>AD15</f>
        <v>N/A</v>
      </c>
      <c r="K11" s="265" t="str">
        <f>AE15</f>
        <v>N/A</v>
      </c>
      <c r="L11" s="265" t="str">
        <f>AF15</f>
        <v>N/A</v>
      </c>
      <c r="M11" s="265" t="str">
        <f>AG15</f>
        <v>N/A</v>
      </c>
      <c r="N11" s="260"/>
      <c r="O11" s="264">
        <v>11</v>
      </c>
      <c r="P11" s="265" t="str">
        <f>AJ14</f>
        <v>N/A</v>
      </c>
      <c r="Q11" s="267" t="str">
        <f>AK14</f>
        <v>N/A</v>
      </c>
      <c r="R11" s="255" t="str">
        <f>AL14</f>
        <v>N/A</v>
      </c>
      <c r="S11" s="255" t="str">
        <f>AM14</f>
        <v>N/A</v>
      </c>
      <c r="T11" s="255" t="str">
        <f>AN14</f>
        <v>N/A</v>
      </c>
      <c r="U11" s="266">
        <v>12</v>
      </c>
      <c r="V11" s="265" t="str">
        <f>AJ15</f>
        <v>N/A</v>
      </c>
      <c r="W11" s="268" t="str">
        <f>AK15</f>
        <v>N/A</v>
      </c>
      <c r="X11" s="268" t="str">
        <f>AL15</f>
        <v>N/A</v>
      </c>
      <c r="Y11" s="268" t="str">
        <f>AM15</f>
        <v>N/A</v>
      </c>
      <c r="Z11" s="268" t="str">
        <f>AN15</f>
        <v>N/A</v>
      </c>
      <c r="AA11" s="236" t="s">
        <v>336</v>
      </c>
      <c r="AB11" s="253">
        <v>8</v>
      </c>
      <c r="AC11" s="254" t="s">
        <v>336</v>
      </c>
      <c r="AD11" s="254" t="s">
        <v>336</v>
      </c>
      <c r="AE11" s="254" t="s">
        <v>336</v>
      </c>
      <c r="AF11" s="254" t="s">
        <v>336</v>
      </c>
      <c r="AG11" s="254" t="s">
        <v>336</v>
      </c>
      <c r="AH11" s="236" t="s">
        <v>336</v>
      </c>
      <c r="AI11" s="253">
        <v>8</v>
      </c>
      <c r="AJ11" s="254" t="s">
        <v>336</v>
      </c>
      <c r="AK11" s="254" t="s">
        <v>336</v>
      </c>
      <c r="AL11" s="254" t="s">
        <v>336</v>
      </c>
      <c r="AM11" s="254" t="s">
        <v>336</v>
      </c>
      <c r="AN11" s="254" t="s">
        <v>336</v>
      </c>
      <c r="AO11" s="236"/>
    </row>
    <row r="12" spans="1:41" x14ac:dyDescent="0.3">
      <c r="A12" s="236"/>
      <c r="B12" s="269">
        <v>13</v>
      </c>
      <c r="C12" s="257" t="str">
        <f>AC16</f>
        <v>N/A</v>
      </c>
      <c r="D12" s="257" t="str">
        <f>AD16</f>
        <v>N/A</v>
      </c>
      <c r="E12" s="257" t="str">
        <f>AE16</f>
        <v>N/A</v>
      </c>
      <c r="F12" s="257" t="str">
        <f>AF16</f>
        <v>N/A</v>
      </c>
      <c r="G12" s="257" t="str">
        <f>AG16</f>
        <v>N/A</v>
      </c>
      <c r="H12" s="270">
        <v>14</v>
      </c>
      <c r="I12" s="257" t="str">
        <f>AC17</f>
        <v>N/A</v>
      </c>
      <c r="J12" s="257" t="str">
        <f>AD17</f>
        <v>N/A</v>
      </c>
      <c r="K12" s="257" t="str">
        <f>AE17</f>
        <v>N/A</v>
      </c>
      <c r="L12" s="257" t="str">
        <f>AF17</f>
        <v>N/A</v>
      </c>
      <c r="M12" s="257" t="str">
        <f>AG17</f>
        <v>N/A</v>
      </c>
      <c r="N12" s="260"/>
      <c r="O12" s="269">
        <v>13</v>
      </c>
      <c r="P12" s="257" t="str">
        <f>AJ16</f>
        <v>N/A</v>
      </c>
      <c r="Q12" s="261" t="str">
        <f>AK16</f>
        <v>N/A</v>
      </c>
      <c r="R12" s="262" t="str">
        <f>AL16</f>
        <v>N/A</v>
      </c>
      <c r="S12" s="262" t="str">
        <f>AM16</f>
        <v>N/A</v>
      </c>
      <c r="T12" s="262" t="str">
        <f>AN16</f>
        <v>N/A</v>
      </c>
      <c r="U12" s="270">
        <v>14</v>
      </c>
      <c r="V12" s="257" t="str">
        <f>AJ17</f>
        <v>N/A</v>
      </c>
      <c r="W12" s="263" t="str">
        <f>AK17</f>
        <v>N/A</v>
      </c>
      <c r="X12" s="263" t="str">
        <f>AL17</f>
        <v>N/A</v>
      </c>
      <c r="Y12" s="263" t="str">
        <f>AM17</f>
        <v>N/A</v>
      </c>
      <c r="Z12" s="263" t="str">
        <f>AN17</f>
        <v>N/A</v>
      </c>
      <c r="AA12" s="236" t="s">
        <v>336</v>
      </c>
      <c r="AB12" s="245">
        <v>9</v>
      </c>
      <c r="AC12" s="246" t="s">
        <v>336</v>
      </c>
      <c r="AD12" s="246" t="s">
        <v>336</v>
      </c>
      <c r="AE12" s="246" t="s">
        <v>336</v>
      </c>
      <c r="AF12" s="246" t="s">
        <v>336</v>
      </c>
      <c r="AG12" s="246" t="s">
        <v>336</v>
      </c>
      <c r="AH12" s="236" t="s">
        <v>336</v>
      </c>
      <c r="AI12" s="245">
        <v>9</v>
      </c>
      <c r="AJ12" s="246" t="s">
        <v>336</v>
      </c>
      <c r="AK12" s="246" t="s">
        <v>336</v>
      </c>
      <c r="AL12" s="246" t="s">
        <v>336</v>
      </c>
      <c r="AM12" s="246" t="s">
        <v>336</v>
      </c>
      <c r="AN12" s="246" t="s">
        <v>336</v>
      </c>
      <c r="AO12" s="236"/>
    </row>
    <row r="13" spans="1:41" x14ac:dyDescent="0.3">
      <c r="A13" s="236"/>
      <c r="B13" s="264">
        <v>15</v>
      </c>
      <c r="C13" s="265" t="str">
        <f>AC18</f>
        <v>N/A</v>
      </c>
      <c r="D13" s="265" t="str">
        <f>AD18</f>
        <v>N/A</v>
      </c>
      <c r="E13" s="265" t="str">
        <f>AE18</f>
        <v>N/A</v>
      </c>
      <c r="F13" s="265" t="str">
        <f>AF18</f>
        <v>N/A</v>
      </c>
      <c r="G13" s="265" t="str">
        <f>AG18</f>
        <v>N/A</v>
      </c>
      <c r="H13" s="266">
        <v>16</v>
      </c>
      <c r="I13" s="265" t="str">
        <f>AC19</f>
        <v>N/A</v>
      </c>
      <c r="J13" s="265" t="str">
        <f>AD19</f>
        <v>N/A</v>
      </c>
      <c r="K13" s="265" t="str">
        <f>AE19</f>
        <v>N/A</v>
      </c>
      <c r="L13" s="265" t="str">
        <f>AF19</f>
        <v>N/A</v>
      </c>
      <c r="M13" s="265" t="str">
        <f>AG19</f>
        <v>N/A</v>
      </c>
      <c r="N13" s="260"/>
      <c r="O13" s="264">
        <v>15</v>
      </c>
      <c r="P13" s="265" t="str">
        <f>AJ18</f>
        <v>N/A</v>
      </c>
      <c r="Q13" s="267" t="str">
        <f>AK18</f>
        <v>N/A</v>
      </c>
      <c r="R13" s="255" t="str">
        <f>AL18</f>
        <v>N/A</v>
      </c>
      <c r="S13" s="255" t="str">
        <f>AM18</f>
        <v>N/A</v>
      </c>
      <c r="T13" s="255" t="str">
        <f>AN18</f>
        <v>N/A</v>
      </c>
      <c r="U13" s="266">
        <v>16</v>
      </c>
      <c r="V13" s="265" t="str">
        <f>AJ19</f>
        <v>N/A</v>
      </c>
      <c r="W13" s="268" t="str">
        <f>AK19</f>
        <v>N/A</v>
      </c>
      <c r="X13" s="268" t="str">
        <f>AL19</f>
        <v>N/A</v>
      </c>
      <c r="Y13" s="268" t="str">
        <f>AM19</f>
        <v>N/A</v>
      </c>
      <c r="Z13" s="268" t="str">
        <f>AN19</f>
        <v>N/A</v>
      </c>
      <c r="AA13" s="236" t="s">
        <v>336</v>
      </c>
      <c r="AB13" s="253">
        <v>10</v>
      </c>
      <c r="AC13" s="254" t="s">
        <v>336</v>
      </c>
      <c r="AD13" s="254" t="s">
        <v>336</v>
      </c>
      <c r="AE13" s="254" t="s">
        <v>336</v>
      </c>
      <c r="AF13" s="254" t="s">
        <v>336</v>
      </c>
      <c r="AG13" s="254" t="s">
        <v>336</v>
      </c>
      <c r="AH13" s="236" t="s">
        <v>336</v>
      </c>
      <c r="AI13" s="253">
        <v>10</v>
      </c>
      <c r="AJ13" s="254" t="s">
        <v>336</v>
      </c>
      <c r="AK13" s="254" t="s">
        <v>336</v>
      </c>
      <c r="AL13" s="254" t="s">
        <v>336</v>
      </c>
      <c r="AM13" s="254" t="s">
        <v>336</v>
      </c>
      <c r="AN13" s="254" t="s">
        <v>336</v>
      </c>
      <c r="AO13" s="236"/>
    </row>
    <row r="14" spans="1:41" x14ac:dyDescent="0.3">
      <c r="A14" s="236"/>
      <c r="B14" s="269">
        <v>17</v>
      </c>
      <c r="C14" s="257" t="str">
        <f>AC20</f>
        <v>N/A</v>
      </c>
      <c r="D14" s="257" t="str">
        <f>AD20</f>
        <v>N/A</v>
      </c>
      <c r="E14" s="257" t="str">
        <f>AE20</f>
        <v>N/A</v>
      </c>
      <c r="F14" s="257" t="str">
        <f>AF20</f>
        <v>N/A</v>
      </c>
      <c r="G14" s="257" t="str">
        <f>AG20</f>
        <v>N/A</v>
      </c>
      <c r="H14" s="270">
        <v>18</v>
      </c>
      <c r="I14" s="257" t="str">
        <f>AC21</f>
        <v>N/A</v>
      </c>
      <c r="J14" s="257" t="str">
        <f>AD21</f>
        <v>N/A</v>
      </c>
      <c r="K14" s="257" t="str">
        <f>AE21</f>
        <v>N/A</v>
      </c>
      <c r="L14" s="257" t="str">
        <f>AF21</f>
        <v>N/A</v>
      </c>
      <c r="M14" s="257" t="str">
        <f>AG21</f>
        <v>N/A</v>
      </c>
      <c r="N14" s="260"/>
      <c r="O14" s="269">
        <v>17</v>
      </c>
      <c r="P14" s="257" t="str">
        <f>AJ20</f>
        <v>N/A</v>
      </c>
      <c r="Q14" s="261" t="str">
        <f>AK20</f>
        <v>N/A</v>
      </c>
      <c r="R14" s="262" t="str">
        <f>AL20</f>
        <v>N/A</v>
      </c>
      <c r="S14" s="262" t="str">
        <f>AM20</f>
        <v>N/A</v>
      </c>
      <c r="T14" s="262" t="str">
        <f>AN20</f>
        <v>N/A</v>
      </c>
      <c r="U14" s="270">
        <v>18</v>
      </c>
      <c r="V14" s="257" t="str">
        <f>AJ21</f>
        <v>N/A</v>
      </c>
      <c r="W14" s="263" t="str">
        <f>AK21</f>
        <v>N/A</v>
      </c>
      <c r="X14" s="263" t="str">
        <f>AL21</f>
        <v>N/A</v>
      </c>
      <c r="Y14" s="263" t="str">
        <f>AM21</f>
        <v>N/A</v>
      </c>
      <c r="Z14" s="263" t="str">
        <f>AN21</f>
        <v>N/A</v>
      </c>
      <c r="AA14" s="236" t="s">
        <v>336</v>
      </c>
      <c r="AB14" s="245">
        <v>11</v>
      </c>
      <c r="AC14" s="246" t="s">
        <v>336</v>
      </c>
      <c r="AD14" s="246" t="s">
        <v>336</v>
      </c>
      <c r="AE14" s="246" t="s">
        <v>336</v>
      </c>
      <c r="AF14" s="246" t="s">
        <v>336</v>
      </c>
      <c r="AG14" s="246" t="s">
        <v>336</v>
      </c>
      <c r="AH14" s="236" t="s">
        <v>336</v>
      </c>
      <c r="AI14" s="245">
        <v>11</v>
      </c>
      <c r="AJ14" s="246" t="s">
        <v>336</v>
      </c>
      <c r="AK14" s="246" t="s">
        <v>336</v>
      </c>
      <c r="AL14" s="246" t="s">
        <v>336</v>
      </c>
      <c r="AM14" s="246" t="s">
        <v>336</v>
      </c>
      <c r="AN14" s="246" t="s">
        <v>336</v>
      </c>
      <c r="AO14" s="236"/>
    </row>
    <row r="15" spans="1:41" x14ac:dyDescent="0.3">
      <c r="A15" s="236"/>
      <c r="B15" s="264">
        <v>19</v>
      </c>
      <c r="C15" s="265" t="str">
        <f>AC22</f>
        <v>N/A</v>
      </c>
      <c r="D15" s="265" t="str">
        <f>AD22</f>
        <v>N/A</v>
      </c>
      <c r="E15" s="265" t="str">
        <f>AE22</f>
        <v>N/A</v>
      </c>
      <c r="F15" s="265" t="str">
        <f>AF22</f>
        <v>N/A</v>
      </c>
      <c r="G15" s="265" t="str">
        <f>AG22</f>
        <v>N/A</v>
      </c>
      <c r="H15" s="266">
        <v>20</v>
      </c>
      <c r="I15" s="265" t="str">
        <f>AC23</f>
        <v>N/A</v>
      </c>
      <c r="J15" s="265" t="str">
        <f>AD23</f>
        <v>N/A</v>
      </c>
      <c r="K15" s="265" t="str">
        <f>AE23</f>
        <v>N/A</v>
      </c>
      <c r="L15" s="265" t="str">
        <f>AF23</f>
        <v>N/A</v>
      </c>
      <c r="M15" s="265" t="str">
        <f>AG23</f>
        <v>N/A</v>
      </c>
      <c r="N15" s="260"/>
      <c r="O15" s="264">
        <v>19</v>
      </c>
      <c r="P15" s="265" t="str">
        <f>AJ22</f>
        <v>N/A</v>
      </c>
      <c r="Q15" s="267" t="str">
        <f>AK22</f>
        <v>N/A</v>
      </c>
      <c r="R15" s="255" t="str">
        <f>AL22</f>
        <v>N/A</v>
      </c>
      <c r="S15" s="255" t="str">
        <f>AM22</f>
        <v>N/A</v>
      </c>
      <c r="T15" s="255" t="str">
        <f>AN22</f>
        <v>N/A</v>
      </c>
      <c r="U15" s="266">
        <v>20</v>
      </c>
      <c r="V15" s="265" t="str">
        <f>AJ23</f>
        <v>N/A</v>
      </c>
      <c r="W15" s="268" t="str">
        <f>AK23</f>
        <v>N/A</v>
      </c>
      <c r="X15" s="268" t="str">
        <f>AL23</f>
        <v>N/A</v>
      </c>
      <c r="Y15" s="268" t="str">
        <f>AM23</f>
        <v>N/A</v>
      </c>
      <c r="Z15" s="268" t="str">
        <f>AN23</f>
        <v>N/A</v>
      </c>
      <c r="AA15" s="236" t="s">
        <v>336</v>
      </c>
      <c r="AB15" s="253">
        <v>12</v>
      </c>
      <c r="AC15" s="254" t="s">
        <v>336</v>
      </c>
      <c r="AD15" s="254" t="s">
        <v>336</v>
      </c>
      <c r="AE15" s="254" t="s">
        <v>336</v>
      </c>
      <c r="AF15" s="254" t="s">
        <v>336</v>
      </c>
      <c r="AG15" s="254" t="s">
        <v>336</v>
      </c>
      <c r="AH15" s="236" t="s">
        <v>336</v>
      </c>
      <c r="AI15" s="253">
        <v>12</v>
      </c>
      <c r="AJ15" s="254" t="s">
        <v>336</v>
      </c>
      <c r="AK15" s="254" t="s">
        <v>336</v>
      </c>
      <c r="AL15" s="254" t="s">
        <v>336</v>
      </c>
      <c r="AM15" s="254" t="s">
        <v>336</v>
      </c>
      <c r="AN15" s="254" t="s">
        <v>336</v>
      </c>
      <c r="AO15" s="236"/>
    </row>
    <row r="16" spans="1:41" x14ac:dyDescent="0.3">
      <c r="A16" s="236"/>
      <c r="B16" s="269">
        <v>21</v>
      </c>
      <c r="C16" s="257" t="str">
        <f>AC24</f>
        <v>N/A</v>
      </c>
      <c r="D16" s="257" t="str">
        <f>AD24</f>
        <v>N/A</v>
      </c>
      <c r="E16" s="257" t="str">
        <f>AE24</f>
        <v>N/A</v>
      </c>
      <c r="F16" s="257" t="str">
        <f>AF24</f>
        <v>N/A</v>
      </c>
      <c r="G16" s="257" t="str">
        <f>AG24</f>
        <v>N/A</v>
      </c>
      <c r="H16" s="270">
        <v>22</v>
      </c>
      <c r="I16" s="257" t="str">
        <f>AC25</f>
        <v>N/A</v>
      </c>
      <c r="J16" s="257" t="str">
        <f>AD25</f>
        <v>N/A</v>
      </c>
      <c r="K16" s="257" t="str">
        <f>AE25</f>
        <v>N/A</v>
      </c>
      <c r="L16" s="257" t="str">
        <f>AF25</f>
        <v>N/A</v>
      </c>
      <c r="M16" s="257" t="str">
        <f>AG25</f>
        <v>N/A</v>
      </c>
      <c r="N16" s="260"/>
      <c r="O16" s="269">
        <v>21</v>
      </c>
      <c r="P16" s="257" t="str">
        <f>AJ24</f>
        <v>N/A</v>
      </c>
      <c r="Q16" s="261" t="str">
        <f>AK24</f>
        <v>N/A</v>
      </c>
      <c r="R16" s="262" t="str">
        <f>AL24</f>
        <v>N/A</v>
      </c>
      <c r="S16" s="262" t="str">
        <f>AM24</f>
        <v>N/A</v>
      </c>
      <c r="T16" s="262" t="str">
        <f>AN24</f>
        <v>N/A</v>
      </c>
      <c r="U16" s="270">
        <v>22</v>
      </c>
      <c r="V16" s="257" t="str">
        <f>AJ25</f>
        <v>N/A</v>
      </c>
      <c r="W16" s="263" t="str">
        <f>AK25</f>
        <v>N/A</v>
      </c>
      <c r="X16" s="263" t="str">
        <f>AL25</f>
        <v>N/A</v>
      </c>
      <c r="Y16" s="263" t="str">
        <f>AM25</f>
        <v>N/A</v>
      </c>
      <c r="Z16" s="263" t="str">
        <f>AN25</f>
        <v>N/A</v>
      </c>
      <c r="AA16" s="236" t="s">
        <v>336</v>
      </c>
      <c r="AB16" s="245">
        <v>13</v>
      </c>
      <c r="AC16" s="246" t="s">
        <v>336</v>
      </c>
      <c r="AD16" s="246" t="s">
        <v>336</v>
      </c>
      <c r="AE16" s="246" t="s">
        <v>336</v>
      </c>
      <c r="AF16" s="246" t="s">
        <v>336</v>
      </c>
      <c r="AG16" s="246" t="s">
        <v>336</v>
      </c>
      <c r="AH16" s="236" t="s">
        <v>336</v>
      </c>
      <c r="AI16" s="245">
        <v>13</v>
      </c>
      <c r="AJ16" s="246" t="s">
        <v>336</v>
      </c>
      <c r="AK16" s="246" t="s">
        <v>336</v>
      </c>
      <c r="AL16" s="246" t="s">
        <v>336</v>
      </c>
      <c r="AM16" s="246" t="s">
        <v>336</v>
      </c>
      <c r="AN16" s="246" t="s">
        <v>336</v>
      </c>
      <c r="AO16" s="236"/>
    </row>
    <row r="17" spans="1:41" ht="15" thickBot="1" x14ac:dyDescent="0.35">
      <c r="A17" s="236"/>
      <c r="B17" s="264">
        <v>23</v>
      </c>
      <c r="C17" s="271" t="str">
        <f>AC26</f>
        <v>N/A</v>
      </c>
      <c r="D17" s="271" t="str">
        <f>AD26</f>
        <v>N/A</v>
      </c>
      <c r="E17" s="271" t="str">
        <f>AE26</f>
        <v>N/A</v>
      </c>
      <c r="F17" s="271" t="str">
        <f>AF26</f>
        <v>N/A</v>
      </c>
      <c r="G17" s="271" t="str">
        <f>AG26</f>
        <v>N/A</v>
      </c>
      <c r="H17" s="266">
        <v>24</v>
      </c>
      <c r="I17" s="265" t="str">
        <f>AC27</f>
        <v>N/A</v>
      </c>
      <c r="J17" s="265" t="str">
        <f>AD27</f>
        <v>N/A</v>
      </c>
      <c r="K17" s="265" t="str">
        <f>AE27</f>
        <v>N/A</v>
      </c>
      <c r="L17" s="265" t="str">
        <f>AF27</f>
        <v>N/A</v>
      </c>
      <c r="M17" s="265" t="str">
        <f>AG27</f>
        <v>N/A</v>
      </c>
      <c r="N17" s="260"/>
      <c r="O17" s="264">
        <v>23</v>
      </c>
      <c r="P17" s="265" t="str">
        <f>AJ26</f>
        <v>N/A</v>
      </c>
      <c r="Q17" s="267" t="str">
        <f>AK26</f>
        <v>N/A</v>
      </c>
      <c r="R17" s="255" t="str">
        <f>AL26</f>
        <v>N/A</v>
      </c>
      <c r="S17" s="255" t="str">
        <f>AM26</f>
        <v>N/A</v>
      </c>
      <c r="T17" s="255" t="str">
        <f>AN26</f>
        <v>N/A</v>
      </c>
      <c r="U17" s="266">
        <v>24</v>
      </c>
      <c r="V17" s="265" t="str">
        <f>AJ27</f>
        <v>N/A</v>
      </c>
      <c r="W17" s="268" t="str">
        <f>AK27</f>
        <v>N/A</v>
      </c>
      <c r="X17" s="268" t="str">
        <f>AL27</f>
        <v>N/A</v>
      </c>
      <c r="Y17" s="268" t="str">
        <f>AM27</f>
        <v>N/A</v>
      </c>
      <c r="Z17" s="268" t="str">
        <f>AN27</f>
        <v>N/A</v>
      </c>
      <c r="AA17" s="236" t="s">
        <v>336</v>
      </c>
      <c r="AB17" s="253">
        <v>14</v>
      </c>
      <c r="AC17" s="254" t="s">
        <v>336</v>
      </c>
      <c r="AD17" s="254" t="s">
        <v>336</v>
      </c>
      <c r="AE17" s="254" t="s">
        <v>336</v>
      </c>
      <c r="AF17" s="254" t="s">
        <v>336</v>
      </c>
      <c r="AG17" s="254" t="s">
        <v>336</v>
      </c>
      <c r="AH17" s="236" t="s">
        <v>336</v>
      </c>
      <c r="AI17" s="253">
        <v>14</v>
      </c>
      <c r="AJ17" s="254" t="s">
        <v>336</v>
      </c>
      <c r="AK17" s="254" t="s">
        <v>336</v>
      </c>
      <c r="AL17" s="254" t="s">
        <v>336</v>
      </c>
      <c r="AM17" s="254" t="s">
        <v>336</v>
      </c>
      <c r="AN17" s="254" t="s">
        <v>336</v>
      </c>
      <c r="AO17" s="236"/>
    </row>
    <row r="18" spans="1:41" ht="15" thickBot="1" x14ac:dyDescent="0.35">
      <c r="A18" s="236"/>
      <c r="B18" s="272" t="s">
        <v>221</v>
      </c>
      <c r="C18" s="168">
        <f>SUM(C6:C17)</f>
        <v>0</v>
      </c>
      <c r="D18" s="168">
        <f>SUM(D6:D17)</f>
        <v>0</v>
      </c>
      <c r="E18" s="168">
        <f>SUM(E6:E17)</f>
        <v>0</v>
      </c>
      <c r="F18" s="168">
        <f>SUM(F6:F17)</f>
        <v>0</v>
      </c>
      <c r="G18" s="168">
        <f>SUM(G6:G17)</f>
        <v>0</v>
      </c>
      <c r="H18" s="273" t="s">
        <v>221</v>
      </c>
      <c r="I18" s="168">
        <f>SUM(I6:I17)</f>
        <v>0</v>
      </c>
      <c r="J18" s="274">
        <f>SUM(J6:J17)</f>
        <v>0</v>
      </c>
      <c r="K18" s="168">
        <f>SUM(K6:K17)</f>
        <v>0</v>
      </c>
      <c r="L18" s="274">
        <f>SUM(L6:L17)</f>
        <v>0</v>
      </c>
      <c r="M18" s="274">
        <f>SUM(M6:M17)</f>
        <v>0</v>
      </c>
      <c r="N18" s="168"/>
      <c r="O18" s="272" t="s">
        <v>221</v>
      </c>
      <c r="P18" s="168">
        <f>SUM(P6:P17)</f>
        <v>0</v>
      </c>
      <c r="Q18" s="168">
        <f>SUM(Q6:Q17)</f>
        <v>0</v>
      </c>
      <c r="R18" s="168">
        <f>SUM(R6:R17)</f>
        <v>0</v>
      </c>
      <c r="S18" s="168">
        <f>SUM(S6:S17)</f>
        <v>0</v>
      </c>
      <c r="T18" s="168">
        <f>SUM(T6:T17)</f>
        <v>0</v>
      </c>
      <c r="U18" s="273" t="s">
        <v>221</v>
      </c>
      <c r="V18" s="168">
        <f>SUM(V6:V17)</f>
        <v>0</v>
      </c>
      <c r="W18" s="274">
        <f>SUM(W6:W17)</f>
        <v>0</v>
      </c>
      <c r="X18" s="274">
        <f>SUM(X6:X17)</f>
        <v>0</v>
      </c>
      <c r="Y18" s="274">
        <f>SUM(Y6:Y17)</f>
        <v>0</v>
      </c>
      <c r="Z18" s="274">
        <f>SUM(Z6:Z17)</f>
        <v>0</v>
      </c>
      <c r="AA18" s="236" t="s">
        <v>336</v>
      </c>
      <c r="AB18" s="245">
        <v>15</v>
      </c>
      <c r="AC18" s="246" t="s">
        <v>336</v>
      </c>
      <c r="AD18" s="246" t="s">
        <v>336</v>
      </c>
      <c r="AE18" s="246" t="s">
        <v>336</v>
      </c>
      <c r="AF18" s="246" t="s">
        <v>336</v>
      </c>
      <c r="AG18" s="246" t="s">
        <v>336</v>
      </c>
      <c r="AH18" s="236" t="s">
        <v>336</v>
      </c>
      <c r="AI18" s="245">
        <v>15</v>
      </c>
      <c r="AJ18" s="246" t="s">
        <v>336</v>
      </c>
      <c r="AK18" s="246" t="s">
        <v>336</v>
      </c>
      <c r="AL18" s="246" t="s">
        <v>336</v>
      </c>
      <c r="AM18" s="246" t="s">
        <v>336</v>
      </c>
      <c r="AN18" s="246" t="s">
        <v>336</v>
      </c>
      <c r="AO18" s="236"/>
    </row>
    <row r="19" spans="1:41" x14ac:dyDescent="0.3">
      <c r="A19" s="236"/>
      <c r="B19" s="863" t="s">
        <v>222</v>
      </c>
      <c r="C19" s="861"/>
      <c r="D19" s="861"/>
      <c r="E19" s="861"/>
      <c r="F19" s="861"/>
      <c r="G19" s="862"/>
      <c r="H19" s="864" t="s">
        <v>223</v>
      </c>
      <c r="I19" s="861"/>
      <c r="J19" s="861"/>
      <c r="K19" s="861"/>
      <c r="L19" s="861"/>
      <c r="M19" s="861"/>
      <c r="N19" s="275"/>
      <c r="O19" s="276"/>
      <c r="P19" s="861" t="s">
        <v>222</v>
      </c>
      <c r="Q19" s="861"/>
      <c r="R19" s="861"/>
      <c r="S19" s="861"/>
      <c r="T19" s="862"/>
      <c r="U19" s="239"/>
      <c r="V19" s="861" t="s">
        <v>223</v>
      </c>
      <c r="W19" s="861"/>
      <c r="X19" s="861"/>
      <c r="Y19" s="861"/>
      <c r="Z19" s="861"/>
      <c r="AA19" s="236" t="s">
        <v>336</v>
      </c>
      <c r="AB19" s="253">
        <v>16</v>
      </c>
      <c r="AC19" s="254" t="s">
        <v>336</v>
      </c>
      <c r="AD19" s="254" t="s">
        <v>336</v>
      </c>
      <c r="AE19" s="254" t="s">
        <v>336</v>
      </c>
      <c r="AF19" s="254" t="s">
        <v>336</v>
      </c>
      <c r="AG19" s="254" t="s">
        <v>336</v>
      </c>
      <c r="AH19" s="236" t="s">
        <v>336</v>
      </c>
      <c r="AI19" s="253">
        <v>16</v>
      </c>
      <c r="AJ19" s="254" t="s">
        <v>336</v>
      </c>
      <c r="AK19" s="254" t="s">
        <v>336</v>
      </c>
      <c r="AL19" s="254" t="s">
        <v>336</v>
      </c>
      <c r="AM19" s="254" t="s">
        <v>336</v>
      </c>
      <c r="AN19" s="254" t="s">
        <v>336</v>
      </c>
      <c r="AO19" s="236"/>
    </row>
    <row r="20" spans="1:41" ht="15" thickBot="1" x14ac:dyDescent="0.35">
      <c r="A20" s="236"/>
      <c r="B20" s="863"/>
      <c r="C20" s="861"/>
      <c r="D20" s="861"/>
      <c r="E20" s="861"/>
      <c r="F20" s="861"/>
      <c r="G20" s="862"/>
      <c r="H20" s="864"/>
      <c r="I20" s="861"/>
      <c r="J20" s="861"/>
      <c r="K20" s="861"/>
      <c r="L20" s="861"/>
      <c r="M20" s="861"/>
      <c r="N20" s="238"/>
      <c r="O20" s="277"/>
      <c r="P20" s="861"/>
      <c r="Q20" s="861"/>
      <c r="R20" s="861"/>
      <c r="S20" s="861"/>
      <c r="T20" s="862"/>
      <c r="U20" s="239"/>
      <c r="V20" s="861"/>
      <c r="W20" s="861"/>
      <c r="X20" s="861"/>
      <c r="Y20" s="861"/>
      <c r="Z20" s="861"/>
      <c r="AA20" s="236" t="s">
        <v>336</v>
      </c>
      <c r="AB20" s="245">
        <v>17</v>
      </c>
      <c r="AC20" s="246" t="s">
        <v>336</v>
      </c>
      <c r="AD20" s="246" t="s">
        <v>336</v>
      </c>
      <c r="AE20" s="246" t="s">
        <v>336</v>
      </c>
      <c r="AF20" s="246" t="s">
        <v>336</v>
      </c>
      <c r="AG20" s="246" t="s">
        <v>336</v>
      </c>
      <c r="AH20" s="236" t="s">
        <v>336</v>
      </c>
      <c r="AI20" s="245">
        <v>17</v>
      </c>
      <c r="AJ20" s="246" t="s">
        <v>336</v>
      </c>
      <c r="AK20" s="246" t="s">
        <v>336</v>
      </c>
      <c r="AL20" s="246" t="s">
        <v>336</v>
      </c>
      <c r="AM20" s="246" t="s">
        <v>336</v>
      </c>
      <c r="AN20" s="246" t="s">
        <v>336</v>
      </c>
      <c r="AO20" s="236"/>
    </row>
    <row r="21" spans="1:41" ht="15" thickBot="1" x14ac:dyDescent="0.35">
      <c r="A21" s="236"/>
      <c r="B21" s="247" t="s">
        <v>192</v>
      </c>
      <c r="C21" s="251" t="s">
        <v>219</v>
      </c>
      <c r="D21" s="278" t="s">
        <v>220</v>
      </c>
      <c r="E21" s="249" t="s">
        <v>332</v>
      </c>
      <c r="F21" s="249" t="s">
        <v>333</v>
      </c>
      <c r="G21" s="249" t="s">
        <v>535</v>
      </c>
      <c r="H21" s="250" t="s">
        <v>192</v>
      </c>
      <c r="I21" s="251" t="s">
        <v>219</v>
      </c>
      <c r="J21" s="252" t="s">
        <v>220</v>
      </c>
      <c r="K21" s="249" t="s">
        <v>332</v>
      </c>
      <c r="L21" s="249" t="s">
        <v>333</v>
      </c>
      <c r="M21" s="249" t="s">
        <v>535</v>
      </c>
      <c r="N21" s="249"/>
      <c r="O21" s="247" t="s">
        <v>192</v>
      </c>
      <c r="P21" s="248" t="s">
        <v>219</v>
      </c>
      <c r="Q21" s="249" t="s">
        <v>220</v>
      </c>
      <c r="R21" s="249" t="s">
        <v>332</v>
      </c>
      <c r="S21" s="249" t="s">
        <v>333</v>
      </c>
      <c r="T21" s="249" t="s">
        <v>535</v>
      </c>
      <c r="U21" s="250" t="s">
        <v>192</v>
      </c>
      <c r="V21" s="248" t="s">
        <v>219</v>
      </c>
      <c r="W21" s="249" t="s">
        <v>220</v>
      </c>
      <c r="X21" s="249" t="s">
        <v>332</v>
      </c>
      <c r="Y21" s="249" t="s">
        <v>333</v>
      </c>
      <c r="Z21" s="249" t="s">
        <v>535</v>
      </c>
      <c r="AA21" s="236" t="s">
        <v>336</v>
      </c>
      <c r="AB21" s="253">
        <v>18</v>
      </c>
      <c r="AC21" s="254" t="s">
        <v>336</v>
      </c>
      <c r="AD21" s="254" t="s">
        <v>336</v>
      </c>
      <c r="AE21" s="254" t="s">
        <v>336</v>
      </c>
      <c r="AF21" s="254" t="s">
        <v>336</v>
      </c>
      <c r="AG21" s="254" t="s">
        <v>336</v>
      </c>
      <c r="AH21" s="236" t="s">
        <v>336</v>
      </c>
      <c r="AI21" s="253">
        <v>18</v>
      </c>
      <c r="AJ21" s="254" t="s">
        <v>336</v>
      </c>
      <c r="AK21" s="254" t="s">
        <v>336</v>
      </c>
      <c r="AL21" s="254" t="s">
        <v>336</v>
      </c>
      <c r="AM21" s="254" t="s">
        <v>336</v>
      </c>
      <c r="AN21" s="254" t="s">
        <v>336</v>
      </c>
      <c r="AO21" s="236"/>
    </row>
    <row r="22" spans="1:41" x14ac:dyDescent="0.3">
      <c r="A22" s="236"/>
      <c r="B22" s="279">
        <v>25</v>
      </c>
      <c r="C22" s="280" t="str">
        <f>AC28</f>
        <v>N/A</v>
      </c>
      <c r="D22" s="257" t="str">
        <f>AD28</f>
        <v>N/A</v>
      </c>
      <c r="E22" s="257" t="str">
        <f>AE28</f>
        <v>N/A</v>
      </c>
      <c r="F22" s="257" t="str">
        <f>AF28</f>
        <v>N/A</v>
      </c>
      <c r="G22" s="257" t="str">
        <f>AG28</f>
        <v>N/A</v>
      </c>
      <c r="H22" s="281">
        <v>26</v>
      </c>
      <c r="I22" s="257" t="str">
        <f>AC29</f>
        <v>N/A</v>
      </c>
      <c r="J22" s="263" t="str">
        <f>AD29</f>
        <v>N/A</v>
      </c>
      <c r="K22" s="263" t="str">
        <f>AE29</f>
        <v>N/A</v>
      </c>
      <c r="L22" s="263" t="str">
        <f>AF29</f>
        <v>N/A</v>
      </c>
      <c r="M22" s="263" t="str">
        <f>AG29</f>
        <v>N/A</v>
      </c>
      <c r="N22" s="260"/>
      <c r="O22" s="279">
        <v>25</v>
      </c>
      <c r="P22" s="257" t="str">
        <f>AJ28</f>
        <v>N/A</v>
      </c>
      <c r="Q22" s="261" t="str">
        <f>AK28</f>
        <v>N/A</v>
      </c>
      <c r="R22" s="261" t="str">
        <f>AL28</f>
        <v>N/A</v>
      </c>
      <c r="S22" s="261" t="str">
        <f>AM28</f>
        <v>N/A</v>
      </c>
      <c r="T22" s="261" t="str">
        <f>AN28</f>
        <v>N/A</v>
      </c>
      <c r="U22" s="281">
        <v>26</v>
      </c>
      <c r="V22" s="257" t="str">
        <f>AJ29</f>
        <v>N/A</v>
      </c>
      <c r="W22" s="263" t="str">
        <f>AK29</f>
        <v>N/A</v>
      </c>
      <c r="X22" s="263" t="str">
        <f>AL29</f>
        <v>N/A</v>
      </c>
      <c r="Y22" s="263" t="str">
        <f>AM29</f>
        <v>N/A</v>
      </c>
      <c r="Z22" s="263" t="str">
        <f>AN29</f>
        <v>N/A</v>
      </c>
      <c r="AA22" s="236" t="s">
        <v>336</v>
      </c>
      <c r="AB22" s="245">
        <v>19</v>
      </c>
      <c r="AC22" s="246" t="s">
        <v>336</v>
      </c>
      <c r="AD22" s="246" t="s">
        <v>336</v>
      </c>
      <c r="AE22" s="246" t="s">
        <v>336</v>
      </c>
      <c r="AF22" s="246" t="s">
        <v>336</v>
      </c>
      <c r="AG22" s="246" t="s">
        <v>336</v>
      </c>
      <c r="AH22" s="236" t="s">
        <v>336</v>
      </c>
      <c r="AI22" s="245">
        <v>19</v>
      </c>
      <c r="AJ22" s="246" t="s">
        <v>336</v>
      </c>
      <c r="AK22" s="246" t="s">
        <v>336</v>
      </c>
      <c r="AL22" s="246" t="s">
        <v>336</v>
      </c>
      <c r="AM22" s="246" t="s">
        <v>336</v>
      </c>
      <c r="AN22" s="246" t="s">
        <v>336</v>
      </c>
      <c r="AO22" s="236"/>
    </row>
    <row r="23" spans="1:41" x14ac:dyDescent="0.3">
      <c r="A23" s="236"/>
      <c r="B23" s="282">
        <v>27</v>
      </c>
      <c r="C23" s="283" t="str">
        <f>AC30</f>
        <v>N/A</v>
      </c>
      <c r="D23" s="265" t="str">
        <f>AD30</f>
        <v>N/A</v>
      </c>
      <c r="E23" s="265" t="str">
        <f>AE30</f>
        <v>N/A</v>
      </c>
      <c r="F23" s="265" t="str">
        <f>AF30</f>
        <v>N/A</v>
      </c>
      <c r="G23" s="265" t="str">
        <f>AG30</f>
        <v>N/A</v>
      </c>
      <c r="H23" s="284">
        <v>28</v>
      </c>
      <c r="I23" s="265" t="str">
        <f>AC31</f>
        <v>N/A</v>
      </c>
      <c r="J23" s="268" t="str">
        <f>AD31</f>
        <v>N/A</v>
      </c>
      <c r="K23" s="268" t="str">
        <f>AE31</f>
        <v>N/A</v>
      </c>
      <c r="L23" s="268" t="str">
        <f>AF31</f>
        <v>N/A</v>
      </c>
      <c r="M23" s="268" t="str">
        <f>AG31</f>
        <v>N/A</v>
      </c>
      <c r="N23" s="260"/>
      <c r="O23" s="282">
        <v>27</v>
      </c>
      <c r="P23" s="265" t="str">
        <f>AJ30</f>
        <v>N/A</v>
      </c>
      <c r="Q23" s="267" t="str">
        <f>AK30</f>
        <v>N/A</v>
      </c>
      <c r="R23" s="267" t="str">
        <f>AL30</f>
        <v>N/A</v>
      </c>
      <c r="S23" s="267" t="str">
        <f>AM30</f>
        <v>N/A</v>
      </c>
      <c r="T23" s="267" t="str">
        <f>AN30</f>
        <v>N/A</v>
      </c>
      <c r="U23" s="284">
        <v>28</v>
      </c>
      <c r="V23" s="265" t="str">
        <f>AJ31</f>
        <v>N/A</v>
      </c>
      <c r="W23" s="268" t="str">
        <f>AK31</f>
        <v>N/A</v>
      </c>
      <c r="X23" s="268" t="str">
        <f>AL31</f>
        <v>N/A</v>
      </c>
      <c r="Y23" s="268" t="str">
        <f>AM31</f>
        <v>N/A</v>
      </c>
      <c r="Z23" s="268" t="str">
        <f>AN31</f>
        <v>N/A</v>
      </c>
      <c r="AA23" s="236" t="s">
        <v>336</v>
      </c>
      <c r="AB23" s="253">
        <v>20</v>
      </c>
      <c r="AC23" s="254" t="s">
        <v>336</v>
      </c>
      <c r="AD23" s="254" t="s">
        <v>336</v>
      </c>
      <c r="AE23" s="254" t="s">
        <v>336</v>
      </c>
      <c r="AF23" s="254" t="s">
        <v>336</v>
      </c>
      <c r="AG23" s="254" t="s">
        <v>336</v>
      </c>
      <c r="AH23" s="236" t="s">
        <v>336</v>
      </c>
      <c r="AI23" s="253">
        <v>20</v>
      </c>
      <c r="AJ23" s="254" t="s">
        <v>336</v>
      </c>
      <c r="AK23" s="254" t="s">
        <v>336</v>
      </c>
      <c r="AL23" s="254" t="s">
        <v>336</v>
      </c>
      <c r="AM23" s="254" t="s">
        <v>336</v>
      </c>
      <c r="AN23" s="254" t="s">
        <v>336</v>
      </c>
      <c r="AO23" s="236"/>
    </row>
    <row r="24" spans="1:41" x14ac:dyDescent="0.3">
      <c r="A24" s="236"/>
      <c r="B24" s="285">
        <v>29</v>
      </c>
      <c r="C24" s="280" t="str">
        <f>AC32</f>
        <v>N/A</v>
      </c>
      <c r="D24" s="257" t="str">
        <f>AD32</f>
        <v>N/A</v>
      </c>
      <c r="E24" s="257" t="str">
        <f>AE32</f>
        <v>N/A</v>
      </c>
      <c r="F24" s="257" t="str">
        <f>AF32</f>
        <v>N/A</v>
      </c>
      <c r="G24" s="257" t="str">
        <f>AG32</f>
        <v>N/A</v>
      </c>
      <c r="H24" s="286">
        <v>30</v>
      </c>
      <c r="I24" s="257" t="str">
        <f>AC33</f>
        <v>N/A</v>
      </c>
      <c r="J24" s="263" t="str">
        <f>AD33</f>
        <v>N/A</v>
      </c>
      <c r="K24" s="263" t="str">
        <f>AE33</f>
        <v>N/A</v>
      </c>
      <c r="L24" s="263" t="str">
        <f>AF33</f>
        <v>N/A</v>
      </c>
      <c r="M24" s="263" t="str">
        <f>AG33</f>
        <v>N/A</v>
      </c>
      <c r="N24" s="260"/>
      <c r="O24" s="285">
        <v>29</v>
      </c>
      <c r="P24" s="257" t="str">
        <f>AJ32</f>
        <v>N/A</v>
      </c>
      <c r="Q24" s="261" t="str">
        <f>AK32</f>
        <v>N/A</v>
      </c>
      <c r="R24" s="261" t="str">
        <f>AL32</f>
        <v>N/A</v>
      </c>
      <c r="S24" s="261" t="str">
        <f>AM32</f>
        <v>N/A</v>
      </c>
      <c r="T24" s="261" t="str">
        <f>AN32</f>
        <v>N/A</v>
      </c>
      <c r="U24" s="286">
        <v>30</v>
      </c>
      <c r="V24" s="257" t="str">
        <f>AJ33</f>
        <v>N/A</v>
      </c>
      <c r="W24" s="263" t="str">
        <f>AK33</f>
        <v>N/A</v>
      </c>
      <c r="X24" s="263" t="str">
        <f>AL33</f>
        <v>N/A</v>
      </c>
      <c r="Y24" s="263" t="str">
        <f>AM33</f>
        <v>N/A</v>
      </c>
      <c r="Z24" s="263" t="str">
        <f>AN33</f>
        <v>N/A</v>
      </c>
      <c r="AA24" s="236" t="s">
        <v>336</v>
      </c>
      <c r="AB24" s="245">
        <v>21</v>
      </c>
      <c r="AC24" s="246" t="s">
        <v>336</v>
      </c>
      <c r="AD24" s="246" t="s">
        <v>336</v>
      </c>
      <c r="AE24" s="246" t="s">
        <v>336</v>
      </c>
      <c r="AF24" s="246" t="s">
        <v>336</v>
      </c>
      <c r="AG24" s="246" t="s">
        <v>336</v>
      </c>
      <c r="AH24" s="236" t="s">
        <v>336</v>
      </c>
      <c r="AI24" s="245">
        <v>21</v>
      </c>
      <c r="AJ24" s="246" t="s">
        <v>336</v>
      </c>
      <c r="AK24" s="246" t="s">
        <v>336</v>
      </c>
      <c r="AL24" s="246" t="s">
        <v>336</v>
      </c>
      <c r="AM24" s="246" t="s">
        <v>336</v>
      </c>
      <c r="AN24" s="246" t="s">
        <v>336</v>
      </c>
      <c r="AO24" s="236"/>
    </row>
    <row r="25" spans="1:41" x14ac:dyDescent="0.3">
      <c r="A25" s="236"/>
      <c r="B25" s="282">
        <v>31</v>
      </c>
      <c r="C25" s="283" t="str">
        <f>AC34</f>
        <v>N/A</v>
      </c>
      <c r="D25" s="265" t="str">
        <f>AD34</f>
        <v>N/A</v>
      </c>
      <c r="E25" s="265" t="str">
        <f>AE34</f>
        <v>N/A</v>
      </c>
      <c r="F25" s="265" t="str">
        <f>AF34</f>
        <v>N/A</v>
      </c>
      <c r="G25" s="265" t="str">
        <f>AG34</f>
        <v>N/A</v>
      </c>
      <c r="H25" s="284">
        <v>32</v>
      </c>
      <c r="I25" s="265" t="str">
        <f>AC35</f>
        <v>N/A</v>
      </c>
      <c r="J25" s="268" t="str">
        <f>AD35</f>
        <v>N/A</v>
      </c>
      <c r="K25" s="268" t="str">
        <f>AE35</f>
        <v>N/A</v>
      </c>
      <c r="L25" s="268" t="str">
        <f>AF35</f>
        <v>N/A</v>
      </c>
      <c r="M25" s="268" t="str">
        <f>AG35</f>
        <v>N/A</v>
      </c>
      <c r="N25" s="260"/>
      <c r="O25" s="282">
        <v>31</v>
      </c>
      <c r="P25" s="265" t="str">
        <f>AJ34</f>
        <v>N/A</v>
      </c>
      <c r="Q25" s="267" t="str">
        <f>AK34</f>
        <v>N/A</v>
      </c>
      <c r="R25" s="267" t="str">
        <f>AL34</f>
        <v>N/A</v>
      </c>
      <c r="S25" s="267" t="str">
        <f>AM34</f>
        <v>N/A</v>
      </c>
      <c r="T25" s="267" t="str">
        <f>AN34</f>
        <v>N/A</v>
      </c>
      <c r="U25" s="284">
        <v>32</v>
      </c>
      <c r="V25" s="265" t="str">
        <f>AJ35</f>
        <v>N/A</v>
      </c>
      <c r="W25" s="268" t="str">
        <f>AK35</f>
        <v>N/A</v>
      </c>
      <c r="X25" s="268" t="str">
        <f>AL35</f>
        <v>N/A</v>
      </c>
      <c r="Y25" s="268" t="str">
        <f>AM35</f>
        <v>N/A</v>
      </c>
      <c r="Z25" s="268" t="str">
        <f>AN35</f>
        <v>N/A</v>
      </c>
      <c r="AA25" s="236" t="s">
        <v>336</v>
      </c>
      <c r="AB25" s="253">
        <v>22</v>
      </c>
      <c r="AC25" s="254" t="s">
        <v>336</v>
      </c>
      <c r="AD25" s="254" t="s">
        <v>336</v>
      </c>
      <c r="AE25" s="254" t="s">
        <v>336</v>
      </c>
      <c r="AF25" s="254" t="s">
        <v>336</v>
      </c>
      <c r="AG25" s="254" t="s">
        <v>336</v>
      </c>
      <c r="AH25" s="236" t="s">
        <v>336</v>
      </c>
      <c r="AI25" s="253">
        <v>22</v>
      </c>
      <c r="AJ25" s="254" t="s">
        <v>336</v>
      </c>
      <c r="AK25" s="254" t="s">
        <v>336</v>
      </c>
      <c r="AL25" s="254" t="s">
        <v>336</v>
      </c>
      <c r="AM25" s="254" t="s">
        <v>336</v>
      </c>
      <c r="AN25" s="254" t="s">
        <v>336</v>
      </c>
      <c r="AO25" s="236"/>
    </row>
    <row r="26" spans="1:41" x14ac:dyDescent="0.3">
      <c r="A26" s="236"/>
      <c r="B26" s="285">
        <v>33</v>
      </c>
      <c r="C26" s="280" t="str">
        <f>AC36</f>
        <v>N/A</v>
      </c>
      <c r="D26" s="257" t="str">
        <f>AD36</f>
        <v>N/A</v>
      </c>
      <c r="E26" s="257" t="str">
        <f>AE36</f>
        <v>N/A</v>
      </c>
      <c r="F26" s="257" t="str">
        <f>AF36</f>
        <v>N/A</v>
      </c>
      <c r="G26" s="257" t="str">
        <f>AG36</f>
        <v>N/A</v>
      </c>
      <c r="H26" s="286">
        <v>34</v>
      </c>
      <c r="I26" s="257" t="str">
        <f>AC37</f>
        <v>N/A</v>
      </c>
      <c r="J26" s="263" t="str">
        <f>AD37</f>
        <v>N/A</v>
      </c>
      <c r="K26" s="263" t="str">
        <f>AE37</f>
        <v>N/A</v>
      </c>
      <c r="L26" s="263" t="str">
        <f>AF37</f>
        <v>N/A</v>
      </c>
      <c r="M26" s="263" t="str">
        <f>AG37</f>
        <v>N/A</v>
      </c>
      <c r="N26" s="260"/>
      <c r="O26" s="285">
        <v>33</v>
      </c>
      <c r="P26" s="257" t="str">
        <f>AJ36</f>
        <v>N/A</v>
      </c>
      <c r="Q26" s="261" t="str">
        <f>AK36</f>
        <v>N/A</v>
      </c>
      <c r="R26" s="261" t="str">
        <f>AL36</f>
        <v>N/A</v>
      </c>
      <c r="S26" s="261" t="str">
        <f>AM36</f>
        <v>N/A</v>
      </c>
      <c r="T26" s="261" t="str">
        <f>AN36</f>
        <v>N/A</v>
      </c>
      <c r="U26" s="286">
        <v>34</v>
      </c>
      <c r="V26" s="257" t="str">
        <f>AJ37</f>
        <v>N/A</v>
      </c>
      <c r="W26" s="263" t="str">
        <f>AK37</f>
        <v>N/A</v>
      </c>
      <c r="X26" s="263" t="str">
        <f>AL37</f>
        <v>N/A</v>
      </c>
      <c r="Y26" s="263" t="str">
        <f>AM37</f>
        <v>N/A</v>
      </c>
      <c r="Z26" s="263" t="str">
        <f>AN37</f>
        <v>N/A</v>
      </c>
      <c r="AA26" s="236" t="s">
        <v>336</v>
      </c>
      <c r="AB26" s="245">
        <v>23</v>
      </c>
      <c r="AC26" s="246" t="s">
        <v>336</v>
      </c>
      <c r="AD26" s="246" t="s">
        <v>336</v>
      </c>
      <c r="AE26" s="246" t="s">
        <v>336</v>
      </c>
      <c r="AF26" s="246" t="s">
        <v>336</v>
      </c>
      <c r="AG26" s="246" t="s">
        <v>336</v>
      </c>
      <c r="AH26" s="236" t="s">
        <v>336</v>
      </c>
      <c r="AI26" s="245">
        <v>23</v>
      </c>
      <c r="AJ26" s="246" t="s">
        <v>336</v>
      </c>
      <c r="AK26" s="246" t="s">
        <v>336</v>
      </c>
      <c r="AL26" s="246" t="s">
        <v>336</v>
      </c>
      <c r="AM26" s="246" t="s">
        <v>336</v>
      </c>
      <c r="AN26" s="246" t="s">
        <v>336</v>
      </c>
      <c r="AO26" s="236"/>
    </row>
    <row r="27" spans="1:41" x14ac:dyDescent="0.3">
      <c r="A27" s="236"/>
      <c r="B27" s="282">
        <v>35</v>
      </c>
      <c r="C27" s="283" t="str">
        <f>AC38</f>
        <v>N/A</v>
      </c>
      <c r="D27" s="265" t="str">
        <f>AD38</f>
        <v>N/A</v>
      </c>
      <c r="E27" s="265" t="str">
        <f>AE38</f>
        <v>N/A</v>
      </c>
      <c r="F27" s="265" t="str">
        <f>AF38</f>
        <v>N/A</v>
      </c>
      <c r="G27" s="265" t="str">
        <f>AG38</f>
        <v>N/A</v>
      </c>
      <c r="H27" s="284">
        <v>36</v>
      </c>
      <c r="I27" s="265" t="str">
        <f>AC39</f>
        <v>N/A</v>
      </c>
      <c r="J27" s="268" t="str">
        <f>AD39</f>
        <v>N/A</v>
      </c>
      <c r="K27" s="268" t="str">
        <f>AE39</f>
        <v>N/A</v>
      </c>
      <c r="L27" s="268" t="str">
        <f>AF39</f>
        <v>N/A</v>
      </c>
      <c r="M27" s="268" t="str">
        <f>AG39</f>
        <v>N/A</v>
      </c>
      <c r="N27" s="260"/>
      <c r="O27" s="282">
        <v>35</v>
      </c>
      <c r="P27" s="265" t="str">
        <f>AJ38</f>
        <v>N/A</v>
      </c>
      <c r="Q27" s="267" t="str">
        <f>AK38</f>
        <v>N/A</v>
      </c>
      <c r="R27" s="267" t="str">
        <f>AL38</f>
        <v>N/A</v>
      </c>
      <c r="S27" s="267" t="str">
        <f>AM38</f>
        <v>N/A</v>
      </c>
      <c r="T27" s="267" t="str">
        <f>AN38</f>
        <v>N/A</v>
      </c>
      <c r="U27" s="284">
        <v>36</v>
      </c>
      <c r="V27" s="265" t="str">
        <f>AJ39</f>
        <v>N/A</v>
      </c>
      <c r="W27" s="268" t="str">
        <f>AK39</f>
        <v>N/A</v>
      </c>
      <c r="X27" s="268" t="str">
        <f>AL39</f>
        <v>N/A</v>
      </c>
      <c r="Y27" s="268" t="str">
        <f>AM39</f>
        <v>N/A</v>
      </c>
      <c r="Z27" s="268" t="str">
        <f>AN39</f>
        <v>N/A</v>
      </c>
      <c r="AA27" s="236" t="s">
        <v>336</v>
      </c>
      <c r="AB27" s="253">
        <v>24</v>
      </c>
      <c r="AC27" s="254" t="s">
        <v>336</v>
      </c>
      <c r="AD27" s="254" t="s">
        <v>336</v>
      </c>
      <c r="AE27" s="254" t="s">
        <v>336</v>
      </c>
      <c r="AF27" s="254" t="s">
        <v>336</v>
      </c>
      <c r="AG27" s="254" t="s">
        <v>336</v>
      </c>
      <c r="AH27" s="236" t="s">
        <v>336</v>
      </c>
      <c r="AI27" s="253">
        <v>24</v>
      </c>
      <c r="AJ27" s="254" t="s">
        <v>336</v>
      </c>
      <c r="AK27" s="254" t="s">
        <v>336</v>
      </c>
      <c r="AL27" s="254" t="s">
        <v>336</v>
      </c>
      <c r="AM27" s="254" t="s">
        <v>336</v>
      </c>
      <c r="AN27" s="254" t="s">
        <v>336</v>
      </c>
      <c r="AO27" s="236"/>
    </row>
    <row r="28" spans="1:41" x14ac:dyDescent="0.3">
      <c r="A28" s="236"/>
      <c r="B28" s="285">
        <v>37</v>
      </c>
      <c r="C28" s="280" t="str">
        <f>AC40</f>
        <v>N/A</v>
      </c>
      <c r="D28" s="257" t="str">
        <f>AD40</f>
        <v>N/A</v>
      </c>
      <c r="E28" s="257" t="str">
        <f>AE40</f>
        <v>N/A</v>
      </c>
      <c r="F28" s="257" t="str">
        <f>AF40</f>
        <v>N/A</v>
      </c>
      <c r="G28" s="257" t="str">
        <f>AG40</f>
        <v>N/A</v>
      </c>
      <c r="H28" s="286">
        <v>38</v>
      </c>
      <c r="I28" s="257" t="str">
        <f>AC41</f>
        <v>N/A</v>
      </c>
      <c r="J28" s="263" t="str">
        <f>AD41</f>
        <v>N/A</v>
      </c>
      <c r="K28" s="263" t="str">
        <f>AE41</f>
        <v>N/A</v>
      </c>
      <c r="L28" s="263" t="str">
        <f>AF41</f>
        <v>N/A</v>
      </c>
      <c r="M28" s="263" t="str">
        <f>AG41</f>
        <v>N/A</v>
      </c>
      <c r="N28" s="260"/>
      <c r="O28" s="285">
        <v>37</v>
      </c>
      <c r="P28" s="257" t="str">
        <f>AJ40</f>
        <v>N/A</v>
      </c>
      <c r="Q28" s="261" t="str">
        <f>AK40</f>
        <v>N/A</v>
      </c>
      <c r="R28" s="261" t="str">
        <f>AL40</f>
        <v>N/A</v>
      </c>
      <c r="S28" s="261" t="str">
        <f>AM40</f>
        <v>N/A</v>
      </c>
      <c r="T28" s="261" t="str">
        <f>AN40</f>
        <v>N/A</v>
      </c>
      <c r="U28" s="286">
        <v>38</v>
      </c>
      <c r="V28" s="257" t="str">
        <f>AJ41</f>
        <v>N/A</v>
      </c>
      <c r="W28" s="263" t="str">
        <f>AK41</f>
        <v>N/A</v>
      </c>
      <c r="X28" s="263" t="str">
        <f>AL41</f>
        <v>N/A</v>
      </c>
      <c r="Y28" s="263" t="str">
        <f>AM41</f>
        <v>N/A</v>
      </c>
      <c r="Z28" s="263" t="str">
        <f>AN41</f>
        <v>N/A</v>
      </c>
      <c r="AA28" s="236" t="s">
        <v>336</v>
      </c>
      <c r="AB28" s="287">
        <v>25</v>
      </c>
      <c r="AC28" s="246" t="s">
        <v>336</v>
      </c>
      <c r="AD28" s="246" t="s">
        <v>336</v>
      </c>
      <c r="AE28" s="246" t="s">
        <v>336</v>
      </c>
      <c r="AF28" s="246" t="s">
        <v>336</v>
      </c>
      <c r="AG28" s="246" t="s">
        <v>336</v>
      </c>
      <c r="AH28" s="236" t="s">
        <v>336</v>
      </c>
      <c r="AI28" s="287">
        <v>25</v>
      </c>
      <c r="AJ28" s="246" t="s">
        <v>336</v>
      </c>
      <c r="AK28" s="246" t="s">
        <v>336</v>
      </c>
      <c r="AL28" s="246" t="s">
        <v>336</v>
      </c>
      <c r="AM28" s="246" t="s">
        <v>336</v>
      </c>
      <c r="AN28" s="246" t="s">
        <v>336</v>
      </c>
      <c r="AO28" s="236"/>
    </row>
    <row r="29" spans="1:41" x14ac:dyDescent="0.3">
      <c r="A29" s="236"/>
      <c r="B29" s="282">
        <v>39</v>
      </c>
      <c r="C29" s="283" t="str">
        <f>AC42</f>
        <v>N/A</v>
      </c>
      <c r="D29" s="265" t="str">
        <f>AD42</f>
        <v>N/A</v>
      </c>
      <c r="E29" s="265" t="str">
        <f>AE42</f>
        <v>N/A</v>
      </c>
      <c r="F29" s="265" t="str">
        <f>AF42</f>
        <v>N/A</v>
      </c>
      <c r="G29" s="265" t="str">
        <f>AG42</f>
        <v>N/A</v>
      </c>
      <c r="H29" s="284">
        <v>40</v>
      </c>
      <c r="I29" s="265" t="str">
        <f>AC43</f>
        <v>N/A</v>
      </c>
      <c r="J29" s="268" t="str">
        <f>AD43</f>
        <v>N/A</v>
      </c>
      <c r="K29" s="268" t="str">
        <f>AE43</f>
        <v>N/A</v>
      </c>
      <c r="L29" s="268" t="str">
        <f>AF43</f>
        <v>N/A</v>
      </c>
      <c r="M29" s="268" t="str">
        <f>AG43</f>
        <v>N/A</v>
      </c>
      <c r="N29" s="260"/>
      <c r="O29" s="282">
        <v>39</v>
      </c>
      <c r="P29" s="265" t="str">
        <f>AJ42</f>
        <v>N/A</v>
      </c>
      <c r="Q29" s="267" t="str">
        <f>AK42</f>
        <v>N/A</v>
      </c>
      <c r="R29" s="267" t="str">
        <f>AL42</f>
        <v>N/A</v>
      </c>
      <c r="S29" s="267" t="str">
        <f>AM42</f>
        <v>N/A</v>
      </c>
      <c r="T29" s="267" t="str">
        <f>AN42</f>
        <v>N/A</v>
      </c>
      <c r="U29" s="284">
        <v>40</v>
      </c>
      <c r="V29" s="265" t="str">
        <f>AJ43</f>
        <v>N/A</v>
      </c>
      <c r="W29" s="268" t="str">
        <f>AK43</f>
        <v>N/A</v>
      </c>
      <c r="X29" s="268" t="str">
        <f>AL43</f>
        <v>N/A</v>
      </c>
      <c r="Y29" s="268" t="str">
        <f>AM43</f>
        <v>N/A</v>
      </c>
      <c r="Z29" s="268" t="str">
        <f>AN43</f>
        <v>N/A</v>
      </c>
      <c r="AA29" s="236" t="s">
        <v>336</v>
      </c>
      <c r="AB29" s="288">
        <v>26</v>
      </c>
      <c r="AC29" s="254" t="s">
        <v>336</v>
      </c>
      <c r="AD29" s="254" t="s">
        <v>336</v>
      </c>
      <c r="AE29" s="254" t="s">
        <v>336</v>
      </c>
      <c r="AF29" s="254" t="s">
        <v>336</v>
      </c>
      <c r="AG29" s="254" t="s">
        <v>336</v>
      </c>
      <c r="AH29" s="236" t="s">
        <v>336</v>
      </c>
      <c r="AI29" s="288">
        <v>26</v>
      </c>
      <c r="AJ29" s="254" t="s">
        <v>336</v>
      </c>
      <c r="AK29" s="254" t="s">
        <v>336</v>
      </c>
      <c r="AL29" s="254" t="s">
        <v>336</v>
      </c>
      <c r="AM29" s="254" t="s">
        <v>336</v>
      </c>
      <c r="AN29" s="254" t="s">
        <v>336</v>
      </c>
      <c r="AO29" s="236"/>
    </row>
    <row r="30" spans="1:41" x14ac:dyDescent="0.3">
      <c r="A30" s="236"/>
      <c r="B30" s="285">
        <v>41</v>
      </c>
      <c r="C30" s="280" t="str">
        <f>AC44</f>
        <v>N/A</v>
      </c>
      <c r="D30" s="257" t="str">
        <f>AD44</f>
        <v>N/A</v>
      </c>
      <c r="E30" s="257" t="str">
        <f>AE44</f>
        <v>N/A</v>
      </c>
      <c r="F30" s="257" t="str">
        <f>AF44</f>
        <v>N/A</v>
      </c>
      <c r="G30" s="257" t="str">
        <f>AG44</f>
        <v>N/A</v>
      </c>
      <c r="H30" s="286">
        <v>42</v>
      </c>
      <c r="I30" s="257" t="str">
        <f>AC45</f>
        <v>N/A</v>
      </c>
      <c r="J30" s="263" t="str">
        <f>AD45</f>
        <v>N/A</v>
      </c>
      <c r="K30" s="263" t="str">
        <f>AE45</f>
        <v>N/A</v>
      </c>
      <c r="L30" s="263" t="str">
        <f>AF45</f>
        <v>N/A</v>
      </c>
      <c r="M30" s="263" t="str">
        <f>AG45</f>
        <v>N/A</v>
      </c>
      <c r="N30" s="260"/>
      <c r="O30" s="285">
        <v>41</v>
      </c>
      <c r="P30" s="257" t="str">
        <f>AJ44</f>
        <v>N/A</v>
      </c>
      <c r="Q30" s="261" t="str">
        <f>AK44</f>
        <v>N/A</v>
      </c>
      <c r="R30" s="261" t="str">
        <f>AL44</f>
        <v>N/A</v>
      </c>
      <c r="S30" s="261" t="str">
        <f>AM44</f>
        <v>N/A</v>
      </c>
      <c r="T30" s="261" t="str">
        <f>AN44</f>
        <v>N/A</v>
      </c>
      <c r="U30" s="286">
        <v>42</v>
      </c>
      <c r="V30" s="257" t="str">
        <f>AJ45</f>
        <v>N/A</v>
      </c>
      <c r="W30" s="263" t="str">
        <f>AK45</f>
        <v>N/A</v>
      </c>
      <c r="X30" s="263" t="str">
        <f>AL45</f>
        <v>N/A</v>
      </c>
      <c r="Y30" s="263" t="str">
        <f>AM45</f>
        <v>N/A</v>
      </c>
      <c r="Z30" s="263" t="str">
        <f>AN45</f>
        <v>N/A</v>
      </c>
      <c r="AA30" s="236" t="s">
        <v>336</v>
      </c>
      <c r="AB30" s="287">
        <v>27</v>
      </c>
      <c r="AC30" s="246" t="s">
        <v>336</v>
      </c>
      <c r="AD30" s="246" t="s">
        <v>336</v>
      </c>
      <c r="AE30" s="246" t="s">
        <v>336</v>
      </c>
      <c r="AF30" s="246" t="s">
        <v>336</v>
      </c>
      <c r="AG30" s="246" t="s">
        <v>336</v>
      </c>
      <c r="AH30" s="236" t="s">
        <v>336</v>
      </c>
      <c r="AI30" s="287">
        <v>27</v>
      </c>
      <c r="AJ30" s="246" t="s">
        <v>336</v>
      </c>
      <c r="AK30" s="246" t="s">
        <v>336</v>
      </c>
      <c r="AL30" s="246" t="s">
        <v>336</v>
      </c>
      <c r="AM30" s="246" t="s">
        <v>336</v>
      </c>
      <c r="AN30" s="246" t="s">
        <v>336</v>
      </c>
      <c r="AO30" s="236"/>
    </row>
    <row r="31" spans="1:41" ht="15" thickBot="1" x14ac:dyDescent="0.35">
      <c r="A31" s="236"/>
      <c r="B31" s="282">
        <v>43</v>
      </c>
      <c r="C31" s="283" t="str">
        <f>AC46</f>
        <v>N/A</v>
      </c>
      <c r="D31" s="265" t="str">
        <f>AD46</f>
        <v>N/A</v>
      </c>
      <c r="E31" s="265" t="str">
        <f>AE46</f>
        <v>N/A</v>
      </c>
      <c r="F31" s="265" t="str">
        <f>AF46</f>
        <v>N/A</v>
      </c>
      <c r="G31" s="265" t="str">
        <f>AG46</f>
        <v>N/A</v>
      </c>
      <c r="H31" s="284">
        <v>44</v>
      </c>
      <c r="I31" s="265" t="str">
        <f>AC47</f>
        <v>N/A</v>
      </c>
      <c r="J31" s="268" t="str">
        <f>AD47</f>
        <v>N/A</v>
      </c>
      <c r="K31" s="268" t="str">
        <f>AE47</f>
        <v>N/A</v>
      </c>
      <c r="L31" s="268" t="str">
        <f>AF47</f>
        <v>N/A</v>
      </c>
      <c r="M31" s="268" t="str">
        <f>AG47</f>
        <v>N/A</v>
      </c>
      <c r="N31" s="260"/>
      <c r="O31" s="282">
        <v>43</v>
      </c>
      <c r="P31" s="265" t="str">
        <f>AJ46</f>
        <v>N/A</v>
      </c>
      <c r="Q31" s="267" t="str">
        <f>AK46</f>
        <v>N/A</v>
      </c>
      <c r="R31" s="267" t="str">
        <f>AL46</f>
        <v>N/A</v>
      </c>
      <c r="S31" s="267" t="str">
        <f>AM46</f>
        <v>N/A</v>
      </c>
      <c r="T31" s="267" t="str">
        <f>AN46</f>
        <v>N/A</v>
      </c>
      <c r="U31" s="284">
        <v>44</v>
      </c>
      <c r="V31" s="265" t="str">
        <f>AJ47</f>
        <v>N/A</v>
      </c>
      <c r="W31" s="268" t="str">
        <f>AK47</f>
        <v>N/A</v>
      </c>
      <c r="X31" s="268" t="str">
        <f>AL47</f>
        <v>N/A</v>
      </c>
      <c r="Y31" s="268" t="str">
        <f>AM47</f>
        <v>N/A</v>
      </c>
      <c r="Z31" s="268" t="str">
        <f>AN47</f>
        <v>N/A</v>
      </c>
      <c r="AA31" s="236" t="s">
        <v>336</v>
      </c>
      <c r="AB31" s="288">
        <v>28</v>
      </c>
      <c r="AC31" s="254" t="s">
        <v>336</v>
      </c>
      <c r="AD31" s="254" t="s">
        <v>336</v>
      </c>
      <c r="AE31" s="254" t="s">
        <v>336</v>
      </c>
      <c r="AF31" s="254" t="s">
        <v>336</v>
      </c>
      <c r="AG31" s="254" t="s">
        <v>336</v>
      </c>
      <c r="AH31" s="236" t="s">
        <v>336</v>
      </c>
      <c r="AI31" s="288">
        <v>28</v>
      </c>
      <c r="AJ31" s="254" t="s">
        <v>336</v>
      </c>
      <c r="AK31" s="254" t="s">
        <v>336</v>
      </c>
      <c r="AL31" s="254" t="s">
        <v>336</v>
      </c>
      <c r="AM31" s="254" t="s">
        <v>336</v>
      </c>
      <c r="AN31" s="254" t="s">
        <v>336</v>
      </c>
      <c r="AO31" s="236"/>
    </row>
    <row r="32" spans="1:41" x14ac:dyDescent="0.3">
      <c r="A32" s="236"/>
      <c r="B32" s="272" t="s">
        <v>221</v>
      </c>
      <c r="C32" s="168">
        <f>SUM(PowerHBottomSingle)</f>
        <v>0</v>
      </c>
      <c r="D32" s="168">
        <f>SUM(D22:D31)</f>
        <v>0</v>
      </c>
      <c r="E32" s="168">
        <f>SUM(E22:E31)</f>
        <v>0</v>
      </c>
      <c r="F32" s="168">
        <f>SUM(F22:F31)</f>
        <v>0</v>
      </c>
      <c r="G32" s="168">
        <f>SUM(G22:G31)</f>
        <v>0</v>
      </c>
      <c r="H32" s="273" t="s">
        <v>221</v>
      </c>
      <c r="I32" s="168">
        <f>SUM(I22:I31)</f>
        <v>0</v>
      </c>
      <c r="J32" s="274">
        <f>SUM(J22:J31)</f>
        <v>0</v>
      </c>
      <c r="K32" s="168">
        <f>SUM(K22:K31)</f>
        <v>0</v>
      </c>
      <c r="L32" s="274">
        <f>SUM(L22:L31)</f>
        <v>0</v>
      </c>
      <c r="M32" s="274">
        <f>SUM(M22:M31)</f>
        <v>0</v>
      </c>
      <c r="N32" s="168"/>
      <c r="O32" s="272" t="s">
        <v>221</v>
      </c>
      <c r="P32" s="168">
        <f>SUM(P22:P31)</f>
        <v>0</v>
      </c>
      <c r="Q32" s="168">
        <f>SUM(Q22:Q31)</f>
        <v>0</v>
      </c>
      <c r="R32" s="168">
        <f>SUM(R22:R31)</f>
        <v>0</v>
      </c>
      <c r="S32" s="168">
        <f>SUM(S22:S31)</f>
        <v>0</v>
      </c>
      <c r="T32" s="168">
        <f>SUM(T22:T31)</f>
        <v>0</v>
      </c>
      <c r="U32" s="273" t="s">
        <v>221</v>
      </c>
      <c r="V32" s="168">
        <f>SUM(V22:V31)</f>
        <v>0</v>
      </c>
      <c r="W32" s="274">
        <f>SUM(W22:W31)</f>
        <v>0</v>
      </c>
      <c r="X32" s="274">
        <f>SUM(X22:X31)</f>
        <v>0</v>
      </c>
      <c r="Y32" s="274">
        <f>SUM(Y22:Y31)</f>
        <v>0</v>
      </c>
      <c r="Z32" s="274">
        <f>SUM(Z22:Z31)</f>
        <v>0</v>
      </c>
      <c r="AA32" s="236" t="s">
        <v>336</v>
      </c>
      <c r="AB32" s="287">
        <v>29</v>
      </c>
      <c r="AC32" s="246" t="s">
        <v>336</v>
      </c>
      <c r="AD32" s="246" t="s">
        <v>336</v>
      </c>
      <c r="AE32" s="246" t="s">
        <v>336</v>
      </c>
      <c r="AF32" s="246" t="s">
        <v>336</v>
      </c>
      <c r="AG32" s="246" t="s">
        <v>336</v>
      </c>
      <c r="AH32" s="236" t="s">
        <v>336</v>
      </c>
      <c r="AI32" s="287">
        <v>29</v>
      </c>
      <c r="AJ32" s="246" t="s">
        <v>336</v>
      </c>
      <c r="AK32" s="246" t="s">
        <v>336</v>
      </c>
      <c r="AL32" s="246" t="s">
        <v>336</v>
      </c>
      <c r="AM32" s="246" t="s">
        <v>336</v>
      </c>
      <c r="AN32" s="246" t="s">
        <v>336</v>
      </c>
      <c r="AO32" s="236"/>
    </row>
    <row r="33" spans="1:41" x14ac:dyDescent="0.3">
      <c r="A33" s="236"/>
      <c r="B33" s="828"/>
      <c r="C33" s="829"/>
      <c r="D33" s="829"/>
      <c r="E33" s="829"/>
      <c r="F33" s="829"/>
      <c r="G33" s="829"/>
      <c r="H33" s="829"/>
      <c r="I33" s="829"/>
      <c r="J33" s="829"/>
      <c r="K33" s="829"/>
      <c r="L33" s="829"/>
      <c r="M33" s="546"/>
      <c r="N33" s="236"/>
      <c r="O33" s="840"/>
      <c r="P33" s="841"/>
      <c r="Q33" s="841"/>
      <c r="R33" s="841"/>
      <c r="S33" s="841"/>
      <c r="T33" s="841"/>
      <c r="U33" s="841"/>
      <c r="V33" s="841"/>
      <c r="W33" s="841"/>
      <c r="X33" s="841"/>
      <c r="Y33" s="841"/>
      <c r="Z33" s="841"/>
      <c r="AA33" s="236" t="s">
        <v>336</v>
      </c>
      <c r="AB33" s="288">
        <v>30</v>
      </c>
      <c r="AC33" s="254" t="s">
        <v>336</v>
      </c>
      <c r="AD33" s="254" t="s">
        <v>336</v>
      </c>
      <c r="AE33" s="254" t="s">
        <v>336</v>
      </c>
      <c r="AF33" s="254" t="s">
        <v>336</v>
      </c>
      <c r="AG33" s="254" t="s">
        <v>336</v>
      </c>
      <c r="AH33" s="236" t="s">
        <v>336</v>
      </c>
      <c r="AI33" s="288">
        <v>30</v>
      </c>
      <c r="AJ33" s="254" t="s">
        <v>336</v>
      </c>
      <c r="AK33" s="254" t="s">
        <v>336</v>
      </c>
      <c r="AL33" s="254" t="s">
        <v>336</v>
      </c>
      <c r="AM33" s="254" t="s">
        <v>336</v>
      </c>
      <c r="AN33" s="254" t="s">
        <v>336</v>
      </c>
      <c r="AO33" s="236"/>
    </row>
    <row r="34" spans="1:41" x14ac:dyDescent="0.3">
      <c r="A34" s="236"/>
      <c r="B34" s="831" t="s">
        <v>224</v>
      </c>
      <c r="C34" s="832"/>
      <c r="D34" s="832"/>
      <c r="E34" s="832"/>
      <c r="F34" s="833"/>
      <c r="G34" s="541"/>
      <c r="H34" s="831" t="s">
        <v>225</v>
      </c>
      <c r="I34" s="832"/>
      <c r="J34" s="832"/>
      <c r="K34" s="832"/>
      <c r="L34" s="833"/>
      <c r="M34" s="542"/>
      <c r="N34" s="236"/>
      <c r="O34" s="831" t="s">
        <v>224</v>
      </c>
      <c r="P34" s="832"/>
      <c r="Q34" s="832"/>
      <c r="R34" s="832"/>
      <c r="S34" s="833"/>
      <c r="T34" s="541"/>
      <c r="U34" s="831" t="s">
        <v>225</v>
      </c>
      <c r="V34" s="832"/>
      <c r="W34" s="832"/>
      <c r="X34" s="832"/>
      <c r="Y34" s="833"/>
      <c r="Z34" s="542"/>
      <c r="AA34" s="236" t="s">
        <v>336</v>
      </c>
      <c r="AB34" s="287">
        <v>31</v>
      </c>
      <c r="AC34" s="246" t="s">
        <v>336</v>
      </c>
      <c r="AD34" s="246" t="s">
        <v>336</v>
      </c>
      <c r="AE34" s="246" t="s">
        <v>336</v>
      </c>
      <c r="AF34" s="246" t="s">
        <v>336</v>
      </c>
      <c r="AG34" s="246" t="s">
        <v>336</v>
      </c>
      <c r="AH34" s="236" t="s">
        <v>336</v>
      </c>
      <c r="AI34" s="287">
        <v>31</v>
      </c>
      <c r="AJ34" s="246" t="s">
        <v>336</v>
      </c>
      <c r="AK34" s="246" t="s">
        <v>336</v>
      </c>
      <c r="AL34" s="246" t="s">
        <v>336</v>
      </c>
      <c r="AM34" s="246" t="s">
        <v>336</v>
      </c>
      <c r="AN34" s="246" t="s">
        <v>336</v>
      </c>
      <c r="AO34" s="236"/>
    </row>
    <row r="35" spans="1:41" x14ac:dyDescent="0.3">
      <c r="A35" s="236"/>
      <c r="B35" s="837"/>
      <c r="C35" s="838"/>
      <c r="D35" s="838"/>
      <c r="E35" s="838"/>
      <c r="F35" s="839"/>
      <c r="G35" s="542"/>
      <c r="H35" s="834"/>
      <c r="I35" s="835"/>
      <c r="J35" s="835"/>
      <c r="K35" s="835"/>
      <c r="L35" s="836"/>
      <c r="M35" s="542"/>
      <c r="N35" s="236"/>
      <c r="O35" s="837"/>
      <c r="P35" s="838"/>
      <c r="Q35" s="838"/>
      <c r="R35" s="838"/>
      <c r="S35" s="839"/>
      <c r="T35" s="542"/>
      <c r="U35" s="834"/>
      <c r="V35" s="835"/>
      <c r="W35" s="835"/>
      <c r="X35" s="835"/>
      <c r="Y35" s="836"/>
      <c r="Z35" s="542"/>
      <c r="AA35" s="236" t="s">
        <v>336</v>
      </c>
      <c r="AB35" s="288">
        <v>32</v>
      </c>
      <c r="AC35" s="254" t="s">
        <v>336</v>
      </c>
      <c r="AD35" s="254" t="s">
        <v>336</v>
      </c>
      <c r="AE35" s="254" t="s">
        <v>336</v>
      </c>
      <c r="AF35" s="254" t="s">
        <v>336</v>
      </c>
      <c r="AG35" s="254" t="s">
        <v>336</v>
      </c>
      <c r="AH35" s="236" t="s">
        <v>336</v>
      </c>
      <c r="AI35" s="288">
        <v>32</v>
      </c>
      <c r="AJ35" s="254" t="s">
        <v>336</v>
      </c>
      <c r="AK35" s="254" t="s">
        <v>336</v>
      </c>
      <c r="AL35" s="254" t="s">
        <v>336</v>
      </c>
      <c r="AM35" s="254" t="s">
        <v>336</v>
      </c>
      <c r="AN35" s="254" t="s">
        <v>336</v>
      </c>
      <c r="AO35" s="236"/>
    </row>
    <row r="36" spans="1:41" x14ac:dyDescent="0.3">
      <c r="A36" s="236"/>
      <c r="B36" s="820" t="s">
        <v>226</v>
      </c>
      <c r="C36" s="821"/>
      <c r="D36" s="570">
        <f>C18</f>
        <v>0</v>
      </c>
      <c r="E36" s="573"/>
      <c r="F36" s="577" t="s">
        <v>543</v>
      </c>
      <c r="G36" s="545">
        <f>G18</f>
        <v>0</v>
      </c>
      <c r="H36" s="820" t="s">
        <v>226</v>
      </c>
      <c r="I36" s="821"/>
      <c r="J36" s="570">
        <f>I18</f>
        <v>0</v>
      </c>
      <c r="K36" s="573"/>
      <c r="L36" s="577" t="s">
        <v>543</v>
      </c>
      <c r="M36" s="545">
        <f>M18</f>
        <v>0</v>
      </c>
      <c r="N36" s="236"/>
      <c r="O36" s="820" t="s">
        <v>226</v>
      </c>
      <c r="P36" s="830"/>
      <c r="Q36" s="570">
        <f>P18</f>
        <v>0</v>
      </c>
      <c r="R36" s="573"/>
      <c r="S36" s="577" t="s">
        <v>543</v>
      </c>
      <c r="T36" s="545">
        <f>T18</f>
        <v>0</v>
      </c>
      <c r="U36" s="820" t="s">
        <v>226</v>
      </c>
      <c r="V36" s="821"/>
      <c r="W36" s="570">
        <f>V18</f>
        <v>0</v>
      </c>
      <c r="X36" s="573"/>
      <c r="Y36" s="577" t="s">
        <v>543</v>
      </c>
      <c r="Z36" s="545">
        <f>Z18</f>
        <v>0</v>
      </c>
      <c r="AA36" s="236" t="s">
        <v>336</v>
      </c>
      <c r="AB36" s="287">
        <v>33</v>
      </c>
      <c r="AC36" s="246" t="s">
        <v>336</v>
      </c>
      <c r="AD36" s="246" t="s">
        <v>336</v>
      </c>
      <c r="AE36" s="246" t="s">
        <v>336</v>
      </c>
      <c r="AF36" s="246" t="s">
        <v>336</v>
      </c>
      <c r="AG36" s="246" t="s">
        <v>336</v>
      </c>
      <c r="AH36" s="236" t="s">
        <v>336</v>
      </c>
      <c r="AI36" s="287">
        <v>33</v>
      </c>
      <c r="AJ36" s="246" t="s">
        <v>336</v>
      </c>
      <c r="AK36" s="246" t="s">
        <v>336</v>
      </c>
      <c r="AL36" s="246" t="s">
        <v>336</v>
      </c>
      <c r="AM36" s="246" t="s">
        <v>336</v>
      </c>
      <c r="AN36" s="246" t="s">
        <v>336</v>
      </c>
      <c r="AO36" s="236"/>
    </row>
    <row r="37" spans="1:41" ht="15" thickBot="1" x14ac:dyDescent="0.35">
      <c r="A37" s="236"/>
      <c r="B37" s="813" t="s">
        <v>227</v>
      </c>
      <c r="C37" s="814"/>
      <c r="D37" s="571">
        <f>D18</f>
        <v>0</v>
      </c>
      <c r="E37" s="574"/>
      <c r="F37" s="568"/>
      <c r="G37" s="579"/>
      <c r="H37" s="813" t="s">
        <v>227</v>
      </c>
      <c r="I37" s="814"/>
      <c r="J37" s="571">
        <f>J18</f>
        <v>0</v>
      </c>
      <c r="K37" s="574"/>
      <c r="L37" s="568"/>
      <c r="M37" s="579"/>
      <c r="N37" s="236"/>
      <c r="O37" s="815" t="s">
        <v>227</v>
      </c>
      <c r="P37" s="816"/>
      <c r="Q37" s="571">
        <f>Q18</f>
        <v>0</v>
      </c>
      <c r="R37" s="574"/>
      <c r="S37" s="568"/>
      <c r="T37" s="579"/>
      <c r="U37" s="813" t="s">
        <v>227</v>
      </c>
      <c r="V37" s="814"/>
      <c r="W37" s="571">
        <f>W18</f>
        <v>0</v>
      </c>
      <c r="X37" s="574"/>
      <c r="Y37" s="568"/>
      <c r="Z37" s="579"/>
      <c r="AA37" s="236" t="s">
        <v>336</v>
      </c>
      <c r="AB37" s="288">
        <v>34</v>
      </c>
      <c r="AC37" s="254" t="s">
        <v>336</v>
      </c>
      <c r="AD37" s="254" t="s">
        <v>336</v>
      </c>
      <c r="AE37" s="254" t="s">
        <v>336</v>
      </c>
      <c r="AF37" s="254" t="s">
        <v>336</v>
      </c>
      <c r="AG37" s="254" t="s">
        <v>336</v>
      </c>
      <c r="AH37" s="236" t="s">
        <v>336</v>
      </c>
      <c r="AI37" s="288">
        <v>34</v>
      </c>
      <c r="AJ37" s="254" t="s">
        <v>336</v>
      </c>
      <c r="AK37" s="254" t="s">
        <v>336</v>
      </c>
      <c r="AL37" s="254" t="s">
        <v>336</v>
      </c>
      <c r="AM37" s="254" t="s">
        <v>336</v>
      </c>
      <c r="AN37" s="254" t="s">
        <v>336</v>
      </c>
      <c r="AO37" s="236"/>
    </row>
    <row r="38" spans="1:41" x14ac:dyDescent="0.3">
      <c r="A38" s="236"/>
      <c r="B38" s="820" t="s">
        <v>334</v>
      </c>
      <c r="C38" s="821"/>
      <c r="D38" s="567">
        <f>E18</f>
        <v>0</v>
      </c>
      <c r="E38" s="575"/>
      <c r="F38" s="569"/>
      <c r="G38" s="580"/>
      <c r="H38" s="820" t="s">
        <v>334</v>
      </c>
      <c r="I38" s="821"/>
      <c r="J38" s="567">
        <f>K18</f>
        <v>0</v>
      </c>
      <c r="K38" s="575"/>
      <c r="L38" s="569"/>
      <c r="M38" s="580"/>
      <c r="N38" s="236"/>
      <c r="O38" s="817" t="s">
        <v>334</v>
      </c>
      <c r="P38" s="819"/>
      <c r="Q38" s="567">
        <f>R18</f>
        <v>0</v>
      </c>
      <c r="R38" s="575"/>
      <c r="S38" s="569"/>
      <c r="T38" s="580"/>
      <c r="U38" s="820" t="s">
        <v>334</v>
      </c>
      <c r="V38" s="821"/>
      <c r="W38" s="567">
        <f>X18</f>
        <v>0</v>
      </c>
      <c r="X38" s="575"/>
      <c r="Y38" s="569"/>
      <c r="Z38" s="580"/>
      <c r="AA38" s="236" t="s">
        <v>336</v>
      </c>
      <c r="AB38" s="287">
        <v>35</v>
      </c>
      <c r="AC38" s="246" t="s">
        <v>336</v>
      </c>
      <c r="AD38" s="246" t="s">
        <v>336</v>
      </c>
      <c r="AE38" s="246" t="s">
        <v>336</v>
      </c>
      <c r="AF38" s="246" t="s">
        <v>336</v>
      </c>
      <c r="AG38" s="246" t="s">
        <v>336</v>
      </c>
      <c r="AH38" s="236" t="s">
        <v>336</v>
      </c>
      <c r="AI38" s="287">
        <v>35</v>
      </c>
      <c r="AJ38" s="246" t="s">
        <v>336</v>
      </c>
      <c r="AK38" s="246" t="s">
        <v>336</v>
      </c>
      <c r="AL38" s="246" t="s">
        <v>336</v>
      </c>
      <c r="AM38" s="246" t="s">
        <v>336</v>
      </c>
      <c r="AN38" s="246" t="s">
        <v>336</v>
      </c>
      <c r="AO38" s="236"/>
    </row>
    <row r="39" spans="1:41" ht="15" thickBot="1" x14ac:dyDescent="0.35">
      <c r="A39" s="236"/>
      <c r="B39" s="813" t="s">
        <v>335</v>
      </c>
      <c r="C39" s="814"/>
      <c r="D39" s="572">
        <f>F18</f>
        <v>0</v>
      </c>
      <c r="E39" s="576"/>
      <c r="F39" s="569"/>
      <c r="G39" s="580"/>
      <c r="H39" s="813" t="s">
        <v>335</v>
      </c>
      <c r="I39" s="814"/>
      <c r="J39" s="572">
        <f>L18</f>
        <v>0</v>
      </c>
      <c r="K39" s="576"/>
      <c r="L39" s="569"/>
      <c r="M39" s="580"/>
      <c r="N39" s="236"/>
      <c r="O39" s="815" t="s">
        <v>335</v>
      </c>
      <c r="P39" s="816"/>
      <c r="Q39" s="572">
        <f>S18</f>
        <v>0</v>
      </c>
      <c r="R39" s="576"/>
      <c r="S39" s="569"/>
      <c r="T39" s="580"/>
      <c r="U39" s="813" t="s">
        <v>335</v>
      </c>
      <c r="V39" s="814"/>
      <c r="W39" s="572">
        <f>Y18</f>
        <v>0</v>
      </c>
      <c r="X39" s="576"/>
      <c r="Y39" s="569"/>
      <c r="Z39" s="580"/>
      <c r="AA39" s="236" t="s">
        <v>336</v>
      </c>
      <c r="AB39" s="288">
        <v>36</v>
      </c>
      <c r="AC39" s="254" t="s">
        <v>336</v>
      </c>
      <c r="AD39" s="254" t="s">
        <v>336</v>
      </c>
      <c r="AE39" s="254" t="s">
        <v>336</v>
      </c>
      <c r="AF39" s="254" t="s">
        <v>336</v>
      </c>
      <c r="AG39" s="254" t="s">
        <v>336</v>
      </c>
      <c r="AH39" s="236" t="s">
        <v>336</v>
      </c>
      <c r="AI39" s="288">
        <v>36</v>
      </c>
      <c r="AJ39" s="254" t="s">
        <v>336</v>
      </c>
      <c r="AK39" s="254" t="s">
        <v>336</v>
      </c>
      <c r="AL39" s="254" t="s">
        <v>336</v>
      </c>
      <c r="AM39" s="254" t="s">
        <v>336</v>
      </c>
      <c r="AN39" s="254" t="s">
        <v>336</v>
      </c>
      <c r="AO39" s="236"/>
    </row>
    <row r="40" spans="1:41" x14ac:dyDescent="0.3">
      <c r="A40" s="236"/>
      <c r="B40" s="817" t="s">
        <v>221</v>
      </c>
      <c r="C40" s="818"/>
      <c r="D40" s="851">
        <f>SUM(D36:D39,G36:G39)</f>
        <v>0</v>
      </c>
      <c r="E40" s="851"/>
      <c r="F40" s="851"/>
      <c r="G40" s="852"/>
      <c r="H40" s="817" t="s">
        <v>221</v>
      </c>
      <c r="I40" s="818"/>
      <c r="J40" s="851">
        <f>SUM(J36:M39)</f>
        <v>0</v>
      </c>
      <c r="K40" s="851"/>
      <c r="L40" s="851"/>
      <c r="M40" s="852"/>
      <c r="N40" s="236"/>
      <c r="O40" s="817" t="s">
        <v>221</v>
      </c>
      <c r="P40" s="818"/>
      <c r="Q40" s="851">
        <f>SUM(Q36:Q39,T36:T39)</f>
        <v>0</v>
      </c>
      <c r="R40" s="851"/>
      <c r="S40" s="851"/>
      <c r="T40" s="852"/>
      <c r="U40" s="817" t="s">
        <v>221</v>
      </c>
      <c r="V40" s="818"/>
      <c r="W40" s="851">
        <f>SUM(W36:Y39,Z36)</f>
        <v>0</v>
      </c>
      <c r="X40" s="851"/>
      <c r="Y40" s="851"/>
      <c r="Z40" s="852"/>
      <c r="AA40" s="236" t="s">
        <v>336</v>
      </c>
      <c r="AB40" s="287">
        <v>37</v>
      </c>
      <c r="AC40" s="246" t="s">
        <v>336</v>
      </c>
      <c r="AD40" s="246" t="s">
        <v>336</v>
      </c>
      <c r="AE40" s="246" t="s">
        <v>336</v>
      </c>
      <c r="AF40" s="246" t="s">
        <v>336</v>
      </c>
      <c r="AG40" s="246" t="s">
        <v>336</v>
      </c>
      <c r="AH40" s="236" t="s">
        <v>336</v>
      </c>
      <c r="AI40" s="287">
        <v>37</v>
      </c>
      <c r="AJ40" s="246" t="s">
        <v>336</v>
      </c>
      <c r="AK40" s="246" t="s">
        <v>336</v>
      </c>
      <c r="AL40" s="246" t="s">
        <v>336</v>
      </c>
      <c r="AM40" s="246" t="s">
        <v>336</v>
      </c>
      <c r="AN40" s="246" t="s">
        <v>336</v>
      </c>
      <c r="AO40" s="236"/>
    </row>
    <row r="41" spans="1:41" x14ac:dyDescent="0.3">
      <c r="A41" s="236"/>
      <c r="B41" s="842"/>
      <c r="C41" s="843"/>
      <c r="D41" s="858"/>
      <c r="E41" s="858"/>
      <c r="F41" s="858"/>
      <c r="G41" s="859"/>
      <c r="H41" s="842"/>
      <c r="I41" s="843"/>
      <c r="J41" s="858"/>
      <c r="K41" s="858"/>
      <c r="L41" s="858"/>
      <c r="M41" s="859"/>
      <c r="N41" s="236"/>
      <c r="O41" s="842"/>
      <c r="P41" s="843"/>
      <c r="Q41" s="858"/>
      <c r="R41" s="858"/>
      <c r="S41" s="858"/>
      <c r="T41" s="859"/>
      <c r="U41" s="842"/>
      <c r="V41" s="843"/>
      <c r="W41" s="858"/>
      <c r="X41" s="858"/>
      <c r="Y41" s="858"/>
      <c r="Z41" s="859"/>
      <c r="AA41" s="236" t="s">
        <v>336</v>
      </c>
      <c r="AB41" s="288">
        <v>38</v>
      </c>
      <c r="AC41" s="254" t="s">
        <v>336</v>
      </c>
      <c r="AD41" s="254" t="s">
        <v>336</v>
      </c>
      <c r="AE41" s="254" t="s">
        <v>336</v>
      </c>
      <c r="AF41" s="254" t="s">
        <v>336</v>
      </c>
      <c r="AG41" s="254" t="s">
        <v>336</v>
      </c>
      <c r="AH41" s="236" t="s">
        <v>336</v>
      </c>
      <c r="AI41" s="288">
        <v>38</v>
      </c>
      <c r="AJ41" s="254" t="s">
        <v>336</v>
      </c>
      <c r="AK41" s="254" t="s">
        <v>336</v>
      </c>
      <c r="AL41" s="254" t="s">
        <v>336</v>
      </c>
      <c r="AM41" s="254" t="s">
        <v>336</v>
      </c>
      <c r="AN41" s="254" t="s">
        <v>336</v>
      </c>
      <c r="AO41" s="236"/>
    </row>
    <row r="42" spans="1:41" x14ac:dyDescent="0.3">
      <c r="A42" s="236"/>
      <c r="B42" s="822"/>
      <c r="C42" s="823"/>
      <c r="D42" s="823"/>
      <c r="E42" s="823"/>
      <c r="F42" s="823"/>
      <c r="G42" s="823"/>
      <c r="H42" s="823"/>
      <c r="I42" s="823"/>
      <c r="J42" s="823"/>
      <c r="K42" s="823"/>
      <c r="L42" s="823"/>
      <c r="M42" s="823"/>
      <c r="N42" s="236"/>
      <c r="O42" s="822"/>
      <c r="P42" s="823"/>
      <c r="Q42" s="823"/>
      <c r="R42" s="823"/>
      <c r="S42" s="823"/>
      <c r="T42" s="823"/>
      <c r="U42" s="823"/>
      <c r="V42" s="823"/>
      <c r="W42" s="823"/>
      <c r="X42" s="823"/>
      <c r="Y42" s="823"/>
      <c r="Z42" s="823"/>
      <c r="AA42" s="236" t="s">
        <v>336</v>
      </c>
      <c r="AB42" s="287">
        <v>39</v>
      </c>
      <c r="AC42" s="246" t="s">
        <v>336</v>
      </c>
      <c r="AD42" s="246" t="s">
        <v>336</v>
      </c>
      <c r="AE42" s="246" t="s">
        <v>336</v>
      </c>
      <c r="AF42" s="246" t="s">
        <v>336</v>
      </c>
      <c r="AG42" s="246" t="s">
        <v>336</v>
      </c>
      <c r="AH42" s="236" t="s">
        <v>336</v>
      </c>
      <c r="AI42" s="287">
        <v>39</v>
      </c>
      <c r="AJ42" s="246" t="s">
        <v>336</v>
      </c>
      <c r="AK42" s="246" t="s">
        <v>336</v>
      </c>
      <c r="AL42" s="246" t="s">
        <v>336</v>
      </c>
      <c r="AM42" s="246" t="s">
        <v>336</v>
      </c>
      <c r="AN42" s="246" t="s">
        <v>336</v>
      </c>
      <c r="AO42" s="236"/>
    </row>
    <row r="43" spans="1:41" x14ac:dyDescent="0.3">
      <c r="A43" s="236"/>
      <c r="B43" s="820" t="s">
        <v>228</v>
      </c>
      <c r="C43" s="821"/>
      <c r="D43" s="564">
        <f>C32</f>
        <v>0</v>
      </c>
      <c r="E43" s="569"/>
      <c r="F43" s="577" t="s">
        <v>544</v>
      </c>
      <c r="G43" s="545">
        <f>G32</f>
        <v>0</v>
      </c>
      <c r="H43" s="820" t="s">
        <v>228</v>
      </c>
      <c r="I43" s="821"/>
      <c r="J43" s="564">
        <f>I32</f>
        <v>0</v>
      </c>
      <c r="K43" s="569"/>
      <c r="L43" s="577" t="s">
        <v>544</v>
      </c>
      <c r="M43" s="545">
        <f>M32</f>
        <v>0</v>
      </c>
      <c r="N43" s="236"/>
      <c r="O43" s="855" t="s">
        <v>228</v>
      </c>
      <c r="P43" s="856"/>
      <c r="Q43" s="564">
        <f>P32</f>
        <v>0</v>
      </c>
      <c r="R43" s="569"/>
      <c r="S43" s="577" t="s">
        <v>544</v>
      </c>
      <c r="T43" s="545">
        <f>T32</f>
        <v>0</v>
      </c>
      <c r="U43" s="820" t="s">
        <v>228</v>
      </c>
      <c r="V43" s="821"/>
      <c r="W43" s="564">
        <f>V32</f>
        <v>0</v>
      </c>
      <c r="X43" s="569"/>
      <c r="Y43" s="577" t="s">
        <v>544</v>
      </c>
      <c r="Z43" s="545">
        <f>Z32</f>
        <v>0</v>
      </c>
      <c r="AA43" s="236" t="s">
        <v>336</v>
      </c>
      <c r="AB43" s="288">
        <v>40</v>
      </c>
      <c r="AC43" s="254" t="s">
        <v>336</v>
      </c>
      <c r="AD43" s="254" t="s">
        <v>336</v>
      </c>
      <c r="AE43" s="254" t="s">
        <v>336</v>
      </c>
      <c r="AF43" s="254" t="s">
        <v>336</v>
      </c>
      <c r="AG43" s="254" t="s">
        <v>336</v>
      </c>
      <c r="AH43" s="236" t="s">
        <v>336</v>
      </c>
      <c r="AI43" s="288">
        <v>40</v>
      </c>
      <c r="AJ43" s="254" t="s">
        <v>336</v>
      </c>
      <c r="AK43" s="254" t="s">
        <v>336</v>
      </c>
      <c r="AL43" s="254" t="s">
        <v>336</v>
      </c>
      <c r="AM43" s="254" t="s">
        <v>336</v>
      </c>
      <c r="AN43" s="254" t="s">
        <v>336</v>
      </c>
      <c r="AO43" s="236"/>
    </row>
    <row r="44" spans="1:41" ht="15" thickBot="1" x14ac:dyDescent="0.35">
      <c r="A44" s="236"/>
      <c r="B44" s="289" t="s">
        <v>229</v>
      </c>
      <c r="C44" s="290"/>
      <c r="D44" s="566">
        <f>D32</f>
        <v>0</v>
      </c>
      <c r="E44" s="569"/>
      <c r="F44" s="569"/>
      <c r="G44" s="578"/>
      <c r="H44" s="289" t="s">
        <v>229</v>
      </c>
      <c r="I44" s="290"/>
      <c r="J44" s="566">
        <f>J32</f>
        <v>0</v>
      </c>
      <c r="K44" s="569"/>
      <c r="L44" s="569"/>
      <c r="M44" s="578"/>
      <c r="N44" s="236"/>
      <c r="O44" s="289" t="s">
        <v>229</v>
      </c>
      <c r="P44" s="290"/>
      <c r="Q44" s="566">
        <f>Q32</f>
        <v>0</v>
      </c>
      <c r="R44" s="569"/>
      <c r="S44" s="569"/>
      <c r="T44" s="578"/>
      <c r="U44" s="289" t="s">
        <v>229</v>
      </c>
      <c r="V44" s="290"/>
      <c r="W44" s="566">
        <f>W32</f>
        <v>0</v>
      </c>
      <c r="X44" s="569"/>
      <c r="Y44" s="569"/>
      <c r="Z44" s="578"/>
      <c r="AA44" s="236" t="s">
        <v>336</v>
      </c>
      <c r="AB44" s="287">
        <v>41</v>
      </c>
      <c r="AC44" s="246" t="s">
        <v>336</v>
      </c>
      <c r="AD44" s="246" t="s">
        <v>336</v>
      </c>
      <c r="AE44" s="246" t="s">
        <v>336</v>
      </c>
      <c r="AF44" s="246" t="s">
        <v>336</v>
      </c>
      <c r="AG44" s="246" t="s">
        <v>336</v>
      </c>
      <c r="AH44" s="236" t="s">
        <v>336</v>
      </c>
      <c r="AI44" s="287">
        <v>41</v>
      </c>
      <c r="AJ44" s="246" t="s">
        <v>336</v>
      </c>
      <c r="AK44" s="246" t="s">
        <v>336</v>
      </c>
      <c r="AL44" s="246" t="s">
        <v>336</v>
      </c>
      <c r="AM44" s="246" t="s">
        <v>336</v>
      </c>
      <c r="AN44" s="246" t="s">
        <v>336</v>
      </c>
      <c r="AO44" s="236"/>
    </row>
    <row r="45" spans="1:41" x14ac:dyDescent="0.3">
      <c r="A45" s="236"/>
      <c r="B45" s="820" t="s">
        <v>384</v>
      </c>
      <c r="C45" s="821"/>
      <c r="D45" s="564">
        <f>E32</f>
        <v>0</v>
      </c>
      <c r="E45" s="569"/>
      <c r="F45" s="569"/>
      <c r="G45" s="578"/>
      <c r="H45" s="820" t="s">
        <v>384</v>
      </c>
      <c r="I45" s="821"/>
      <c r="J45" s="564">
        <f>K32</f>
        <v>0</v>
      </c>
      <c r="K45" s="569"/>
      <c r="L45" s="569"/>
      <c r="M45" s="578"/>
      <c r="N45" s="236"/>
      <c r="O45" s="817" t="s">
        <v>384</v>
      </c>
      <c r="P45" s="819"/>
      <c r="Q45" s="564">
        <f>R32</f>
        <v>0</v>
      </c>
      <c r="R45" s="569"/>
      <c r="S45" s="569"/>
      <c r="T45" s="578"/>
      <c r="U45" s="820" t="s">
        <v>384</v>
      </c>
      <c r="V45" s="821"/>
      <c r="W45" s="564">
        <f>X32</f>
        <v>0</v>
      </c>
      <c r="X45" s="569"/>
      <c r="Y45" s="569"/>
      <c r="Z45" s="578"/>
      <c r="AA45" s="236" t="s">
        <v>336</v>
      </c>
      <c r="AB45" s="288">
        <v>42</v>
      </c>
      <c r="AC45" s="254" t="s">
        <v>336</v>
      </c>
      <c r="AD45" s="254" t="s">
        <v>336</v>
      </c>
      <c r="AE45" s="254" t="s">
        <v>336</v>
      </c>
      <c r="AF45" s="254" t="s">
        <v>336</v>
      </c>
      <c r="AG45" s="254" t="s">
        <v>336</v>
      </c>
      <c r="AH45" s="236" t="s">
        <v>336</v>
      </c>
      <c r="AI45" s="288">
        <v>42</v>
      </c>
      <c r="AJ45" s="254" t="s">
        <v>336</v>
      </c>
      <c r="AK45" s="254" t="s">
        <v>336</v>
      </c>
      <c r="AL45" s="254" t="s">
        <v>336</v>
      </c>
      <c r="AM45" s="254" t="s">
        <v>336</v>
      </c>
      <c r="AN45" s="254" t="s">
        <v>336</v>
      </c>
      <c r="AO45" s="236"/>
    </row>
    <row r="46" spans="1:41" x14ac:dyDescent="0.3">
      <c r="A46" s="236"/>
      <c r="B46" s="811" t="s">
        <v>385</v>
      </c>
      <c r="C46" s="812"/>
      <c r="D46" s="565">
        <f>F32</f>
        <v>0</v>
      </c>
      <c r="E46" s="569"/>
      <c r="F46" s="569"/>
      <c r="G46" s="578"/>
      <c r="H46" s="811" t="s">
        <v>385</v>
      </c>
      <c r="I46" s="812"/>
      <c r="J46" s="565">
        <f>L32</f>
        <v>0</v>
      </c>
      <c r="K46" s="569"/>
      <c r="L46" s="569"/>
      <c r="M46" s="578"/>
      <c r="N46" s="236"/>
      <c r="O46" s="853" t="s">
        <v>385</v>
      </c>
      <c r="P46" s="854"/>
      <c r="Q46" s="565">
        <f>S32</f>
        <v>0</v>
      </c>
      <c r="R46" s="569"/>
      <c r="S46" s="569"/>
      <c r="T46" s="578"/>
      <c r="U46" s="811" t="s">
        <v>385</v>
      </c>
      <c r="V46" s="812"/>
      <c r="W46" s="565">
        <f>Y32</f>
        <v>0</v>
      </c>
      <c r="X46" s="569"/>
      <c r="Y46" s="569"/>
      <c r="Z46" s="578"/>
      <c r="AA46" s="236" t="s">
        <v>336</v>
      </c>
      <c r="AB46" s="287">
        <v>43</v>
      </c>
      <c r="AC46" s="246" t="s">
        <v>336</v>
      </c>
      <c r="AD46" s="246" t="s">
        <v>336</v>
      </c>
      <c r="AE46" s="246" t="s">
        <v>336</v>
      </c>
      <c r="AF46" s="246" t="s">
        <v>336</v>
      </c>
      <c r="AG46" s="246" t="s">
        <v>336</v>
      </c>
      <c r="AH46" s="236" t="s">
        <v>336</v>
      </c>
      <c r="AI46" s="287">
        <v>43</v>
      </c>
      <c r="AJ46" s="246" t="s">
        <v>336</v>
      </c>
      <c r="AK46" s="246" t="s">
        <v>336</v>
      </c>
      <c r="AL46" s="246" t="s">
        <v>336</v>
      </c>
      <c r="AM46" s="246" t="s">
        <v>336</v>
      </c>
      <c r="AN46" s="246" t="s">
        <v>336</v>
      </c>
      <c r="AO46" s="236"/>
    </row>
    <row r="47" spans="1:41" x14ac:dyDescent="0.3">
      <c r="A47" s="236"/>
      <c r="B47" s="291" t="s">
        <v>221</v>
      </c>
      <c r="C47" s="291"/>
      <c r="D47" s="850">
        <f>SUM(D43:D46,G43:G46)</f>
        <v>0</v>
      </c>
      <c r="E47" s="851"/>
      <c r="F47" s="851"/>
      <c r="G47" s="852"/>
      <c r="H47" s="291" t="s">
        <v>221</v>
      </c>
      <c r="I47" s="291"/>
      <c r="J47" s="850">
        <f>SUM(J43:J46,M43:M46)</f>
        <v>0</v>
      </c>
      <c r="K47" s="851"/>
      <c r="L47" s="851"/>
      <c r="M47" s="852"/>
      <c r="N47" s="236"/>
      <c r="O47" s="291" t="s">
        <v>221</v>
      </c>
      <c r="P47" s="291"/>
      <c r="Q47" s="850">
        <f>SUM(Q43:Q46,T43:T46)</f>
        <v>0</v>
      </c>
      <c r="R47" s="851"/>
      <c r="S47" s="851"/>
      <c r="T47" s="852"/>
      <c r="U47" s="291" t="s">
        <v>221</v>
      </c>
      <c r="V47" s="291"/>
      <c r="W47" s="850">
        <f>SUM(W43:W46,Z43:Z46)</f>
        <v>0</v>
      </c>
      <c r="X47" s="851"/>
      <c r="Y47" s="851"/>
      <c r="Z47" s="852"/>
      <c r="AA47" s="236" t="s">
        <v>336</v>
      </c>
      <c r="AB47" s="292">
        <v>44</v>
      </c>
      <c r="AC47" s="293" t="s">
        <v>336</v>
      </c>
      <c r="AD47" s="293" t="s">
        <v>336</v>
      </c>
      <c r="AE47" s="293" t="s">
        <v>336</v>
      </c>
      <c r="AF47" s="254" t="s">
        <v>336</v>
      </c>
      <c r="AG47" s="254" t="s">
        <v>336</v>
      </c>
      <c r="AH47" s="236" t="s">
        <v>336</v>
      </c>
      <c r="AI47" s="292">
        <v>44</v>
      </c>
      <c r="AJ47" s="293" t="s">
        <v>336</v>
      </c>
      <c r="AK47" s="293" t="s">
        <v>336</v>
      </c>
      <c r="AL47" s="293" t="s">
        <v>336</v>
      </c>
      <c r="AM47" s="254" t="s">
        <v>336</v>
      </c>
      <c r="AN47" s="254" t="s">
        <v>336</v>
      </c>
      <c r="AO47" s="236"/>
    </row>
    <row r="48" spans="1:41" x14ac:dyDescent="0.3">
      <c r="A48" s="236"/>
      <c r="B48" s="294" t="s">
        <v>253</v>
      </c>
      <c r="C48" s="294"/>
      <c r="D48" s="857"/>
      <c r="E48" s="858"/>
      <c r="F48" s="858"/>
      <c r="G48" s="859"/>
      <c r="H48" s="294"/>
      <c r="I48" s="294"/>
      <c r="J48" s="857"/>
      <c r="K48" s="858"/>
      <c r="L48" s="858"/>
      <c r="M48" s="859"/>
      <c r="N48" s="236"/>
      <c r="O48" s="294"/>
      <c r="P48" s="294"/>
      <c r="Q48" s="857"/>
      <c r="R48" s="858"/>
      <c r="S48" s="858"/>
      <c r="T48" s="859"/>
      <c r="U48" s="294"/>
      <c r="V48" s="294"/>
      <c r="W48" s="857"/>
      <c r="X48" s="858"/>
      <c r="Y48" s="858"/>
      <c r="Z48" s="859"/>
      <c r="AA48" s="236"/>
      <c r="AB48" s="236"/>
      <c r="AC48" s="236"/>
      <c r="AD48" s="236">
        <v>0.60499999999999998</v>
      </c>
      <c r="AE48" s="236">
        <v>1.8333333333333333</v>
      </c>
      <c r="AF48" s="236"/>
      <c r="AG48" s="236"/>
      <c r="AH48" s="236"/>
      <c r="AI48" s="236"/>
      <c r="AJ48" s="236"/>
      <c r="AK48" s="236">
        <v>0.60499999999999998</v>
      </c>
      <c r="AL48" s="236"/>
      <c r="AM48" s="236"/>
      <c r="AN48" s="236"/>
      <c r="AO48" s="236"/>
    </row>
    <row r="49" spans="1:41" x14ac:dyDescent="0.3">
      <c r="A49" s="236"/>
      <c r="B49" s="824"/>
      <c r="C49" s="825"/>
      <c r="D49" s="825"/>
      <c r="E49" s="825"/>
      <c r="F49" s="825"/>
      <c r="G49" s="825"/>
      <c r="H49" s="825"/>
      <c r="I49" s="825"/>
      <c r="J49" s="825"/>
      <c r="K49" s="825"/>
      <c r="L49" s="825"/>
      <c r="M49" s="825"/>
      <c r="N49" s="236"/>
      <c r="O49" s="824"/>
      <c r="P49" s="825"/>
      <c r="Q49" s="825"/>
      <c r="R49" s="825"/>
      <c r="S49" s="825"/>
      <c r="T49" s="825"/>
      <c r="U49" s="825"/>
      <c r="V49" s="825"/>
      <c r="W49" s="825"/>
      <c r="X49" s="825"/>
      <c r="Y49" s="825"/>
      <c r="Z49" s="825"/>
      <c r="AA49" s="236"/>
      <c r="AB49" s="236"/>
      <c r="AC49" s="236"/>
      <c r="AD49" s="236"/>
      <c r="AE49" s="236">
        <v>1.8333333333333333</v>
      </c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</row>
    <row r="50" spans="1:41" x14ac:dyDescent="0.3">
      <c r="A50" s="236"/>
      <c r="B50" s="291" t="s">
        <v>230</v>
      </c>
      <c r="C50" s="291"/>
      <c r="D50" s="850">
        <f>SUM(D40,D47)</f>
        <v>0</v>
      </c>
      <c r="E50" s="851"/>
      <c r="F50" s="851"/>
      <c r="G50" s="852"/>
      <c r="H50" s="291" t="s">
        <v>231</v>
      </c>
      <c r="I50" s="291"/>
      <c r="J50" s="844">
        <f>SUM(J40,J47)</f>
        <v>0</v>
      </c>
      <c r="K50" s="845"/>
      <c r="L50" s="845"/>
      <c r="M50" s="845"/>
      <c r="N50" s="236"/>
      <c r="O50" s="291" t="s">
        <v>230</v>
      </c>
      <c r="P50" s="291"/>
      <c r="Q50" s="850">
        <f>SUM(Q40,Q47:S47)</f>
        <v>0</v>
      </c>
      <c r="R50" s="851"/>
      <c r="S50" s="852"/>
      <c r="T50" s="540"/>
      <c r="U50" s="291" t="s">
        <v>231</v>
      </c>
      <c r="V50" s="291"/>
      <c r="W50" s="844">
        <f>SUM(W40,W47:Y47)</f>
        <v>0</v>
      </c>
      <c r="X50" s="845"/>
      <c r="Y50" s="845"/>
      <c r="Z50" s="845"/>
      <c r="AA50" s="236"/>
      <c r="AB50" s="236"/>
      <c r="AC50" s="236"/>
      <c r="AD50" s="236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236"/>
    </row>
    <row r="51" spans="1:41" x14ac:dyDescent="0.3">
      <c r="A51" s="236"/>
      <c r="B51" s="294"/>
      <c r="C51" s="294"/>
      <c r="D51" s="847"/>
      <c r="E51" s="848"/>
      <c r="F51" s="848"/>
      <c r="G51" s="849"/>
      <c r="H51" s="294"/>
      <c r="I51" s="294"/>
      <c r="J51" s="847"/>
      <c r="K51" s="848"/>
      <c r="L51" s="848"/>
      <c r="M51" s="848"/>
      <c r="N51" s="236"/>
      <c r="O51" s="294"/>
      <c r="P51" s="294"/>
      <c r="Q51" s="847"/>
      <c r="R51" s="848"/>
      <c r="S51" s="849"/>
      <c r="T51" s="544"/>
      <c r="U51" s="294"/>
      <c r="V51" s="294"/>
      <c r="W51" s="847"/>
      <c r="X51" s="848"/>
      <c r="Y51" s="848"/>
      <c r="Z51" s="848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</row>
    <row r="52" spans="1:41" x14ac:dyDescent="0.3">
      <c r="A52" s="236"/>
      <c r="B52" s="291" t="s">
        <v>205</v>
      </c>
      <c r="C52" s="291"/>
      <c r="D52" s="844">
        <f>IF(D50&gt;=J50,D50+J47+J40,J50+D47+D40)</f>
        <v>0</v>
      </c>
      <c r="E52" s="845"/>
      <c r="F52" s="845"/>
      <c r="G52" s="846"/>
      <c r="H52" s="291" t="s">
        <v>232</v>
      </c>
      <c r="I52" s="291"/>
      <c r="J52" s="844">
        <f>IF(D50&gt;=J50, D50, J50)</f>
        <v>0</v>
      </c>
      <c r="K52" s="845"/>
      <c r="L52" s="845"/>
      <c r="M52" s="845"/>
      <c r="N52" s="236"/>
      <c r="O52" s="291" t="s">
        <v>205</v>
      </c>
      <c r="P52" s="291"/>
      <c r="Q52" s="844">
        <f>IF(Q50&gt;=W50,Q50+W47+W40,W50+Q47+Q40)-0*COUNT(Q6:Q17,Q22:Q31,W6:W17,W22:W31)</f>
        <v>0</v>
      </c>
      <c r="R52" s="845"/>
      <c r="S52" s="846"/>
      <c r="T52" s="543"/>
      <c r="U52" s="291" t="s">
        <v>232</v>
      </c>
      <c r="V52" s="291"/>
      <c r="W52" s="844">
        <f>IF(Q50&gt;=W50, Q50, W50)</f>
        <v>0</v>
      </c>
      <c r="X52" s="845"/>
      <c r="Y52" s="845"/>
      <c r="Z52" s="845"/>
      <c r="AA52" s="236"/>
      <c r="AB52" s="236"/>
      <c r="AC52" s="236"/>
      <c r="AD52" s="236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</row>
    <row r="53" spans="1:41" x14ac:dyDescent="0.3">
      <c r="A53" s="236"/>
      <c r="B53" s="809" t="s">
        <v>405</v>
      </c>
      <c r="C53" s="809"/>
      <c r="D53" s="809"/>
      <c r="E53" s="809"/>
      <c r="F53" s="809"/>
      <c r="G53" s="809"/>
      <c r="H53" s="809"/>
      <c r="I53" s="810">
        <f>(SUM(AC4:AG47)*208/1000)</f>
        <v>0</v>
      </c>
      <c r="J53" s="810"/>
      <c r="K53" s="810"/>
      <c r="L53" s="810"/>
      <c r="M53" s="563"/>
      <c r="N53" s="236"/>
      <c r="O53" s="809" t="s">
        <v>404</v>
      </c>
      <c r="P53" s="809"/>
      <c r="Q53" s="809"/>
      <c r="R53" s="809"/>
      <c r="S53" s="809"/>
      <c r="T53" s="809"/>
      <c r="U53" s="809"/>
      <c r="V53" s="860">
        <f>SUM(AJ4:AN47)*208/1000</f>
        <v>0</v>
      </c>
      <c r="W53" s="860"/>
      <c r="X53" s="860"/>
      <c r="Y53" s="860"/>
      <c r="Z53" s="860"/>
      <c r="AA53" s="236"/>
      <c r="AB53" s="236"/>
      <c r="AC53" s="236"/>
      <c r="AD53" s="236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236"/>
    </row>
  </sheetData>
  <sheetProtection selectLockedCells="1" selectUnlockedCells="1"/>
  <protectedRanges>
    <protectedRange sqref="D49:E49 D53:E1048576 V3 N34:N52 D36:D37 B40:D41 B43:D44 O49:P52 AA48:XFD52 Q49:X49 S50:Z52 Q50:Q52 D50:D52 D47:D48 A1:A1048576 B2:B3 C1:C2 B4:C37 W1:XFD3 U1:V2 F47:G1048576 B47:C1048576 H49:K52 H54:K1048576 I53:J53 N53:U1048576 Y53:XFD1048576 V54:X1048576 V53:W53 AA36:AA47 H3 L40:M41 F40:J41 F36:J37 L36:M37 F43:J44 L47:M1048576 H47:J48 L43:M44 Q36:Q37 O40:Q41 O34:P37 Q34:AA35 O43:Q44 O47:Q48 D1:G35 J1:M35 H1:I2 H4:I35 Y40:Z41 S40:W41 S36:W37 Y36:Z37 S43:W44 Y47:Z49 S47:W48 Y43:Z44 AB4:XFD47 N1:T33 U4:AA33" name="Range1"/>
  </protectedRanges>
  <dataConsolidate/>
  <mergeCells count="90">
    <mergeCell ref="V53:Z53"/>
    <mergeCell ref="A1:M2"/>
    <mergeCell ref="O1:Z2"/>
    <mergeCell ref="W50:Z50"/>
    <mergeCell ref="W51:Z51"/>
    <mergeCell ref="W52:Z52"/>
    <mergeCell ref="P19:T20"/>
    <mergeCell ref="V19:Z20"/>
    <mergeCell ref="V3:Z4"/>
    <mergeCell ref="P3:T4"/>
    <mergeCell ref="B3:G4"/>
    <mergeCell ref="B19:G20"/>
    <mergeCell ref="H19:M20"/>
    <mergeCell ref="H3:M4"/>
    <mergeCell ref="J40:M40"/>
    <mergeCell ref="J41:M41"/>
    <mergeCell ref="J47:M47"/>
    <mergeCell ref="J48:M48"/>
    <mergeCell ref="Q40:T40"/>
    <mergeCell ref="W40:Z40"/>
    <mergeCell ref="Q41:T41"/>
    <mergeCell ref="W41:Z41"/>
    <mergeCell ref="Q47:T47"/>
    <mergeCell ref="W47:Z47"/>
    <mergeCell ref="Q48:T48"/>
    <mergeCell ref="W48:Z48"/>
    <mergeCell ref="B42:M42"/>
    <mergeCell ref="D40:G40"/>
    <mergeCell ref="D41:G41"/>
    <mergeCell ref="D47:G47"/>
    <mergeCell ref="D48:G48"/>
    <mergeCell ref="B46:C46"/>
    <mergeCell ref="D50:G50"/>
    <mergeCell ref="D51:G51"/>
    <mergeCell ref="D52:G52"/>
    <mergeCell ref="B49:M49"/>
    <mergeCell ref="J50:M50"/>
    <mergeCell ref="J51:M51"/>
    <mergeCell ref="J52:M52"/>
    <mergeCell ref="Q52:S52"/>
    <mergeCell ref="Q51:S51"/>
    <mergeCell ref="Q50:S50"/>
    <mergeCell ref="O46:P46"/>
    <mergeCell ref="O40:P40"/>
    <mergeCell ref="O43:P43"/>
    <mergeCell ref="U43:V43"/>
    <mergeCell ref="B43:C43"/>
    <mergeCell ref="H43:I43"/>
    <mergeCell ref="O34:S35"/>
    <mergeCell ref="U34:Y35"/>
    <mergeCell ref="U40:V40"/>
    <mergeCell ref="B41:C41"/>
    <mergeCell ref="H41:I41"/>
    <mergeCell ref="O39:P39"/>
    <mergeCell ref="U39:V39"/>
    <mergeCell ref="B39:C39"/>
    <mergeCell ref="H39:I39"/>
    <mergeCell ref="O41:P41"/>
    <mergeCell ref="U41:V41"/>
    <mergeCell ref="H46:I46"/>
    <mergeCell ref="B45:C45"/>
    <mergeCell ref="H45:I45"/>
    <mergeCell ref="O45:P45"/>
    <mergeCell ref="U45:V45"/>
    <mergeCell ref="AB1:AF2"/>
    <mergeCell ref="AI1:AM2"/>
    <mergeCell ref="B33:L33"/>
    <mergeCell ref="B36:C36"/>
    <mergeCell ref="H36:I36"/>
    <mergeCell ref="O36:P36"/>
    <mergeCell ref="U36:V36"/>
    <mergeCell ref="H34:L35"/>
    <mergeCell ref="B34:F35"/>
    <mergeCell ref="O33:Z33"/>
    <mergeCell ref="B53:H53"/>
    <mergeCell ref="I53:L53"/>
    <mergeCell ref="O53:U53"/>
    <mergeCell ref="U46:V46"/>
    <mergeCell ref="B37:C37"/>
    <mergeCell ref="H37:I37"/>
    <mergeCell ref="O37:P37"/>
    <mergeCell ref="U37:V37"/>
    <mergeCell ref="B40:C40"/>
    <mergeCell ref="H40:I40"/>
    <mergeCell ref="O38:P38"/>
    <mergeCell ref="U38:V38"/>
    <mergeCell ref="B38:C38"/>
    <mergeCell ref="O42:Z42"/>
    <mergeCell ref="O49:Z49"/>
    <mergeCell ref="H38:I38"/>
  </mergeCells>
  <conditionalFormatting sqref="AC4:AD47 C6:G17 C22:G31 I6:M17 I22:M31 P22:T31 P6:T17 V6:Z17 V22:Z31">
    <cfRule type="notContainsText" dxfId="214" priority="6" operator="notContains" text="N/A">
      <formula>ISERROR(SEARCH("N/A",C4))</formula>
    </cfRule>
  </conditionalFormatting>
  <conditionalFormatting sqref="AE4:AG47">
    <cfRule type="notContainsText" dxfId="213" priority="5" operator="notContains" text="N/A">
      <formula>ISERROR(SEARCH("N/A",AE4))</formula>
    </cfRule>
  </conditionalFormatting>
  <conditionalFormatting sqref="AJ4:AK47">
    <cfRule type="notContainsText" dxfId="212" priority="2" operator="notContains" text="N/A">
      <formula>ISERROR(SEARCH("N/A",AJ4))</formula>
    </cfRule>
  </conditionalFormatting>
  <conditionalFormatting sqref="AL4:AN47">
    <cfRule type="notContainsText" dxfId="211" priority="1" operator="notContains" text="N/A">
      <formula>ISERROR(SEARCH("N/A",AL4))</formula>
    </cfRule>
  </conditionalFormatting>
  <pageMargins left="0.7" right="0.7" top="0.75" bottom="0.75" header="0.3" footer="0.3"/>
  <pageSetup orientation="portrait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4">
    <tabColor theme="6" tint="-0.499984740745262"/>
  </sheetPr>
  <dimension ref="A1:BB75"/>
  <sheetViews>
    <sheetView showGridLines="0" zoomScale="70" zoomScaleNormal="70" workbookViewId="0">
      <selection activeCell="Y24" sqref="Y24"/>
    </sheetView>
  </sheetViews>
  <sheetFormatPr defaultColWidth="9.109375" defaultRowHeight="14.4" x14ac:dyDescent="0.3"/>
  <cols>
    <col min="1" max="1" width="3.109375" style="237" customWidth="1"/>
    <col min="2" max="2" width="5.44140625" style="237" bestFit="1" customWidth="1"/>
    <col min="3" max="7" width="10" style="237" customWidth="1"/>
    <col min="8" max="8" width="6.88671875" style="237" customWidth="1"/>
    <col min="9" max="13" width="9.6640625" style="237" customWidth="1"/>
    <col min="14" max="14" width="1.6640625" style="237" customWidth="1"/>
    <col min="15" max="15" width="2.33203125" style="237" customWidth="1"/>
    <col min="16" max="16" width="4.5546875" style="237" bestFit="1" customWidth="1"/>
    <col min="17" max="17" width="11.88671875" style="237" bestFit="1" customWidth="1"/>
    <col min="18" max="18" width="10.44140625" style="237" bestFit="1" customWidth="1"/>
    <col min="19" max="21" width="10.44140625" style="237" customWidth="1"/>
    <col min="22" max="22" width="4.5546875" bestFit="1" customWidth="1"/>
    <col min="23" max="23" width="11.88671875" style="237" bestFit="1" customWidth="1"/>
    <col min="24" max="24" width="10.44140625" style="237" bestFit="1" customWidth="1"/>
    <col min="25" max="27" width="10.44140625" style="237" customWidth="1"/>
    <col min="28" max="28" width="2.33203125" style="237" customWidth="1"/>
    <col min="29" max="29" width="4.5546875" style="524" customWidth="1"/>
    <col min="30" max="30" width="11.88671875" style="237" customWidth="1"/>
    <col min="31" max="31" width="10.44140625" style="237" customWidth="1"/>
    <col min="32" max="34" width="9.109375" style="237"/>
    <col min="35" max="35" width="4.33203125" style="237" customWidth="1"/>
    <col min="36" max="46" width="9.109375" style="237"/>
    <col min="47" max="47" width="5.33203125" style="237" customWidth="1"/>
    <col min="48" max="51" width="9.109375" style="237"/>
    <col min="52" max="52" width="7.88671875" style="237" customWidth="1"/>
    <col min="53" max="16384" width="9.109375" style="237"/>
  </cols>
  <sheetData>
    <row r="1" spans="1:54" ht="10.5" customHeight="1" x14ac:dyDescent="0.3">
      <c r="A1" s="827" t="s">
        <v>521</v>
      </c>
      <c r="B1" s="827"/>
      <c r="C1" s="827"/>
      <c r="D1" s="827"/>
      <c r="E1" s="827"/>
      <c r="F1" s="827"/>
      <c r="G1" s="827"/>
      <c r="H1" s="827"/>
      <c r="I1" s="827"/>
      <c r="J1" s="827"/>
      <c r="K1" s="827"/>
      <c r="L1" s="827"/>
      <c r="M1" s="827"/>
      <c r="N1" s="235"/>
      <c r="O1" s="236"/>
      <c r="P1" s="826" t="s">
        <v>545</v>
      </c>
      <c r="Q1" s="827"/>
      <c r="R1" s="827"/>
      <c r="S1" s="827"/>
      <c r="T1" s="827"/>
      <c r="U1" s="827"/>
      <c r="V1" s="827"/>
      <c r="W1" s="827"/>
      <c r="X1" s="827"/>
      <c r="Y1" s="827"/>
      <c r="Z1" s="827"/>
      <c r="AA1" s="827"/>
      <c r="AB1" s="236"/>
      <c r="AC1" s="826" t="s">
        <v>214</v>
      </c>
      <c r="AD1" s="827"/>
      <c r="AE1" s="827"/>
      <c r="AF1" s="827"/>
      <c r="AG1" s="827"/>
      <c r="AH1" s="827"/>
      <c r="AI1" s="827"/>
      <c r="AJ1" s="827"/>
      <c r="AK1" s="827"/>
      <c r="AL1" s="827"/>
      <c r="AM1" s="827"/>
      <c r="AN1" s="827"/>
      <c r="AO1" s="826" t="s">
        <v>197</v>
      </c>
      <c r="AP1" s="827"/>
      <c r="AQ1" s="827"/>
      <c r="AR1" s="827"/>
      <c r="AS1" s="827"/>
      <c r="AT1" s="827"/>
      <c r="AU1" s="827"/>
      <c r="AV1" s="827"/>
      <c r="AW1" s="827"/>
      <c r="AX1" s="827"/>
      <c r="AY1" s="827"/>
      <c r="AZ1" s="827"/>
      <c r="BA1" s="236"/>
      <c r="BB1" s="236"/>
    </row>
    <row r="2" spans="1:54" ht="10.5" customHeight="1" x14ac:dyDescent="0.3">
      <c r="A2" s="827"/>
      <c r="B2" s="827"/>
      <c r="C2" s="827"/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235"/>
      <c r="O2" s="236"/>
      <c r="P2" s="826"/>
      <c r="Q2" s="827"/>
      <c r="R2" s="827"/>
      <c r="S2" s="827"/>
      <c r="T2" s="827"/>
      <c r="U2" s="827"/>
      <c r="V2" s="827"/>
      <c r="W2" s="827"/>
      <c r="X2" s="827"/>
      <c r="Y2" s="827"/>
      <c r="Z2" s="827"/>
      <c r="AA2" s="827"/>
      <c r="AB2" s="236"/>
      <c r="AC2" s="826"/>
      <c r="AD2" s="827"/>
      <c r="AE2" s="827"/>
      <c r="AF2" s="827"/>
      <c r="AG2" s="827"/>
      <c r="AH2" s="827"/>
      <c r="AI2" s="827"/>
      <c r="AJ2" s="827"/>
      <c r="AK2" s="827"/>
      <c r="AL2" s="827"/>
      <c r="AM2" s="827"/>
      <c r="AN2" s="827"/>
      <c r="AO2" s="826"/>
      <c r="AP2" s="827"/>
      <c r="AQ2" s="827"/>
      <c r="AR2" s="827"/>
      <c r="AS2" s="827"/>
      <c r="AT2" s="827"/>
      <c r="AU2" s="827"/>
      <c r="AV2" s="827"/>
      <c r="AW2" s="827"/>
      <c r="AX2" s="827"/>
      <c r="AY2" s="827"/>
      <c r="AZ2" s="827"/>
      <c r="BA2" s="236"/>
      <c r="BB2" s="236"/>
    </row>
    <row r="3" spans="1:54" x14ac:dyDescent="0.3">
      <c r="A3" s="238"/>
      <c r="B3" s="861" t="s">
        <v>215</v>
      </c>
      <c r="C3" s="861"/>
      <c r="D3" s="861"/>
      <c r="E3" s="861"/>
      <c r="F3" s="861"/>
      <c r="G3" s="862"/>
      <c r="H3" s="861" t="s">
        <v>216</v>
      </c>
      <c r="I3" s="861"/>
      <c r="J3" s="861"/>
      <c r="K3" s="861"/>
      <c r="L3" s="861"/>
      <c r="M3" s="862"/>
      <c r="N3" s="240"/>
      <c r="O3" s="236"/>
      <c r="P3" s="242" t="s">
        <v>191</v>
      </c>
      <c r="Q3" s="243" t="s">
        <v>217</v>
      </c>
      <c r="R3" s="243" t="s">
        <v>218</v>
      </c>
      <c r="S3" s="243" t="s">
        <v>330</v>
      </c>
      <c r="T3" s="244" t="s">
        <v>331</v>
      </c>
      <c r="U3" s="350" t="s">
        <v>536</v>
      </c>
      <c r="V3" s="49"/>
      <c r="W3" s="243" t="s">
        <v>217</v>
      </c>
      <c r="X3" s="243" t="s">
        <v>218</v>
      </c>
      <c r="Y3" s="243" t="s">
        <v>330</v>
      </c>
      <c r="Z3" s="244" t="s">
        <v>331</v>
      </c>
      <c r="AA3" s="350" t="s">
        <v>536</v>
      </c>
      <c r="AB3" s="236"/>
      <c r="AC3" s="242" t="s">
        <v>191</v>
      </c>
      <c r="AD3" s="243" t="s">
        <v>217</v>
      </c>
      <c r="AE3" s="243" t="s">
        <v>218</v>
      </c>
      <c r="AF3" s="243" t="s">
        <v>330</v>
      </c>
      <c r="AG3" s="244" t="s">
        <v>331</v>
      </c>
      <c r="AH3" s="350" t="s">
        <v>536</v>
      </c>
      <c r="AI3" s="49"/>
      <c r="AJ3" s="243" t="s">
        <v>217</v>
      </c>
      <c r="AK3" s="243" t="s">
        <v>218</v>
      </c>
      <c r="AL3" s="243" t="s">
        <v>330</v>
      </c>
      <c r="AM3" s="244" t="s">
        <v>331</v>
      </c>
      <c r="AN3" s="350" t="s">
        <v>536</v>
      </c>
      <c r="AO3" s="861" t="s">
        <v>215</v>
      </c>
      <c r="AP3" s="861"/>
      <c r="AQ3" s="861"/>
      <c r="AR3" s="861"/>
      <c r="AS3" s="861"/>
      <c r="AT3" s="862"/>
      <c r="AU3" s="861" t="s">
        <v>216</v>
      </c>
      <c r="AV3" s="861"/>
      <c r="AW3" s="861"/>
      <c r="AX3" s="861"/>
      <c r="AY3" s="861"/>
      <c r="AZ3" s="862"/>
      <c r="BA3" s="236"/>
      <c r="BB3" s="236"/>
    </row>
    <row r="4" spans="1:54" ht="15" thickBot="1" x14ac:dyDescent="0.35">
      <c r="A4" s="238"/>
      <c r="B4" s="861"/>
      <c r="C4" s="861"/>
      <c r="D4" s="861"/>
      <c r="E4" s="861"/>
      <c r="F4" s="861"/>
      <c r="G4" s="862"/>
      <c r="H4" s="861"/>
      <c r="I4" s="861"/>
      <c r="J4" s="861"/>
      <c r="K4" s="861"/>
      <c r="L4" s="861"/>
      <c r="M4" s="862"/>
      <c r="N4" s="240"/>
      <c r="O4" s="236" t="s">
        <v>336</v>
      </c>
      <c r="P4" s="245">
        <v>1</v>
      </c>
      <c r="Q4" s="246" t="s">
        <v>336</v>
      </c>
      <c r="R4" s="246" t="s">
        <v>336</v>
      </c>
      <c r="S4" s="246" t="s">
        <v>336</v>
      </c>
      <c r="T4" s="246" t="s">
        <v>336</v>
      </c>
      <c r="U4" s="246" t="s">
        <v>336</v>
      </c>
      <c r="V4" s="253">
        <v>1</v>
      </c>
      <c r="W4" s="246" t="s">
        <v>336</v>
      </c>
      <c r="X4" s="246" t="s">
        <v>336</v>
      </c>
      <c r="Y4" s="246" t="s">
        <v>336</v>
      </c>
      <c r="Z4" s="246" t="s">
        <v>336</v>
      </c>
      <c r="AA4" s="246" t="s">
        <v>336</v>
      </c>
      <c r="AB4" s="236" t="s">
        <v>336</v>
      </c>
      <c r="AC4" s="664">
        <v>1</v>
      </c>
      <c r="AD4" s="246" t="s">
        <v>336</v>
      </c>
      <c r="AE4" s="246" t="s">
        <v>336</v>
      </c>
      <c r="AF4" s="246" t="s">
        <v>336</v>
      </c>
      <c r="AG4" s="246" t="s">
        <v>336</v>
      </c>
      <c r="AH4" s="246" t="s">
        <v>336</v>
      </c>
      <c r="AI4" s="663">
        <v>1</v>
      </c>
      <c r="AJ4" s="246" t="s">
        <v>336</v>
      </c>
      <c r="AK4" s="246" t="s">
        <v>336</v>
      </c>
      <c r="AL4" s="246" t="s">
        <v>336</v>
      </c>
      <c r="AM4" s="246" t="s">
        <v>336</v>
      </c>
      <c r="AN4" s="246" t="s">
        <v>336</v>
      </c>
      <c r="AO4" s="861"/>
      <c r="AP4" s="861"/>
      <c r="AQ4" s="861"/>
      <c r="AR4" s="861"/>
      <c r="AS4" s="861"/>
      <c r="AT4" s="862"/>
      <c r="AU4" s="861"/>
      <c r="AV4" s="861"/>
      <c r="AW4" s="861"/>
      <c r="AX4" s="861"/>
      <c r="AY4" s="861"/>
      <c r="AZ4" s="862"/>
      <c r="BA4" s="236"/>
      <c r="BB4" s="236"/>
    </row>
    <row r="5" spans="1:54" x14ac:dyDescent="0.3">
      <c r="A5" s="236"/>
      <c r="B5" s="247" t="s">
        <v>192</v>
      </c>
      <c r="C5" s="248" t="s">
        <v>219</v>
      </c>
      <c r="D5" s="249" t="s">
        <v>220</v>
      </c>
      <c r="E5" s="249" t="s">
        <v>332</v>
      </c>
      <c r="F5" s="249" t="s">
        <v>333</v>
      </c>
      <c r="G5" s="249" t="s">
        <v>535</v>
      </c>
      <c r="H5" s="247" t="s">
        <v>192</v>
      </c>
      <c r="I5" s="248" t="s">
        <v>219</v>
      </c>
      <c r="J5" s="249" t="s">
        <v>220</v>
      </c>
      <c r="K5" s="249" t="s">
        <v>332</v>
      </c>
      <c r="L5" s="249" t="s">
        <v>333</v>
      </c>
      <c r="M5" s="249" t="s">
        <v>535</v>
      </c>
      <c r="N5" s="249"/>
      <c r="O5" s="236" t="s">
        <v>336</v>
      </c>
      <c r="P5" s="245">
        <v>2</v>
      </c>
      <c r="Q5" s="254" t="s">
        <v>336</v>
      </c>
      <c r="R5" s="254" t="s">
        <v>336</v>
      </c>
      <c r="S5" s="254" t="s">
        <v>336</v>
      </c>
      <c r="T5" s="255" t="s">
        <v>336</v>
      </c>
      <c r="U5" s="255" t="s">
        <v>336</v>
      </c>
      <c r="V5" s="253">
        <v>2</v>
      </c>
      <c r="W5" s="254" t="s">
        <v>336</v>
      </c>
      <c r="X5" s="254" t="s">
        <v>336</v>
      </c>
      <c r="Y5" s="254" t="s">
        <v>336</v>
      </c>
      <c r="Z5" s="255" t="s">
        <v>336</v>
      </c>
      <c r="AA5" s="255" t="s">
        <v>336</v>
      </c>
      <c r="AB5" s="236" t="s">
        <v>336</v>
      </c>
      <c r="AC5" s="664">
        <v>2</v>
      </c>
      <c r="AD5" s="254" t="s">
        <v>336</v>
      </c>
      <c r="AE5" s="254" t="s">
        <v>336</v>
      </c>
      <c r="AF5" s="254" t="s">
        <v>336</v>
      </c>
      <c r="AG5" s="255" t="s">
        <v>336</v>
      </c>
      <c r="AH5" s="255" t="s">
        <v>336</v>
      </c>
      <c r="AI5" s="663">
        <v>2</v>
      </c>
      <c r="AJ5" s="254" t="s">
        <v>336</v>
      </c>
      <c r="AK5" s="254" t="s">
        <v>336</v>
      </c>
      <c r="AL5" s="254" t="s">
        <v>336</v>
      </c>
      <c r="AM5" s="255" t="s">
        <v>336</v>
      </c>
      <c r="AN5" s="255" t="s">
        <v>336</v>
      </c>
      <c r="AO5" s="247" t="s">
        <v>192</v>
      </c>
      <c r="AP5" s="248" t="s">
        <v>219</v>
      </c>
      <c r="AQ5" s="249" t="s">
        <v>220</v>
      </c>
      <c r="AR5" s="249" t="s">
        <v>332</v>
      </c>
      <c r="AS5" s="249" t="s">
        <v>333</v>
      </c>
      <c r="AT5" s="249" t="s">
        <v>535</v>
      </c>
      <c r="AU5" s="247" t="s">
        <v>192</v>
      </c>
      <c r="AV5" s="248" t="s">
        <v>219</v>
      </c>
      <c r="AW5" s="249" t="s">
        <v>220</v>
      </c>
      <c r="AX5" s="249" t="s">
        <v>332</v>
      </c>
      <c r="AY5" s="249" t="s">
        <v>333</v>
      </c>
      <c r="AZ5" s="249" t="s">
        <v>535</v>
      </c>
      <c r="BA5" s="236"/>
      <c r="BB5" s="236"/>
    </row>
    <row r="6" spans="1:54" x14ac:dyDescent="0.3">
      <c r="A6" s="236"/>
      <c r="B6" s="245">
        <v>1</v>
      </c>
      <c r="C6" s="257" t="str">
        <f>Q4</f>
        <v>N/A</v>
      </c>
      <c r="D6" s="257" t="str">
        <f t="shared" ref="D6:G21" si="0">R4</f>
        <v>N/A</v>
      </c>
      <c r="E6" s="257" t="str">
        <f t="shared" si="0"/>
        <v>N/A</v>
      </c>
      <c r="F6" s="257" t="str">
        <f t="shared" si="0"/>
        <v>N/A</v>
      </c>
      <c r="G6" s="257" t="str">
        <f t="shared" si="0"/>
        <v>N/A</v>
      </c>
      <c r="H6" s="253">
        <v>1</v>
      </c>
      <c r="I6" s="257" t="str">
        <f>W4</f>
        <v>N/A</v>
      </c>
      <c r="J6" s="257" t="str">
        <f t="shared" ref="J6:M21" si="1">X4</f>
        <v>N/A</v>
      </c>
      <c r="K6" s="257" t="str">
        <f t="shared" si="1"/>
        <v>N/A</v>
      </c>
      <c r="L6" s="257" t="str">
        <f t="shared" si="1"/>
        <v>N/A</v>
      </c>
      <c r="M6" s="257" t="str">
        <f t="shared" si="1"/>
        <v>N/A</v>
      </c>
      <c r="N6" s="260"/>
      <c r="O6" s="236" t="s">
        <v>336</v>
      </c>
      <c r="P6" s="245">
        <v>3</v>
      </c>
      <c r="Q6" s="246" t="s">
        <v>336</v>
      </c>
      <c r="R6" s="246" t="s">
        <v>336</v>
      </c>
      <c r="S6" s="246" t="s">
        <v>336</v>
      </c>
      <c r="T6" s="246" t="s">
        <v>336</v>
      </c>
      <c r="U6" s="246" t="s">
        <v>336</v>
      </c>
      <c r="V6" s="253">
        <v>3</v>
      </c>
      <c r="W6" s="246" t="s">
        <v>336</v>
      </c>
      <c r="X6" s="246" t="s">
        <v>336</v>
      </c>
      <c r="Y6" s="246" t="s">
        <v>336</v>
      </c>
      <c r="Z6" s="246" t="s">
        <v>336</v>
      </c>
      <c r="AA6" s="246" t="s">
        <v>336</v>
      </c>
      <c r="AB6" s="236" t="s">
        <v>336</v>
      </c>
      <c r="AC6" s="664">
        <v>3</v>
      </c>
      <c r="AD6" s="246" t="s">
        <v>336</v>
      </c>
      <c r="AE6" s="246" t="s">
        <v>336</v>
      </c>
      <c r="AF6" s="246" t="s">
        <v>336</v>
      </c>
      <c r="AG6" s="246" t="s">
        <v>336</v>
      </c>
      <c r="AH6" s="246" t="s">
        <v>336</v>
      </c>
      <c r="AI6" s="663">
        <v>3</v>
      </c>
      <c r="AJ6" s="246" t="s">
        <v>336</v>
      </c>
      <c r="AK6" s="246" t="s">
        <v>336</v>
      </c>
      <c r="AL6" s="246" t="s">
        <v>336</v>
      </c>
      <c r="AM6" s="246" t="s">
        <v>336</v>
      </c>
      <c r="AN6" s="246" t="s">
        <v>336</v>
      </c>
      <c r="AO6" s="660">
        <v>1</v>
      </c>
      <c r="AP6" s="257" t="str">
        <f>AD4</f>
        <v>N/A</v>
      </c>
      <c r="AQ6" s="257" t="str">
        <f t="shared" ref="AQ6:AT13" si="2">AE4</f>
        <v>N/A</v>
      </c>
      <c r="AR6" s="257" t="str">
        <f t="shared" si="2"/>
        <v>N/A</v>
      </c>
      <c r="AS6" s="257" t="str">
        <f t="shared" si="2"/>
        <v>N/A</v>
      </c>
      <c r="AT6" s="257" t="str">
        <f t="shared" si="2"/>
        <v>N/A</v>
      </c>
      <c r="AU6" s="663">
        <v>1</v>
      </c>
      <c r="AV6" s="257" t="str">
        <f>AJ4</f>
        <v>N/A</v>
      </c>
      <c r="AW6" s="257" t="str">
        <f t="shared" ref="AW6:AZ21" si="3">AK4</f>
        <v>N/A</v>
      </c>
      <c r="AX6" s="257" t="str">
        <f t="shared" si="3"/>
        <v>N/A</v>
      </c>
      <c r="AY6" s="257" t="str">
        <f t="shared" si="3"/>
        <v>N/A</v>
      </c>
      <c r="AZ6" s="257" t="str">
        <f t="shared" si="3"/>
        <v>N/A</v>
      </c>
      <c r="BA6" s="236"/>
      <c r="BB6" s="236"/>
    </row>
    <row r="7" spans="1:54" x14ac:dyDescent="0.3">
      <c r="A7" s="236"/>
      <c r="B7" s="245">
        <v>2</v>
      </c>
      <c r="C7" s="265" t="str">
        <f t="shared" ref="C7:C29" si="4">Q5</f>
        <v>N/A</v>
      </c>
      <c r="D7" s="265" t="str">
        <f t="shared" si="0"/>
        <v>N/A</v>
      </c>
      <c r="E7" s="265" t="str">
        <f t="shared" si="0"/>
        <v>N/A</v>
      </c>
      <c r="F7" s="265" t="str">
        <f t="shared" si="0"/>
        <v>N/A</v>
      </c>
      <c r="G7" s="265" t="str">
        <f t="shared" si="0"/>
        <v>N/A</v>
      </c>
      <c r="H7" s="253">
        <v>2</v>
      </c>
      <c r="I7" s="265" t="str">
        <f t="shared" ref="I7:I29" si="5">W5</f>
        <v>N/A</v>
      </c>
      <c r="J7" s="265" t="str">
        <f t="shared" si="1"/>
        <v>N/A</v>
      </c>
      <c r="K7" s="265" t="str">
        <f t="shared" si="1"/>
        <v>N/A</v>
      </c>
      <c r="L7" s="265" t="str">
        <f t="shared" si="1"/>
        <v>N/A</v>
      </c>
      <c r="M7" s="265" t="str">
        <f t="shared" si="1"/>
        <v>N/A</v>
      </c>
      <c r="N7" s="260"/>
      <c r="O7" s="236" t="s">
        <v>336</v>
      </c>
      <c r="P7" s="245">
        <v>4</v>
      </c>
      <c r="Q7" s="254" t="s">
        <v>336</v>
      </c>
      <c r="R7" s="254" t="s">
        <v>336</v>
      </c>
      <c r="S7" s="254" t="s">
        <v>336</v>
      </c>
      <c r="T7" s="254" t="s">
        <v>336</v>
      </c>
      <c r="U7" s="254" t="s">
        <v>336</v>
      </c>
      <c r="V7" s="253">
        <v>4</v>
      </c>
      <c r="W7" s="254" t="s">
        <v>336</v>
      </c>
      <c r="X7" s="254" t="s">
        <v>336</v>
      </c>
      <c r="Y7" s="254" t="s">
        <v>336</v>
      </c>
      <c r="Z7" s="254" t="s">
        <v>336</v>
      </c>
      <c r="AA7" s="254" t="s">
        <v>336</v>
      </c>
      <c r="AB7" s="236" t="s">
        <v>336</v>
      </c>
      <c r="AC7" s="664">
        <v>4</v>
      </c>
      <c r="AD7" s="254" t="s">
        <v>336</v>
      </c>
      <c r="AE7" s="254" t="s">
        <v>336</v>
      </c>
      <c r="AF7" s="254" t="s">
        <v>336</v>
      </c>
      <c r="AG7" s="254" t="s">
        <v>336</v>
      </c>
      <c r="AH7" s="254" t="s">
        <v>336</v>
      </c>
      <c r="AI7" s="663">
        <v>4</v>
      </c>
      <c r="AJ7" s="254" t="s">
        <v>336</v>
      </c>
      <c r="AK7" s="254" t="s">
        <v>336</v>
      </c>
      <c r="AL7" s="254" t="s">
        <v>336</v>
      </c>
      <c r="AM7" s="254" t="s">
        <v>336</v>
      </c>
      <c r="AN7" s="254" t="s">
        <v>336</v>
      </c>
      <c r="AO7" s="660">
        <v>2</v>
      </c>
      <c r="AP7" s="265" t="str">
        <f t="shared" ref="AP7:AP29" si="6">AD5</f>
        <v>N/A</v>
      </c>
      <c r="AQ7" s="265" t="str">
        <f t="shared" si="2"/>
        <v>N/A</v>
      </c>
      <c r="AR7" s="265" t="str">
        <f t="shared" si="2"/>
        <v>N/A</v>
      </c>
      <c r="AS7" s="265" t="str">
        <f t="shared" si="2"/>
        <v>N/A</v>
      </c>
      <c r="AT7" s="265" t="str">
        <f t="shared" si="2"/>
        <v>N/A</v>
      </c>
      <c r="AU7" s="663">
        <v>2</v>
      </c>
      <c r="AV7" s="265" t="str">
        <f t="shared" ref="AV7:AV29" si="7">AJ5</f>
        <v>N/A</v>
      </c>
      <c r="AW7" s="265" t="str">
        <f t="shared" si="3"/>
        <v>N/A</v>
      </c>
      <c r="AX7" s="265" t="str">
        <f t="shared" si="3"/>
        <v>N/A</v>
      </c>
      <c r="AY7" s="265" t="str">
        <f t="shared" si="3"/>
        <v>N/A</v>
      </c>
      <c r="AZ7" s="265" t="str">
        <f t="shared" si="3"/>
        <v>N/A</v>
      </c>
      <c r="BA7" s="236"/>
      <c r="BB7" s="236"/>
    </row>
    <row r="8" spans="1:54" x14ac:dyDescent="0.3">
      <c r="A8" s="236"/>
      <c r="B8" s="245">
        <v>3</v>
      </c>
      <c r="C8" s="257" t="str">
        <f t="shared" si="4"/>
        <v>N/A</v>
      </c>
      <c r="D8" s="257" t="str">
        <f t="shared" si="0"/>
        <v>N/A</v>
      </c>
      <c r="E8" s="257" t="str">
        <f t="shared" si="0"/>
        <v>N/A</v>
      </c>
      <c r="F8" s="257" t="str">
        <f t="shared" si="0"/>
        <v>N/A</v>
      </c>
      <c r="G8" s="257" t="str">
        <f t="shared" si="0"/>
        <v>N/A</v>
      </c>
      <c r="H8" s="253">
        <v>3</v>
      </c>
      <c r="I8" s="257" t="str">
        <f t="shared" si="5"/>
        <v>N/A</v>
      </c>
      <c r="J8" s="257" t="str">
        <f t="shared" si="1"/>
        <v>N/A</v>
      </c>
      <c r="K8" s="257" t="str">
        <f t="shared" si="1"/>
        <v>N/A</v>
      </c>
      <c r="L8" s="257" t="str">
        <f t="shared" si="1"/>
        <v>N/A</v>
      </c>
      <c r="M8" s="257" t="str">
        <f t="shared" si="1"/>
        <v>N/A</v>
      </c>
      <c r="N8" s="260"/>
      <c r="O8" s="236" t="s">
        <v>336</v>
      </c>
      <c r="P8" s="245">
        <v>5</v>
      </c>
      <c r="Q8" s="246" t="s">
        <v>336</v>
      </c>
      <c r="R8" s="246" t="s">
        <v>336</v>
      </c>
      <c r="S8" s="246" t="s">
        <v>336</v>
      </c>
      <c r="T8" s="246" t="s">
        <v>336</v>
      </c>
      <c r="U8" s="246" t="s">
        <v>336</v>
      </c>
      <c r="V8" s="253">
        <v>5</v>
      </c>
      <c r="W8" s="246" t="s">
        <v>336</v>
      </c>
      <c r="X8" s="246" t="s">
        <v>336</v>
      </c>
      <c r="Y8" s="246" t="s">
        <v>336</v>
      </c>
      <c r="Z8" s="246" t="s">
        <v>336</v>
      </c>
      <c r="AA8" s="246" t="s">
        <v>336</v>
      </c>
      <c r="AB8" s="236" t="s">
        <v>336</v>
      </c>
      <c r="AC8" s="664">
        <v>5</v>
      </c>
      <c r="AD8" s="246" t="s">
        <v>336</v>
      </c>
      <c r="AE8" s="246" t="s">
        <v>336</v>
      </c>
      <c r="AF8" s="246" t="s">
        <v>336</v>
      </c>
      <c r="AG8" s="246" t="s">
        <v>336</v>
      </c>
      <c r="AH8" s="246" t="s">
        <v>336</v>
      </c>
      <c r="AI8" s="663">
        <v>5</v>
      </c>
      <c r="AJ8" s="246" t="s">
        <v>336</v>
      </c>
      <c r="AK8" s="246" t="s">
        <v>336</v>
      </c>
      <c r="AL8" s="246" t="s">
        <v>336</v>
      </c>
      <c r="AM8" s="246" t="s">
        <v>336</v>
      </c>
      <c r="AN8" s="246" t="s">
        <v>336</v>
      </c>
      <c r="AO8" s="660">
        <v>3</v>
      </c>
      <c r="AP8" s="257" t="str">
        <f t="shared" si="6"/>
        <v>N/A</v>
      </c>
      <c r="AQ8" s="257" t="str">
        <f t="shared" si="2"/>
        <v>N/A</v>
      </c>
      <c r="AR8" s="257" t="str">
        <f t="shared" si="2"/>
        <v>N/A</v>
      </c>
      <c r="AS8" s="257" t="str">
        <f t="shared" si="2"/>
        <v>N/A</v>
      </c>
      <c r="AT8" s="257" t="str">
        <f t="shared" si="2"/>
        <v>N/A</v>
      </c>
      <c r="AU8" s="663">
        <v>3</v>
      </c>
      <c r="AV8" s="257" t="str">
        <f t="shared" si="7"/>
        <v>N/A</v>
      </c>
      <c r="AW8" s="257" t="str">
        <f t="shared" si="3"/>
        <v>N/A</v>
      </c>
      <c r="AX8" s="257" t="str">
        <f t="shared" si="3"/>
        <v>N/A</v>
      </c>
      <c r="AY8" s="257" t="str">
        <f t="shared" si="3"/>
        <v>N/A</v>
      </c>
      <c r="AZ8" s="257" t="str">
        <f t="shared" si="3"/>
        <v>N/A</v>
      </c>
      <c r="BA8" s="236"/>
      <c r="BB8" s="236"/>
    </row>
    <row r="9" spans="1:54" x14ac:dyDescent="0.3">
      <c r="A9" s="236"/>
      <c r="B9" s="245">
        <v>4</v>
      </c>
      <c r="C9" s="265" t="str">
        <f t="shared" si="4"/>
        <v>N/A</v>
      </c>
      <c r="D9" s="265" t="str">
        <f t="shared" si="0"/>
        <v>N/A</v>
      </c>
      <c r="E9" s="265" t="str">
        <f t="shared" si="0"/>
        <v>N/A</v>
      </c>
      <c r="F9" s="265" t="str">
        <f t="shared" si="0"/>
        <v>N/A</v>
      </c>
      <c r="G9" s="265" t="str">
        <f t="shared" si="0"/>
        <v>N/A</v>
      </c>
      <c r="H9" s="253">
        <v>4</v>
      </c>
      <c r="I9" s="265" t="str">
        <f t="shared" si="5"/>
        <v>N/A</v>
      </c>
      <c r="J9" s="265" t="str">
        <f t="shared" si="1"/>
        <v>N/A</v>
      </c>
      <c r="K9" s="265" t="str">
        <f t="shared" si="1"/>
        <v>N/A</v>
      </c>
      <c r="L9" s="265" t="str">
        <f t="shared" si="1"/>
        <v>N/A</v>
      </c>
      <c r="M9" s="265" t="str">
        <f t="shared" si="1"/>
        <v>N/A</v>
      </c>
      <c r="N9" s="260"/>
      <c r="O9" s="236" t="s">
        <v>336</v>
      </c>
      <c r="P9" s="245">
        <v>6</v>
      </c>
      <c r="Q9" s="254" t="s">
        <v>336</v>
      </c>
      <c r="R9" s="254" t="s">
        <v>336</v>
      </c>
      <c r="S9" s="254" t="s">
        <v>336</v>
      </c>
      <c r="T9" s="254" t="s">
        <v>336</v>
      </c>
      <c r="U9" s="254" t="s">
        <v>336</v>
      </c>
      <c r="V9" s="253">
        <v>6</v>
      </c>
      <c r="W9" s="254" t="s">
        <v>336</v>
      </c>
      <c r="X9" s="254" t="s">
        <v>336</v>
      </c>
      <c r="Y9" s="254" t="s">
        <v>336</v>
      </c>
      <c r="Z9" s="254" t="s">
        <v>336</v>
      </c>
      <c r="AA9" s="254" t="s">
        <v>336</v>
      </c>
      <c r="AB9" s="236" t="s">
        <v>336</v>
      </c>
      <c r="AC9" s="664">
        <v>6</v>
      </c>
      <c r="AD9" s="254" t="s">
        <v>336</v>
      </c>
      <c r="AE9" s="254" t="s">
        <v>336</v>
      </c>
      <c r="AF9" s="254" t="s">
        <v>336</v>
      </c>
      <c r="AG9" s="254" t="s">
        <v>336</v>
      </c>
      <c r="AH9" s="254" t="s">
        <v>336</v>
      </c>
      <c r="AI9" s="663">
        <v>6</v>
      </c>
      <c r="AJ9" s="254" t="s">
        <v>336</v>
      </c>
      <c r="AK9" s="254" t="s">
        <v>336</v>
      </c>
      <c r="AL9" s="254" t="s">
        <v>336</v>
      </c>
      <c r="AM9" s="254" t="s">
        <v>336</v>
      </c>
      <c r="AN9" s="254" t="s">
        <v>336</v>
      </c>
      <c r="AO9" s="660">
        <v>4</v>
      </c>
      <c r="AP9" s="265" t="str">
        <f t="shared" si="6"/>
        <v>N/A</v>
      </c>
      <c r="AQ9" s="265" t="str">
        <f t="shared" si="2"/>
        <v>N/A</v>
      </c>
      <c r="AR9" s="265" t="str">
        <f t="shared" si="2"/>
        <v>N/A</v>
      </c>
      <c r="AS9" s="265" t="str">
        <f t="shared" si="2"/>
        <v>N/A</v>
      </c>
      <c r="AT9" s="265" t="str">
        <f t="shared" si="2"/>
        <v>N/A</v>
      </c>
      <c r="AU9" s="663">
        <v>4</v>
      </c>
      <c r="AV9" s="265" t="str">
        <f t="shared" si="7"/>
        <v>N/A</v>
      </c>
      <c r="AW9" s="265" t="str">
        <f t="shared" si="3"/>
        <v>N/A</v>
      </c>
      <c r="AX9" s="265" t="str">
        <f t="shared" si="3"/>
        <v>N/A</v>
      </c>
      <c r="AY9" s="265" t="str">
        <f t="shared" si="3"/>
        <v>N/A</v>
      </c>
      <c r="AZ9" s="265" t="str">
        <f t="shared" si="3"/>
        <v>N/A</v>
      </c>
      <c r="BA9" s="236"/>
      <c r="BB9" s="236"/>
    </row>
    <row r="10" spans="1:54" x14ac:dyDescent="0.3">
      <c r="A10" s="236"/>
      <c r="B10" s="245">
        <v>5</v>
      </c>
      <c r="C10" s="257" t="str">
        <f t="shared" si="4"/>
        <v>N/A</v>
      </c>
      <c r="D10" s="257" t="str">
        <f t="shared" si="0"/>
        <v>N/A</v>
      </c>
      <c r="E10" s="257" t="str">
        <f t="shared" si="0"/>
        <v>N/A</v>
      </c>
      <c r="F10" s="257" t="str">
        <f t="shared" si="0"/>
        <v>N/A</v>
      </c>
      <c r="G10" s="257" t="str">
        <f t="shared" si="0"/>
        <v>N/A</v>
      </c>
      <c r="H10" s="253">
        <v>5</v>
      </c>
      <c r="I10" s="257" t="str">
        <f t="shared" si="5"/>
        <v>N/A</v>
      </c>
      <c r="J10" s="257" t="str">
        <f t="shared" si="1"/>
        <v>N/A</v>
      </c>
      <c r="K10" s="257" t="str">
        <f t="shared" si="1"/>
        <v>N/A</v>
      </c>
      <c r="L10" s="257" t="str">
        <f t="shared" si="1"/>
        <v>N/A</v>
      </c>
      <c r="M10" s="257" t="str">
        <f t="shared" si="1"/>
        <v>N/A</v>
      </c>
      <c r="N10" s="260"/>
      <c r="O10" s="236" t="s">
        <v>336</v>
      </c>
      <c r="P10" s="245">
        <v>7</v>
      </c>
      <c r="Q10" s="246" t="s">
        <v>336</v>
      </c>
      <c r="R10" s="246" t="s">
        <v>336</v>
      </c>
      <c r="S10" s="246" t="s">
        <v>336</v>
      </c>
      <c r="T10" s="246" t="s">
        <v>336</v>
      </c>
      <c r="U10" s="246" t="s">
        <v>336</v>
      </c>
      <c r="V10" s="253">
        <v>7</v>
      </c>
      <c r="W10" s="246" t="s">
        <v>336</v>
      </c>
      <c r="X10" s="246" t="s">
        <v>336</v>
      </c>
      <c r="Y10" s="246" t="s">
        <v>336</v>
      </c>
      <c r="Z10" s="246" t="s">
        <v>336</v>
      </c>
      <c r="AA10" s="246" t="s">
        <v>336</v>
      </c>
      <c r="AB10" s="236" t="s">
        <v>336</v>
      </c>
      <c r="AC10" s="664">
        <v>7</v>
      </c>
      <c r="AD10" s="246" t="s">
        <v>336</v>
      </c>
      <c r="AE10" s="246" t="s">
        <v>336</v>
      </c>
      <c r="AF10" s="246" t="s">
        <v>336</v>
      </c>
      <c r="AG10" s="246" t="s">
        <v>336</v>
      </c>
      <c r="AH10" s="246" t="s">
        <v>336</v>
      </c>
      <c r="AI10" s="663">
        <v>7</v>
      </c>
      <c r="AJ10" s="246" t="s">
        <v>336</v>
      </c>
      <c r="AK10" s="246" t="s">
        <v>336</v>
      </c>
      <c r="AL10" s="246" t="s">
        <v>336</v>
      </c>
      <c r="AM10" s="246" t="s">
        <v>336</v>
      </c>
      <c r="AN10" s="246" t="s">
        <v>336</v>
      </c>
      <c r="AO10" s="660">
        <v>5</v>
      </c>
      <c r="AP10" s="257" t="str">
        <f t="shared" si="6"/>
        <v>N/A</v>
      </c>
      <c r="AQ10" s="257" t="str">
        <f t="shared" si="2"/>
        <v>N/A</v>
      </c>
      <c r="AR10" s="257" t="str">
        <f t="shared" si="2"/>
        <v>N/A</v>
      </c>
      <c r="AS10" s="257" t="str">
        <f t="shared" si="2"/>
        <v>N/A</v>
      </c>
      <c r="AT10" s="257" t="str">
        <f t="shared" si="2"/>
        <v>N/A</v>
      </c>
      <c r="AU10" s="663">
        <v>5</v>
      </c>
      <c r="AV10" s="257" t="str">
        <f t="shared" si="7"/>
        <v>N/A</v>
      </c>
      <c r="AW10" s="257" t="str">
        <f t="shared" si="3"/>
        <v>N/A</v>
      </c>
      <c r="AX10" s="257" t="str">
        <f t="shared" si="3"/>
        <v>N/A</v>
      </c>
      <c r="AY10" s="257" t="str">
        <f t="shared" si="3"/>
        <v>N/A</v>
      </c>
      <c r="AZ10" s="257" t="str">
        <f t="shared" si="3"/>
        <v>N/A</v>
      </c>
      <c r="BA10" s="236"/>
      <c r="BB10" s="236"/>
    </row>
    <row r="11" spans="1:54" x14ac:dyDescent="0.3">
      <c r="A11" s="236"/>
      <c r="B11" s="245">
        <v>6</v>
      </c>
      <c r="C11" s="265" t="str">
        <f t="shared" si="4"/>
        <v>N/A</v>
      </c>
      <c r="D11" s="265" t="str">
        <f t="shared" si="0"/>
        <v>N/A</v>
      </c>
      <c r="E11" s="265" t="str">
        <f t="shared" si="0"/>
        <v>N/A</v>
      </c>
      <c r="F11" s="265" t="str">
        <f t="shared" si="0"/>
        <v>N/A</v>
      </c>
      <c r="G11" s="265" t="str">
        <f t="shared" si="0"/>
        <v>N/A</v>
      </c>
      <c r="H11" s="253">
        <v>6</v>
      </c>
      <c r="I11" s="265" t="str">
        <f t="shared" si="5"/>
        <v>N/A</v>
      </c>
      <c r="J11" s="265" t="str">
        <f t="shared" si="1"/>
        <v>N/A</v>
      </c>
      <c r="K11" s="265" t="str">
        <f t="shared" si="1"/>
        <v>N/A</v>
      </c>
      <c r="L11" s="265" t="str">
        <f t="shared" si="1"/>
        <v>N/A</v>
      </c>
      <c r="M11" s="265" t="str">
        <f t="shared" si="1"/>
        <v>N/A</v>
      </c>
      <c r="N11" s="260"/>
      <c r="O11" s="236" t="s">
        <v>336</v>
      </c>
      <c r="P11" s="245">
        <v>8</v>
      </c>
      <c r="Q11" s="254" t="s">
        <v>336</v>
      </c>
      <c r="R11" s="254" t="s">
        <v>336</v>
      </c>
      <c r="S11" s="254" t="s">
        <v>336</v>
      </c>
      <c r="T11" s="254" t="s">
        <v>336</v>
      </c>
      <c r="U11" s="254" t="s">
        <v>336</v>
      </c>
      <c r="V11" s="253">
        <v>8</v>
      </c>
      <c r="W11" s="254" t="s">
        <v>336</v>
      </c>
      <c r="X11" s="254" t="s">
        <v>336</v>
      </c>
      <c r="Y11" s="254" t="s">
        <v>336</v>
      </c>
      <c r="Z11" s="254" t="s">
        <v>336</v>
      </c>
      <c r="AA11" s="254" t="s">
        <v>336</v>
      </c>
      <c r="AB11" s="236" t="s">
        <v>336</v>
      </c>
      <c r="AC11" s="664">
        <v>8</v>
      </c>
      <c r="AD11" s="254" t="s">
        <v>336</v>
      </c>
      <c r="AE11" s="254" t="s">
        <v>336</v>
      </c>
      <c r="AF11" s="254" t="s">
        <v>336</v>
      </c>
      <c r="AG11" s="254" t="s">
        <v>336</v>
      </c>
      <c r="AH11" s="254" t="s">
        <v>336</v>
      </c>
      <c r="AI11" s="663">
        <v>8</v>
      </c>
      <c r="AJ11" s="254" t="s">
        <v>336</v>
      </c>
      <c r="AK11" s="254" t="s">
        <v>336</v>
      </c>
      <c r="AL11" s="254" t="s">
        <v>336</v>
      </c>
      <c r="AM11" s="254" t="s">
        <v>336</v>
      </c>
      <c r="AN11" s="254" t="s">
        <v>336</v>
      </c>
      <c r="AO11" s="660">
        <v>6</v>
      </c>
      <c r="AP11" s="265" t="str">
        <f t="shared" si="6"/>
        <v>N/A</v>
      </c>
      <c r="AQ11" s="265" t="str">
        <f t="shared" si="2"/>
        <v>N/A</v>
      </c>
      <c r="AR11" s="265" t="str">
        <f t="shared" si="2"/>
        <v>N/A</v>
      </c>
      <c r="AS11" s="265" t="str">
        <f t="shared" si="2"/>
        <v>N/A</v>
      </c>
      <c r="AT11" s="265" t="str">
        <f t="shared" si="2"/>
        <v>N/A</v>
      </c>
      <c r="AU11" s="663">
        <v>6</v>
      </c>
      <c r="AV11" s="265" t="str">
        <f t="shared" si="7"/>
        <v>N/A</v>
      </c>
      <c r="AW11" s="265" t="str">
        <f t="shared" si="3"/>
        <v>N/A</v>
      </c>
      <c r="AX11" s="265" t="str">
        <f t="shared" si="3"/>
        <v>N/A</v>
      </c>
      <c r="AY11" s="265" t="str">
        <f t="shared" si="3"/>
        <v>N/A</v>
      </c>
      <c r="AZ11" s="265" t="str">
        <f t="shared" si="3"/>
        <v>N/A</v>
      </c>
      <c r="BA11" s="236"/>
      <c r="BB11" s="236"/>
    </row>
    <row r="12" spans="1:54" x14ac:dyDescent="0.3">
      <c r="A12" s="236"/>
      <c r="B12" s="245">
        <v>7</v>
      </c>
      <c r="C12" s="257" t="str">
        <f t="shared" si="4"/>
        <v>N/A</v>
      </c>
      <c r="D12" s="257" t="str">
        <f t="shared" si="0"/>
        <v>N/A</v>
      </c>
      <c r="E12" s="257" t="str">
        <f t="shared" si="0"/>
        <v>N/A</v>
      </c>
      <c r="F12" s="257" t="str">
        <f t="shared" si="0"/>
        <v>N/A</v>
      </c>
      <c r="G12" s="257" t="str">
        <f t="shared" si="0"/>
        <v>N/A</v>
      </c>
      <c r="H12" s="253">
        <v>7</v>
      </c>
      <c r="I12" s="257" t="str">
        <f t="shared" si="5"/>
        <v>N/A</v>
      </c>
      <c r="J12" s="257" t="str">
        <f t="shared" si="1"/>
        <v>N/A</v>
      </c>
      <c r="K12" s="257" t="str">
        <f t="shared" si="1"/>
        <v>N/A</v>
      </c>
      <c r="L12" s="257" t="str">
        <f t="shared" si="1"/>
        <v>N/A</v>
      </c>
      <c r="M12" s="257" t="str">
        <f t="shared" si="1"/>
        <v>N/A</v>
      </c>
      <c r="N12" s="260"/>
      <c r="O12" s="236" t="s">
        <v>336</v>
      </c>
      <c r="P12" s="245">
        <v>9</v>
      </c>
      <c r="Q12" s="246" t="s">
        <v>336</v>
      </c>
      <c r="R12" s="246" t="s">
        <v>336</v>
      </c>
      <c r="S12" s="246" t="s">
        <v>336</v>
      </c>
      <c r="T12" s="246" t="s">
        <v>336</v>
      </c>
      <c r="U12" s="246" t="s">
        <v>336</v>
      </c>
      <c r="V12" s="253">
        <v>9</v>
      </c>
      <c r="W12" s="246" t="s">
        <v>336</v>
      </c>
      <c r="X12" s="246" t="s">
        <v>336</v>
      </c>
      <c r="Y12" s="246" t="s">
        <v>336</v>
      </c>
      <c r="Z12" s="246" t="s">
        <v>336</v>
      </c>
      <c r="AA12" s="246" t="s">
        <v>336</v>
      </c>
      <c r="AB12" s="236" t="s">
        <v>336</v>
      </c>
      <c r="AC12" s="664">
        <v>9</v>
      </c>
      <c r="AD12" s="246" t="s">
        <v>336</v>
      </c>
      <c r="AE12" s="246" t="s">
        <v>336</v>
      </c>
      <c r="AF12" s="246" t="s">
        <v>336</v>
      </c>
      <c r="AG12" s="246" t="s">
        <v>336</v>
      </c>
      <c r="AH12" s="246" t="s">
        <v>336</v>
      </c>
      <c r="AI12" s="663">
        <v>9</v>
      </c>
      <c r="AJ12" s="246" t="s">
        <v>336</v>
      </c>
      <c r="AK12" s="246" t="s">
        <v>336</v>
      </c>
      <c r="AL12" s="246" t="s">
        <v>336</v>
      </c>
      <c r="AM12" s="246" t="s">
        <v>336</v>
      </c>
      <c r="AN12" s="246" t="s">
        <v>336</v>
      </c>
      <c r="AO12" s="660">
        <v>7</v>
      </c>
      <c r="AP12" s="257" t="str">
        <f t="shared" si="6"/>
        <v>N/A</v>
      </c>
      <c r="AQ12" s="257" t="str">
        <f t="shared" si="2"/>
        <v>N/A</v>
      </c>
      <c r="AR12" s="257" t="str">
        <f t="shared" si="2"/>
        <v>N/A</v>
      </c>
      <c r="AS12" s="257" t="str">
        <f t="shared" si="2"/>
        <v>N/A</v>
      </c>
      <c r="AT12" s="257" t="str">
        <f t="shared" si="2"/>
        <v>N/A</v>
      </c>
      <c r="AU12" s="663">
        <v>7</v>
      </c>
      <c r="AV12" s="257" t="str">
        <f t="shared" si="7"/>
        <v>N/A</v>
      </c>
      <c r="AW12" s="257" t="str">
        <f t="shared" si="3"/>
        <v>N/A</v>
      </c>
      <c r="AX12" s="257" t="str">
        <f t="shared" si="3"/>
        <v>N/A</v>
      </c>
      <c r="AY12" s="257" t="str">
        <f t="shared" si="3"/>
        <v>N/A</v>
      </c>
      <c r="AZ12" s="257" t="str">
        <f t="shared" si="3"/>
        <v>N/A</v>
      </c>
      <c r="BA12" s="236"/>
      <c r="BB12" s="236"/>
    </row>
    <row r="13" spans="1:54" x14ac:dyDescent="0.3">
      <c r="A13" s="236"/>
      <c r="B13" s="245">
        <v>8</v>
      </c>
      <c r="C13" s="265" t="str">
        <f t="shared" si="4"/>
        <v>N/A</v>
      </c>
      <c r="D13" s="265" t="str">
        <f t="shared" si="0"/>
        <v>N/A</v>
      </c>
      <c r="E13" s="265" t="str">
        <f t="shared" si="0"/>
        <v>N/A</v>
      </c>
      <c r="F13" s="265" t="str">
        <f t="shared" si="0"/>
        <v>N/A</v>
      </c>
      <c r="G13" s="265" t="str">
        <f t="shared" si="0"/>
        <v>N/A</v>
      </c>
      <c r="H13" s="253">
        <v>8</v>
      </c>
      <c r="I13" s="265" t="str">
        <f t="shared" si="5"/>
        <v>N/A</v>
      </c>
      <c r="J13" s="265" t="str">
        <f t="shared" si="1"/>
        <v>N/A</v>
      </c>
      <c r="K13" s="265" t="str">
        <f t="shared" si="1"/>
        <v>N/A</v>
      </c>
      <c r="L13" s="265" t="str">
        <f t="shared" si="1"/>
        <v>N/A</v>
      </c>
      <c r="M13" s="265" t="str">
        <f t="shared" si="1"/>
        <v>N/A</v>
      </c>
      <c r="N13" s="260"/>
      <c r="O13" s="236" t="s">
        <v>336</v>
      </c>
      <c r="P13" s="245">
        <v>10</v>
      </c>
      <c r="Q13" s="254" t="s">
        <v>336</v>
      </c>
      <c r="R13" s="254" t="s">
        <v>336</v>
      </c>
      <c r="S13" s="254" t="s">
        <v>336</v>
      </c>
      <c r="T13" s="254" t="s">
        <v>336</v>
      </c>
      <c r="U13" s="254" t="s">
        <v>336</v>
      </c>
      <c r="V13" s="253">
        <v>10</v>
      </c>
      <c r="W13" s="254" t="s">
        <v>336</v>
      </c>
      <c r="X13" s="254" t="s">
        <v>336</v>
      </c>
      <c r="Y13" s="254" t="s">
        <v>336</v>
      </c>
      <c r="Z13" s="254" t="s">
        <v>336</v>
      </c>
      <c r="AA13" s="254" t="s">
        <v>336</v>
      </c>
      <c r="AB13" s="236" t="s">
        <v>336</v>
      </c>
      <c r="AC13" s="664">
        <v>10</v>
      </c>
      <c r="AD13" s="254" t="s">
        <v>336</v>
      </c>
      <c r="AE13" s="254" t="s">
        <v>336</v>
      </c>
      <c r="AF13" s="254" t="s">
        <v>336</v>
      </c>
      <c r="AG13" s="254" t="s">
        <v>336</v>
      </c>
      <c r="AH13" s="254" t="s">
        <v>336</v>
      </c>
      <c r="AI13" s="663">
        <v>10</v>
      </c>
      <c r="AJ13" s="254" t="s">
        <v>336</v>
      </c>
      <c r="AK13" s="254" t="s">
        <v>336</v>
      </c>
      <c r="AL13" s="254" t="s">
        <v>336</v>
      </c>
      <c r="AM13" s="254" t="s">
        <v>336</v>
      </c>
      <c r="AN13" s="254" t="s">
        <v>336</v>
      </c>
      <c r="AO13" s="660">
        <v>8</v>
      </c>
      <c r="AP13" s="265" t="str">
        <f t="shared" si="6"/>
        <v>N/A</v>
      </c>
      <c r="AQ13" s="265" t="str">
        <f t="shared" si="2"/>
        <v>N/A</v>
      </c>
      <c r="AR13" s="265" t="str">
        <f t="shared" si="2"/>
        <v>N/A</v>
      </c>
      <c r="AS13" s="265" t="str">
        <f t="shared" si="2"/>
        <v>N/A</v>
      </c>
      <c r="AT13" s="265" t="str">
        <f t="shared" si="2"/>
        <v>N/A</v>
      </c>
      <c r="AU13" s="663">
        <v>8</v>
      </c>
      <c r="AV13" s="265" t="str">
        <f t="shared" si="7"/>
        <v>N/A</v>
      </c>
      <c r="AW13" s="265" t="str">
        <f t="shared" si="3"/>
        <v>N/A</v>
      </c>
      <c r="AX13" s="265" t="str">
        <f t="shared" si="3"/>
        <v>N/A</v>
      </c>
      <c r="AY13" s="265" t="str">
        <f t="shared" si="3"/>
        <v>N/A</v>
      </c>
      <c r="AZ13" s="265" t="str">
        <f t="shared" si="3"/>
        <v>N/A</v>
      </c>
      <c r="BA13" s="236"/>
      <c r="BB13" s="236"/>
    </row>
    <row r="14" spans="1:54" x14ac:dyDescent="0.3">
      <c r="A14" s="236"/>
      <c r="B14" s="245">
        <v>9</v>
      </c>
      <c r="C14" s="257" t="str">
        <f t="shared" si="4"/>
        <v>N/A</v>
      </c>
      <c r="D14" s="257" t="str">
        <f t="shared" si="0"/>
        <v>N/A</v>
      </c>
      <c r="E14" s="257" t="str">
        <f t="shared" si="0"/>
        <v>N/A</v>
      </c>
      <c r="F14" s="257" t="str">
        <f t="shared" si="0"/>
        <v>N/A</v>
      </c>
      <c r="G14" s="257" t="str">
        <f t="shared" si="0"/>
        <v>N/A</v>
      </c>
      <c r="H14" s="253">
        <v>9</v>
      </c>
      <c r="I14" s="257" t="str">
        <f t="shared" si="5"/>
        <v>N/A</v>
      </c>
      <c r="J14" s="257" t="str">
        <f t="shared" si="1"/>
        <v>N/A</v>
      </c>
      <c r="K14" s="257" t="str">
        <f t="shared" si="1"/>
        <v>N/A</v>
      </c>
      <c r="L14" s="257" t="str">
        <f t="shared" si="1"/>
        <v>N/A</v>
      </c>
      <c r="M14" s="257" t="str">
        <f t="shared" si="1"/>
        <v>N/A</v>
      </c>
      <c r="N14" s="260"/>
      <c r="O14" s="236" t="s">
        <v>336</v>
      </c>
      <c r="P14" s="245">
        <v>11</v>
      </c>
      <c r="Q14" s="246" t="s">
        <v>336</v>
      </c>
      <c r="R14" s="246" t="s">
        <v>336</v>
      </c>
      <c r="S14" s="246" t="s">
        <v>336</v>
      </c>
      <c r="T14" s="246" t="s">
        <v>336</v>
      </c>
      <c r="U14" s="246" t="s">
        <v>336</v>
      </c>
      <c r="V14" s="253">
        <v>11</v>
      </c>
      <c r="W14" s="246" t="s">
        <v>336</v>
      </c>
      <c r="X14" s="246" t="s">
        <v>336</v>
      </c>
      <c r="Y14" s="246" t="s">
        <v>336</v>
      </c>
      <c r="Z14" s="246" t="s">
        <v>336</v>
      </c>
      <c r="AA14" s="246" t="s">
        <v>336</v>
      </c>
      <c r="AB14" s="236" t="s">
        <v>336</v>
      </c>
      <c r="AC14" s="664">
        <v>11</v>
      </c>
      <c r="AD14" s="246" t="s">
        <v>336</v>
      </c>
      <c r="AE14" s="246" t="s">
        <v>336</v>
      </c>
      <c r="AF14" s="246" t="s">
        <v>336</v>
      </c>
      <c r="AG14" s="246" t="s">
        <v>336</v>
      </c>
      <c r="AH14" s="246" t="s">
        <v>336</v>
      </c>
      <c r="AI14" s="663">
        <v>11</v>
      </c>
      <c r="AJ14" s="246" t="s">
        <v>336</v>
      </c>
      <c r="AK14" s="246" t="s">
        <v>336</v>
      </c>
      <c r="AL14" s="246" t="s">
        <v>336</v>
      </c>
      <c r="AM14" s="246" t="s">
        <v>336</v>
      </c>
      <c r="AN14" s="246" t="s">
        <v>336</v>
      </c>
      <c r="AO14" s="660">
        <v>9</v>
      </c>
      <c r="AP14" s="257" t="str">
        <f>AD12</f>
        <v>N/A</v>
      </c>
      <c r="AQ14" s="257" t="str">
        <f t="shared" ref="AQ14:AT29" si="8">AE12</f>
        <v>N/A</v>
      </c>
      <c r="AR14" s="257" t="str">
        <f t="shared" si="8"/>
        <v>N/A</v>
      </c>
      <c r="AS14" s="257" t="str">
        <f t="shared" si="8"/>
        <v>N/A</v>
      </c>
      <c r="AT14" s="257" t="str">
        <f t="shared" si="8"/>
        <v>N/A</v>
      </c>
      <c r="AU14" s="663">
        <v>9</v>
      </c>
      <c r="AV14" s="257" t="str">
        <f t="shared" si="7"/>
        <v>N/A</v>
      </c>
      <c r="AW14" s="257" t="str">
        <f t="shared" si="3"/>
        <v>N/A</v>
      </c>
      <c r="AX14" s="257" t="str">
        <f t="shared" si="3"/>
        <v>N/A</v>
      </c>
      <c r="AY14" s="257" t="str">
        <f t="shared" si="3"/>
        <v>N/A</v>
      </c>
      <c r="AZ14" s="257" t="str">
        <f t="shared" si="3"/>
        <v>N/A</v>
      </c>
      <c r="BA14" s="236"/>
      <c r="BB14" s="236"/>
    </row>
    <row r="15" spans="1:54" x14ac:dyDescent="0.3">
      <c r="A15" s="236"/>
      <c r="B15" s="245">
        <v>10</v>
      </c>
      <c r="C15" s="265" t="str">
        <f t="shared" si="4"/>
        <v>N/A</v>
      </c>
      <c r="D15" s="265" t="str">
        <f t="shared" si="0"/>
        <v>N/A</v>
      </c>
      <c r="E15" s="265" t="str">
        <f t="shared" si="0"/>
        <v>N/A</v>
      </c>
      <c r="F15" s="265" t="str">
        <f t="shared" si="0"/>
        <v>N/A</v>
      </c>
      <c r="G15" s="265" t="str">
        <f t="shared" si="0"/>
        <v>N/A</v>
      </c>
      <c r="H15" s="253">
        <v>10</v>
      </c>
      <c r="I15" s="265" t="str">
        <f t="shared" si="5"/>
        <v>N/A</v>
      </c>
      <c r="J15" s="265" t="str">
        <f t="shared" si="1"/>
        <v>N/A</v>
      </c>
      <c r="K15" s="265" t="str">
        <f t="shared" si="1"/>
        <v>N/A</v>
      </c>
      <c r="L15" s="265" t="str">
        <f t="shared" si="1"/>
        <v>N/A</v>
      </c>
      <c r="M15" s="265" t="str">
        <f t="shared" si="1"/>
        <v>N/A</v>
      </c>
      <c r="N15" s="260"/>
      <c r="O15" s="236" t="s">
        <v>336</v>
      </c>
      <c r="P15" s="245">
        <v>12</v>
      </c>
      <c r="Q15" s="254" t="s">
        <v>336</v>
      </c>
      <c r="R15" s="254" t="s">
        <v>336</v>
      </c>
      <c r="S15" s="254" t="s">
        <v>336</v>
      </c>
      <c r="T15" s="254" t="s">
        <v>336</v>
      </c>
      <c r="U15" s="254" t="s">
        <v>336</v>
      </c>
      <c r="V15" s="253">
        <v>12</v>
      </c>
      <c r="W15" s="254" t="s">
        <v>336</v>
      </c>
      <c r="X15" s="254" t="s">
        <v>336</v>
      </c>
      <c r="Y15" s="254" t="s">
        <v>336</v>
      </c>
      <c r="Z15" s="254" t="s">
        <v>336</v>
      </c>
      <c r="AA15" s="254" t="s">
        <v>336</v>
      </c>
      <c r="AB15" s="236" t="s">
        <v>336</v>
      </c>
      <c r="AC15" s="664">
        <v>12</v>
      </c>
      <c r="AD15" s="254" t="s">
        <v>336</v>
      </c>
      <c r="AE15" s="254" t="s">
        <v>336</v>
      </c>
      <c r="AF15" s="254" t="s">
        <v>336</v>
      </c>
      <c r="AG15" s="254" t="s">
        <v>336</v>
      </c>
      <c r="AH15" s="254" t="s">
        <v>336</v>
      </c>
      <c r="AI15" s="663">
        <v>12</v>
      </c>
      <c r="AJ15" s="254" t="s">
        <v>336</v>
      </c>
      <c r="AK15" s="254" t="s">
        <v>336</v>
      </c>
      <c r="AL15" s="254" t="s">
        <v>336</v>
      </c>
      <c r="AM15" s="254" t="s">
        <v>336</v>
      </c>
      <c r="AN15" s="254" t="s">
        <v>336</v>
      </c>
      <c r="AO15" s="660">
        <v>10</v>
      </c>
      <c r="AP15" s="265" t="str">
        <f t="shared" si="6"/>
        <v>N/A</v>
      </c>
      <c r="AQ15" s="265" t="str">
        <f t="shared" si="8"/>
        <v>N/A</v>
      </c>
      <c r="AR15" s="265" t="str">
        <f t="shared" si="8"/>
        <v>N/A</v>
      </c>
      <c r="AS15" s="265" t="str">
        <f t="shared" si="8"/>
        <v>N/A</v>
      </c>
      <c r="AT15" s="265" t="str">
        <f t="shared" si="8"/>
        <v>N/A</v>
      </c>
      <c r="AU15" s="663">
        <v>10</v>
      </c>
      <c r="AV15" s="265" t="str">
        <f t="shared" si="7"/>
        <v>N/A</v>
      </c>
      <c r="AW15" s="265" t="str">
        <f t="shared" si="3"/>
        <v>N/A</v>
      </c>
      <c r="AX15" s="265" t="str">
        <f t="shared" si="3"/>
        <v>N/A</v>
      </c>
      <c r="AY15" s="265" t="str">
        <f t="shared" si="3"/>
        <v>N/A</v>
      </c>
      <c r="AZ15" s="265" t="str">
        <f t="shared" si="3"/>
        <v>N/A</v>
      </c>
      <c r="BA15" s="236"/>
      <c r="BB15" s="236"/>
    </row>
    <row r="16" spans="1:54" x14ac:dyDescent="0.3">
      <c r="A16" s="236"/>
      <c r="B16" s="245">
        <v>11</v>
      </c>
      <c r="C16" s="257" t="str">
        <f t="shared" si="4"/>
        <v>N/A</v>
      </c>
      <c r="D16" s="257" t="str">
        <f t="shared" si="0"/>
        <v>N/A</v>
      </c>
      <c r="E16" s="257" t="str">
        <f t="shared" si="0"/>
        <v>N/A</v>
      </c>
      <c r="F16" s="257" t="str">
        <f t="shared" si="0"/>
        <v>N/A</v>
      </c>
      <c r="G16" s="257" t="str">
        <f t="shared" si="0"/>
        <v>N/A</v>
      </c>
      <c r="H16" s="253">
        <v>11</v>
      </c>
      <c r="I16" s="257" t="str">
        <f t="shared" si="5"/>
        <v>N/A</v>
      </c>
      <c r="J16" s="257" t="str">
        <f t="shared" si="1"/>
        <v>N/A</v>
      </c>
      <c r="K16" s="257" t="str">
        <f t="shared" si="1"/>
        <v>N/A</v>
      </c>
      <c r="L16" s="257" t="str">
        <f t="shared" si="1"/>
        <v>N/A</v>
      </c>
      <c r="M16" s="257" t="str">
        <f t="shared" si="1"/>
        <v>N/A</v>
      </c>
      <c r="N16" s="260"/>
      <c r="O16" s="236" t="s">
        <v>336</v>
      </c>
      <c r="P16" s="245">
        <v>13</v>
      </c>
      <c r="Q16" s="246" t="s">
        <v>336</v>
      </c>
      <c r="R16" s="246" t="s">
        <v>336</v>
      </c>
      <c r="S16" s="246" t="s">
        <v>336</v>
      </c>
      <c r="T16" s="246" t="s">
        <v>336</v>
      </c>
      <c r="U16" s="246" t="s">
        <v>336</v>
      </c>
      <c r="V16" s="253">
        <v>13</v>
      </c>
      <c r="W16" s="246" t="s">
        <v>336</v>
      </c>
      <c r="X16" s="246" t="s">
        <v>336</v>
      </c>
      <c r="Y16" s="246" t="s">
        <v>336</v>
      </c>
      <c r="Z16" s="246" t="s">
        <v>336</v>
      </c>
      <c r="AA16" s="246" t="s">
        <v>336</v>
      </c>
      <c r="AB16" s="236" t="s">
        <v>336</v>
      </c>
      <c r="AC16" s="664">
        <v>13</v>
      </c>
      <c r="AD16" s="246" t="s">
        <v>336</v>
      </c>
      <c r="AE16" s="246" t="s">
        <v>336</v>
      </c>
      <c r="AF16" s="246" t="s">
        <v>336</v>
      </c>
      <c r="AG16" s="246" t="s">
        <v>336</v>
      </c>
      <c r="AH16" s="246" t="s">
        <v>336</v>
      </c>
      <c r="AI16" s="663">
        <v>13</v>
      </c>
      <c r="AJ16" s="246" t="s">
        <v>336</v>
      </c>
      <c r="AK16" s="246" t="s">
        <v>336</v>
      </c>
      <c r="AL16" s="246" t="s">
        <v>336</v>
      </c>
      <c r="AM16" s="246" t="s">
        <v>336</v>
      </c>
      <c r="AN16" s="246" t="s">
        <v>336</v>
      </c>
      <c r="AO16" s="660">
        <v>11</v>
      </c>
      <c r="AP16" s="257" t="str">
        <f t="shared" si="6"/>
        <v>N/A</v>
      </c>
      <c r="AQ16" s="257" t="str">
        <f t="shared" si="8"/>
        <v>N/A</v>
      </c>
      <c r="AR16" s="257" t="str">
        <f t="shared" si="8"/>
        <v>N/A</v>
      </c>
      <c r="AS16" s="257" t="str">
        <f t="shared" si="8"/>
        <v>N/A</v>
      </c>
      <c r="AT16" s="257" t="str">
        <f t="shared" si="8"/>
        <v>N/A</v>
      </c>
      <c r="AU16" s="663">
        <v>11</v>
      </c>
      <c r="AV16" s="257" t="str">
        <f t="shared" si="7"/>
        <v>N/A</v>
      </c>
      <c r="AW16" s="257" t="str">
        <f t="shared" si="3"/>
        <v>N/A</v>
      </c>
      <c r="AX16" s="257" t="str">
        <f t="shared" si="3"/>
        <v>N/A</v>
      </c>
      <c r="AY16" s="257" t="str">
        <f t="shared" si="3"/>
        <v>N/A</v>
      </c>
      <c r="AZ16" s="257" t="str">
        <f t="shared" si="3"/>
        <v>N/A</v>
      </c>
      <c r="BA16" s="236"/>
      <c r="BB16" s="236"/>
    </row>
    <row r="17" spans="1:54" x14ac:dyDescent="0.3">
      <c r="A17" s="236"/>
      <c r="B17" s="245">
        <v>12</v>
      </c>
      <c r="C17" s="271" t="str">
        <f t="shared" si="4"/>
        <v>N/A</v>
      </c>
      <c r="D17" s="271" t="str">
        <f t="shared" si="0"/>
        <v>N/A</v>
      </c>
      <c r="E17" s="271" t="str">
        <f t="shared" si="0"/>
        <v>N/A</v>
      </c>
      <c r="F17" s="271" t="str">
        <f t="shared" si="0"/>
        <v>N/A</v>
      </c>
      <c r="G17" s="271" t="str">
        <f t="shared" si="0"/>
        <v>N/A</v>
      </c>
      <c r="H17" s="253">
        <v>12</v>
      </c>
      <c r="I17" s="271" t="str">
        <f t="shared" si="5"/>
        <v>N/A</v>
      </c>
      <c r="J17" s="271" t="str">
        <f t="shared" si="1"/>
        <v>N/A</v>
      </c>
      <c r="K17" s="271" t="str">
        <f t="shared" si="1"/>
        <v>N/A</v>
      </c>
      <c r="L17" s="271" t="str">
        <f t="shared" si="1"/>
        <v>N/A</v>
      </c>
      <c r="M17" s="271" t="str">
        <f t="shared" si="1"/>
        <v>N/A</v>
      </c>
      <c r="N17" s="260"/>
      <c r="O17" s="236" t="s">
        <v>336</v>
      </c>
      <c r="P17" s="245">
        <v>14</v>
      </c>
      <c r="Q17" s="254" t="s">
        <v>336</v>
      </c>
      <c r="R17" s="254" t="s">
        <v>336</v>
      </c>
      <c r="S17" s="254" t="s">
        <v>336</v>
      </c>
      <c r="T17" s="254" t="s">
        <v>336</v>
      </c>
      <c r="U17" s="254" t="s">
        <v>336</v>
      </c>
      <c r="V17" s="253">
        <v>14</v>
      </c>
      <c r="W17" s="254" t="s">
        <v>336</v>
      </c>
      <c r="X17" s="254" t="s">
        <v>336</v>
      </c>
      <c r="Y17" s="254" t="s">
        <v>336</v>
      </c>
      <c r="Z17" s="254" t="s">
        <v>336</v>
      </c>
      <c r="AA17" s="254" t="s">
        <v>336</v>
      </c>
      <c r="AB17" s="236" t="s">
        <v>336</v>
      </c>
      <c r="AC17" s="664">
        <v>14</v>
      </c>
      <c r="AD17" s="254" t="s">
        <v>336</v>
      </c>
      <c r="AE17" s="254" t="s">
        <v>336</v>
      </c>
      <c r="AF17" s="254" t="s">
        <v>336</v>
      </c>
      <c r="AG17" s="254" t="s">
        <v>336</v>
      </c>
      <c r="AH17" s="254" t="s">
        <v>336</v>
      </c>
      <c r="AI17" s="663">
        <v>14</v>
      </c>
      <c r="AJ17" s="254" t="s">
        <v>336</v>
      </c>
      <c r="AK17" s="254" t="s">
        <v>336</v>
      </c>
      <c r="AL17" s="254" t="s">
        <v>336</v>
      </c>
      <c r="AM17" s="254" t="s">
        <v>336</v>
      </c>
      <c r="AN17" s="254" t="s">
        <v>336</v>
      </c>
      <c r="AO17" s="660">
        <v>12</v>
      </c>
      <c r="AP17" s="271" t="str">
        <f t="shared" si="6"/>
        <v>N/A</v>
      </c>
      <c r="AQ17" s="271" t="str">
        <f t="shared" si="8"/>
        <v>N/A</v>
      </c>
      <c r="AR17" s="271" t="str">
        <f t="shared" si="8"/>
        <v>N/A</v>
      </c>
      <c r="AS17" s="271" t="str">
        <f t="shared" si="8"/>
        <v>N/A</v>
      </c>
      <c r="AT17" s="271" t="str">
        <f t="shared" si="8"/>
        <v>N/A</v>
      </c>
      <c r="AU17" s="663">
        <v>12</v>
      </c>
      <c r="AV17" s="271" t="str">
        <f t="shared" si="7"/>
        <v>N/A</v>
      </c>
      <c r="AW17" s="271" t="str">
        <f t="shared" si="3"/>
        <v>N/A</v>
      </c>
      <c r="AX17" s="271" t="str">
        <f t="shared" si="3"/>
        <v>N/A</v>
      </c>
      <c r="AY17" s="271" t="str">
        <f t="shared" si="3"/>
        <v>N/A</v>
      </c>
      <c r="AZ17" s="271" t="str">
        <f t="shared" si="3"/>
        <v>N/A</v>
      </c>
      <c r="BA17" s="236"/>
      <c r="BB17" s="236"/>
    </row>
    <row r="18" spans="1:54" x14ac:dyDescent="0.3">
      <c r="A18" s="236"/>
      <c r="B18" s="245">
        <v>13</v>
      </c>
      <c r="C18" s="257" t="str">
        <f t="shared" si="4"/>
        <v>N/A</v>
      </c>
      <c r="D18" s="257" t="str">
        <f t="shared" si="0"/>
        <v>N/A</v>
      </c>
      <c r="E18" s="257" t="str">
        <f t="shared" si="0"/>
        <v>N/A</v>
      </c>
      <c r="F18" s="257" t="str">
        <f t="shared" si="0"/>
        <v>N/A</v>
      </c>
      <c r="G18" s="257" t="str">
        <f t="shared" si="0"/>
        <v>N/A</v>
      </c>
      <c r="H18" s="253">
        <v>13</v>
      </c>
      <c r="I18" s="257" t="str">
        <f t="shared" si="5"/>
        <v>N/A</v>
      </c>
      <c r="J18" s="257" t="str">
        <f t="shared" si="1"/>
        <v>N/A</v>
      </c>
      <c r="K18" s="257" t="str">
        <f t="shared" si="1"/>
        <v>N/A</v>
      </c>
      <c r="L18" s="257" t="str">
        <f t="shared" si="1"/>
        <v>N/A</v>
      </c>
      <c r="M18" s="257" t="str">
        <f t="shared" si="1"/>
        <v>N/A</v>
      </c>
      <c r="N18" s="168"/>
      <c r="O18" s="236" t="s">
        <v>336</v>
      </c>
      <c r="P18" s="245">
        <v>15</v>
      </c>
      <c r="Q18" s="246" t="s">
        <v>336</v>
      </c>
      <c r="R18" s="246" t="s">
        <v>336</v>
      </c>
      <c r="S18" s="246" t="s">
        <v>336</v>
      </c>
      <c r="T18" s="246" t="s">
        <v>336</v>
      </c>
      <c r="U18" s="246" t="s">
        <v>336</v>
      </c>
      <c r="V18" s="253">
        <v>15</v>
      </c>
      <c r="W18" s="246" t="s">
        <v>336</v>
      </c>
      <c r="X18" s="246" t="s">
        <v>336</v>
      </c>
      <c r="Y18" s="246" t="s">
        <v>336</v>
      </c>
      <c r="Z18" s="246" t="s">
        <v>336</v>
      </c>
      <c r="AA18" s="246" t="s">
        <v>336</v>
      </c>
      <c r="AB18" s="236" t="s">
        <v>336</v>
      </c>
      <c r="AC18" s="664">
        <v>15</v>
      </c>
      <c r="AD18" s="246" t="s">
        <v>336</v>
      </c>
      <c r="AE18" s="246" t="s">
        <v>336</v>
      </c>
      <c r="AF18" s="246" t="s">
        <v>336</v>
      </c>
      <c r="AG18" s="246" t="s">
        <v>336</v>
      </c>
      <c r="AH18" s="246" t="s">
        <v>336</v>
      </c>
      <c r="AI18" s="663">
        <v>15</v>
      </c>
      <c r="AJ18" s="246" t="s">
        <v>336</v>
      </c>
      <c r="AK18" s="246" t="s">
        <v>336</v>
      </c>
      <c r="AL18" s="246" t="s">
        <v>336</v>
      </c>
      <c r="AM18" s="246" t="s">
        <v>336</v>
      </c>
      <c r="AN18" s="246" t="s">
        <v>336</v>
      </c>
      <c r="AO18" s="660">
        <v>13</v>
      </c>
      <c r="AP18" s="257" t="str">
        <f t="shared" si="6"/>
        <v>N/A</v>
      </c>
      <c r="AQ18" s="257" t="str">
        <f t="shared" si="8"/>
        <v>N/A</v>
      </c>
      <c r="AR18" s="257" t="str">
        <f t="shared" si="8"/>
        <v>N/A</v>
      </c>
      <c r="AS18" s="257" t="str">
        <f t="shared" si="8"/>
        <v>N/A</v>
      </c>
      <c r="AT18" s="257" t="str">
        <f t="shared" si="8"/>
        <v>N/A</v>
      </c>
      <c r="AU18" s="663">
        <v>13</v>
      </c>
      <c r="AV18" s="257" t="str">
        <f t="shared" si="7"/>
        <v>N/A</v>
      </c>
      <c r="AW18" s="257" t="str">
        <f t="shared" si="3"/>
        <v>N/A</v>
      </c>
      <c r="AX18" s="257" t="str">
        <f t="shared" si="3"/>
        <v>N/A</v>
      </c>
      <c r="AY18" s="257" t="str">
        <f t="shared" si="3"/>
        <v>N/A</v>
      </c>
      <c r="AZ18" s="257" t="str">
        <f t="shared" si="3"/>
        <v>N/A</v>
      </c>
      <c r="BA18" s="236"/>
      <c r="BB18" s="236"/>
    </row>
    <row r="19" spans="1:54" x14ac:dyDescent="0.3">
      <c r="A19" s="236"/>
      <c r="B19" s="245">
        <v>14</v>
      </c>
      <c r="C19" s="265" t="str">
        <f t="shared" si="4"/>
        <v>N/A</v>
      </c>
      <c r="D19" s="265" t="str">
        <f t="shared" si="0"/>
        <v>N/A</v>
      </c>
      <c r="E19" s="265" t="str">
        <f t="shared" si="0"/>
        <v>N/A</v>
      </c>
      <c r="F19" s="265" t="str">
        <f t="shared" si="0"/>
        <v>N/A</v>
      </c>
      <c r="G19" s="265" t="str">
        <f t="shared" si="0"/>
        <v>N/A</v>
      </c>
      <c r="H19" s="253">
        <v>14</v>
      </c>
      <c r="I19" s="265" t="str">
        <f t="shared" si="5"/>
        <v>N/A</v>
      </c>
      <c r="J19" s="265" t="str">
        <f t="shared" si="1"/>
        <v>N/A</v>
      </c>
      <c r="K19" s="265" t="str">
        <f t="shared" si="1"/>
        <v>N/A</v>
      </c>
      <c r="L19" s="265" t="str">
        <f t="shared" si="1"/>
        <v>N/A</v>
      </c>
      <c r="M19" s="265" t="str">
        <f t="shared" si="1"/>
        <v>N/A</v>
      </c>
      <c r="N19" s="275"/>
      <c r="O19" s="236" t="s">
        <v>336</v>
      </c>
      <c r="P19" s="245">
        <v>16</v>
      </c>
      <c r="Q19" s="254" t="s">
        <v>336</v>
      </c>
      <c r="R19" s="254" t="s">
        <v>336</v>
      </c>
      <c r="S19" s="254" t="s">
        <v>336</v>
      </c>
      <c r="T19" s="254" t="s">
        <v>336</v>
      </c>
      <c r="U19" s="254" t="s">
        <v>336</v>
      </c>
      <c r="V19" s="253">
        <v>16</v>
      </c>
      <c r="W19" s="254" t="s">
        <v>336</v>
      </c>
      <c r="X19" s="254" t="s">
        <v>336</v>
      </c>
      <c r="Y19" s="254" t="s">
        <v>336</v>
      </c>
      <c r="Z19" s="254" t="s">
        <v>336</v>
      </c>
      <c r="AA19" s="254" t="s">
        <v>336</v>
      </c>
      <c r="AB19" s="236" t="s">
        <v>336</v>
      </c>
      <c r="AC19" s="664">
        <v>16</v>
      </c>
      <c r="AD19" s="254" t="s">
        <v>336</v>
      </c>
      <c r="AE19" s="254" t="s">
        <v>336</v>
      </c>
      <c r="AF19" s="254" t="s">
        <v>336</v>
      </c>
      <c r="AG19" s="254" t="s">
        <v>336</v>
      </c>
      <c r="AH19" s="254" t="s">
        <v>336</v>
      </c>
      <c r="AI19" s="663">
        <v>16</v>
      </c>
      <c r="AJ19" s="254" t="s">
        <v>336</v>
      </c>
      <c r="AK19" s="254" t="s">
        <v>336</v>
      </c>
      <c r="AL19" s="254" t="s">
        <v>336</v>
      </c>
      <c r="AM19" s="254" t="s">
        <v>336</v>
      </c>
      <c r="AN19" s="254" t="s">
        <v>336</v>
      </c>
      <c r="AO19" s="660">
        <v>14</v>
      </c>
      <c r="AP19" s="265" t="str">
        <f t="shared" si="6"/>
        <v>N/A</v>
      </c>
      <c r="AQ19" s="265" t="str">
        <f t="shared" si="8"/>
        <v>N/A</v>
      </c>
      <c r="AR19" s="265" t="str">
        <f t="shared" si="8"/>
        <v>N/A</v>
      </c>
      <c r="AS19" s="265" t="str">
        <f t="shared" si="8"/>
        <v>N/A</v>
      </c>
      <c r="AT19" s="265" t="str">
        <f t="shared" si="8"/>
        <v>N/A</v>
      </c>
      <c r="AU19" s="663">
        <v>14</v>
      </c>
      <c r="AV19" s="265" t="str">
        <f t="shared" si="7"/>
        <v>N/A</v>
      </c>
      <c r="AW19" s="265" t="str">
        <f t="shared" si="3"/>
        <v>N/A</v>
      </c>
      <c r="AX19" s="265" t="str">
        <f t="shared" si="3"/>
        <v>N/A</v>
      </c>
      <c r="AY19" s="265" t="str">
        <f t="shared" si="3"/>
        <v>N/A</v>
      </c>
      <c r="AZ19" s="265" t="str">
        <f t="shared" si="3"/>
        <v>N/A</v>
      </c>
      <c r="BA19" s="236"/>
      <c r="BB19" s="236"/>
    </row>
    <row r="20" spans="1:54" x14ac:dyDescent="0.3">
      <c r="A20" s="236"/>
      <c r="B20" s="245">
        <v>15</v>
      </c>
      <c r="C20" s="257" t="str">
        <f t="shared" si="4"/>
        <v>N/A</v>
      </c>
      <c r="D20" s="257" t="str">
        <f t="shared" si="0"/>
        <v>N/A</v>
      </c>
      <c r="E20" s="257" t="str">
        <f t="shared" si="0"/>
        <v>N/A</v>
      </c>
      <c r="F20" s="257" t="str">
        <f t="shared" si="0"/>
        <v>N/A</v>
      </c>
      <c r="G20" s="257" t="str">
        <f t="shared" si="0"/>
        <v>N/A</v>
      </c>
      <c r="H20" s="253">
        <v>15</v>
      </c>
      <c r="I20" s="257" t="str">
        <f t="shared" si="5"/>
        <v>N/A</v>
      </c>
      <c r="J20" s="257" t="str">
        <f t="shared" si="1"/>
        <v>N/A</v>
      </c>
      <c r="K20" s="257" t="str">
        <f t="shared" si="1"/>
        <v>N/A</v>
      </c>
      <c r="L20" s="257" t="str">
        <f t="shared" si="1"/>
        <v>N/A</v>
      </c>
      <c r="M20" s="257" t="str">
        <f t="shared" si="1"/>
        <v>N/A</v>
      </c>
      <c r="N20" s="238"/>
      <c r="O20" s="236" t="s">
        <v>336</v>
      </c>
      <c r="P20" s="245">
        <v>17</v>
      </c>
      <c r="Q20" s="246" t="s">
        <v>336</v>
      </c>
      <c r="R20" s="246" t="s">
        <v>336</v>
      </c>
      <c r="S20" s="246" t="s">
        <v>336</v>
      </c>
      <c r="T20" s="246" t="s">
        <v>336</v>
      </c>
      <c r="U20" s="246" t="s">
        <v>336</v>
      </c>
      <c r="V20" s="253">
        <v>17</v>
      </c>
      <c r="W20" s="246" t="s">
        <v>336</v>
      </c>
      <c r="X20" s="246" t="s">
        <v>336</v>
      </c>
      <c r="Y20" s="246" t="s">
        <v>336</v>
      </c>
      <c r="Z20" s="246" t="s">
        <v>336</v>
      </c>
      <c r="AA20" s="246" t="s">
        <v>336</v>
      </c>
      <c r="AB20" s="236" t="s">
        <v>336</v>
      </c>
      <c r="AC20" s="664">
        <v>17</v>
      </c>
      <c r="AD20" s="246" t="s">
        <v>336</v>
      </c>
      <c r="AE20" s="246" t="s">
        <v>336</v>
      </c>
      <c r="AF20" s="246" t="s">
        <v>336</v>
      </c>
      <c r="AG20" s="246" t="s">
        <v>336</v>
      </c>
      <c r="AH20" s="246" t="s">
        <v>336</v>
      </c>
      <c r="AI20" s="663">
        <v>17</v>
      </c>
      <c r="AJ20" s="246" t="s">
        <v>336</v>
      </c>
      <c r="AK20" s="246" t="s">
        <v>336</v>
      </c>
      <c r="AL20" s="246" t="s">
        <v>336</v>
      </c>
      <c r="AM20" s="246" t="s">
        <v>336</v>
      </c>
      <c r="AN20" s="246" t="s">
        <v>336</v>
      </c>
      <c r="AO20" s="660">
        <v>15</v>
      </c>
      <c r="AP20" s="257" t="str">
        <f t="shared" si="6"/>
        <v>N/A</v>
      </c>
      <c r="AQ20" s="257" t="str">
        <f t="shared" si="8"/>
        <v>N/A</v>
      </c>
      <c r="AR20" s="257" t="str">
        <f t="shared" si="8"/>
        <v>N/A</v>
      </c>
      <c r="AS20" s="257" t="str">
        <f t="shared" si="8"/>
        <v>N/A</v>
      </c>
      <c r="AT20" s="257" t="str">
        <f t="shared" si="8"/>
        <v>N/A</v>
      </c>
      <c r="AU20" s="663">
        <v>15</v>
      </c>
      <c r="AV20" s="257" t="str">
        <f t="shared" si="7"/>
        <v>N/A</v>
      </c>
      <c r="AW20" s="257" t="str">
        <f t="shared" si="3"/>
        <v>N/A</v>
      </c>
      <c r="AX20" s="257" t="str">
        <f t="shared" si="3"/>
        <v>N/A</v>
      </c>
      <c r="AY20" s="257" t="str">
        <f t="shared" si="3"/>
        <v>N/A</v>
      </c>
      <c r="AZ20" s="257" t="str">
        <f t="shared" si="3"/>
        <v>N/A</v>
      </c>
      <c r="BA20" s="236"/>
      <c r="BB20" s="236"/>
    </row>
    <row r="21" spans="1:54" x14ac:dyDescent="0.3">
      <c r="A21" s="236"/>
      <c r="B21" s="245">
        <v>16</v>
      </c>
      <c r="C21" s="265" t="str">
        <f t="shared" si="4"/>
        <v>N/A</v>
      </c>
      <c r="D21" s="265" t="str">
        <f t="shared" si="0"/>
        <v>N/A</v>
      </c>
      <c r="E21" s="265" t="str">
        <f t="shared" si="0"/>
        <v>N/A</v>
      </c>
      <c r="F21" s="265" t="str">
        <f t="shared" si="0"/>
        <v>N/A</v>
      </c>
      <c r="G21" s="265" t="str">
        <f t="shared" si="0"/>
        <v>N/A</v>
      </c>
      <c r="H21" s="253">
        <v>16</v>
      </c>
      <c r="I21" s="265" t="str">
        <f t="shared" si="5"/>
        <v>N/A</v>
      </c>
      <c r="J21" s="265" t="str">
        <f t="shared" si="1"/>
        <v>N/A</v>
      </c>
      <c r="K21" s="265" t="str">
        <f t="shared" si="1"/>
        <v>N/A</v>
      </c>
      <c r="L21" s="265" t="str">
        <f t="shared" si="1"/>
        <v>N/A</v>
      </c>
      <c r="M21" s="265" t="str">
        <f t="shared" si="1"/>
        <v>N/A</v>
      </c>
      <c r="N21" s="249"/>
      <c r="O21" s="236" t="s">
        <v>336</v>
      </c>
      <c r="P21" s="245">
        <v>18</v>
      </c>
      <c r="Q21" s="254" t="s">
        <v>336</v>
      </c>
      <c r="R21" s="254" t="s">
        <v>336</v>
      </c>
      <c r="S21" s="254" t="s">
        <v>336</v>
      </c>
      <c r="T21" s="254" t="s">
        <v>336</v>
      </c>
      <c r="U21" s="254" t="s">
        <v>336</v>
      </c>
      <c r="V21" s="253">
        <v>18</v>
      </c>
      <c r="W21" s="254" t="s">
        <v>336</v>
      </c>
      <c r="X21" s="254" t="s">
        <v>336</v>
      </c>
      <c r="Y21" s="254" t="s">
        <v>336</v>
      </c>
      <c r="Z21" s="254" t="s">
        <v>336</v>
      </c>
      <c r="AA21" s="254" t="s">
        <v>336</v>
      </c>
      <c r="AB21" s="236" t="s">
        <v>336</v>
      </c>
      <c r="AC21" s="664">
        <v>18</v>
      </c>
      <c r="AD21" s="254" t="s">
        <v>336</v>
      </c>
      <c r="AE21" s="254" t="s">
        <v>336</v>
      </c>
      <c r="AF21" s="254" t="s">
        <v>336</v>
      </c>
      <c r="AG21" s="254" t="s">
        <v>336</v>
      </c>
      <c r="AH21" s="254" t="s">
        <v>336</v>
      </c>
      <c r="AI21" s="663">
        <v>18</v>
      </c>
      <c r="AJ21" s="254" t="s">
        <v>336</v>
      </c>
      <c r="AK21" s="254" t="s">
        <v>336</v>
      </c>
      <c r="AL21" s="254" t="s">
        <v>336</v>
      </c>
      <c r="AM21" s="254" t="s">
        <v>336</v>
      </c>
      <c r="AN21" s="254" t="s">
        <v>336</v>
      </c>
      <c r="AO21" s="660">
        <v>16</v>
      </c>
      <c r="AP21" s="265" t="str">
        <f t="shared" si="6"/>
        <v>N/A</v>
      </c>
      <c r="AQ21" s="265" t="str">
        <f t="shared" si="8"/>
        <v>N/A</v>
      </c>
      <c r="AR21" s="265" t="str">
        <f t="shared" si="8"/>
        <v>N/A</v>
      </c>
      <c r="AS21" s="265" t="str">
        <f t="shared" si="8"/>
        <v>N/A</v>
      </c>
      <c r="AT21" s="265" t="str">
        <f t="shared" si="8"/>
        <v>N/A</v>
      </c>
      <c r="AU21" s="663">
        <v>16</v>
      </c>
      <c r="AV21" s="265" t="str">
        <f t="shared" si="7"/>
        <v>N/A</v>
      </c>
      <c r="AW21" s="265" t="str">
        <f t="shared" si="3"/>
        <v>N/A</v>
      </c>
      <c r="AX21" s="265" t="str">
        <f t="shared" si="3"/>
        <v>N/A</v>
      </c>
      <c r="AY21" s="265" t="str">
        <f t="shared" si="3"/>
        <v>N/A</v>
      </c>
      <c r="AZ21" s="265" t="str">
        <f t="shared" si="3"/>
        <v>N/A</v>
      </c>
      <c r="BA21" s="236"/>
      <c r="BB21" s="236"/>
    </row>
    <row r="22" spans="1:54" x14ac:dyDescent="0.3">
      <c r="A22" s="236"/>
      <c r="B22" s="245">
        <v>17</v>
      </c>
      <c r="C22" s="257" t="str">
        <f t="shared" si="4"/>
        <v>N/A</v>
      </c>
      <c r="D22" s="257" t="str">
        <f t="shared" ref="D22:D29" si="9">R20</f>
        <v>N/A</v>
      </c>
      <c r="E22" s="257" t="str">
        <f t="shared" ref="E22:E29" si="10">S20</f>
        <v>N/A</v>
      </c>
      <c r="F22" s="257" t="str">
        <f t="shared" ref="F22:F29" si="11">T20</f>
        <v>N/A</v>
      </c>
      <c r="G22" s="257" t="str">
        <f t="shared" ref="G22:G29" si="12">U20</f>
        <v>N/A</v>
      </c>
      <c r="H22" s="253">
        <v>17</v>
      </c>
      <c r="I22" s="257" t="str">
        <f t="shared" si="5"/>
        <v>N/A</v>
      </c>
      <c r="J22" s="257" t="str">
        <f t="shared" ref="J22:J29" si="13">X20</f>
        <v>N/A</v>
      </c>
      <c r="K22" s="257" t="str">
        <f t="shared" ref="K22:K29" si="14">Y20</f>
        <v>N/A</v>
      </c>
      <c r="L22" s="257" t="str">
        <f t="shared" ref="L22:L29" si="15">Z20</f>
        <v>N/A</v>
      </c>
      <c r="M22" s="257" t="str">
        <f t="shared" ref="M22:M29" si="16">AA20</f>
        <v>N/A</v>
      </c>
      <c r="N22" s="260"/>
      <c r="O22" s="236" t="s">
        <v>336</v>
      </c>
      <c r="P22" s="245">
        <v>19</v>
      </c>
      <c r="Q22" s="246" t="s">
        <v>336</v>
      </c>
      <c r="R22" s="246" t="s">
        <v>336</v>
      </c>
      <c r="S22" s="246" t="s">
        <v>336</v>
      </c>
      <c r="T22" s="246" t="s">
        <v>336</v>
      </c>
      <c r="U22" s="246" t="s">
        <v>336</v>
      </c>
      <c r="V22" s="253">
        <v>19</v>
      </c>
      <c r="W22" s="246" t="s">
        <v>336</v>
      </c>
      <c r="X22" s="246" t="s">
        <v>336</v>
      </c>
      <c r="Y22" s="246" t="s">
        <v>336</v>
      </c>
      <c r="Z22" s="246" t="s">
        <v>336</v>
      </c>
      <c r="AA22" s="246" t="s">
        <v>336</v>
      </c>
      <c r="AB22" s="236" t="s">
        <v>336</v>
      </c>
      <c r="AC22" s="664">
        <v>19</v>
      </c>
      <c r="AD22" s="246" t="s">
        <v>336</v>
      </c>
      <c r="AE22" s="246" t="s">
        <v>336</v>
      </c>
      <c r="AF22" s="246" t="s">
        <v>336</v>
      </c>
      <c r="AG22" s="246" t="s">
        <v>336</v>
      </c>
      <c r="AH22" s="246" t="s">
        <v>336</v>
      </c>
      <c r="AI22" s="663">
        <v>19</v>
      </c>
      <c r="AJ22" s="246" t="s">
        <v>336</v>
      </c>
      <c r="AK22" s="246" t="s">
        <v>336</v>
      </c>
      <c r="AL22" s="246" t="s">
        <v>336</v>
      </c>
      <c r="AM22" s="246" t="s">
        <v>336</v>
      </c>
      <c r="AN22" s="246" t="s">
        <v>336</v>
      </c>
      <c r="AO22" s="660">
        <v>17</v>
      </c>
      <c r="AP22" s="257" t="str">
        <f t="shared" si="6"/>
        <v>N/A</v>
      </c>
      <c r="AQ22" s="257" t="str">
        <f t="shared" si="8"/>
        <v>N/A</v>
      </c>
      <c r="AR22" s="257" t="str">
        <f t="shared" si="8"/>
        <v>N/A</v>
      </c>
      <c r="AS22" s="257" t="str">
        <f t="shared" si="8"/>
        <v>N/A</v>
      </c>
      <c r="AT22" s="257" t="str">
        <f t="shared" si="8"/>
        <v>N/A</v>
      </c>
      <c r="AU22" s="663">
        <v>17</v>
      </c>
      <c r="AV22" s="257" t="str">
        <f t="shared" si="7"/>
        <v>N/A</v>
      </c>
      <c r="AW22" s="257" t="str">
        <f t="shared" ref="AW22:AW29" si="17">AK20</f>
        <v>N/A</v>
      </c>
      <c r="AX22" s="257" t="str">
        <f t="shared" ref="AX22:AX29" si="18">AL20</f>
        <v>N/A</v>
      </c>
      <c r="AY22" s="257" t="str">
        <f t="shared" ref="AY22:AY29" si="19">AM20</f>
        <v>N/A</v>
      </c>
      <c r="AZ22" s="257" t="str">
        <f t="shared" ref="AZ22:AZ29" si="20">AN20</f>
        <v>N/A</v>
      </c>
      <c r="BA22" s="236"/>
      <c r="BB22" s="236"/>
    </row>
    <row r="23" spans="1:54" x14ac:dyDescent="0.3">
      <c r="A23" s="236"/>
      <c r="B23" s="245">
        <v>18</v>
      </c>
      <c r="C23" s="265" t="str">
        <f t="shared" si="4"/>
        <v>N/A</v>
      </c>
      <c r="D23" s="265" t="str">
        <f t="shared" si="9"/>
        <v>N/A</v>
      </c>
      <c r="E23" s="265" t="str">
        <f t="shared" si="10"/>
        <v>N/A</v>
      </c>
      <c r="F23" s="265" t="str">
        <f t="shared" si="11"/>
        <v>N/A</v>
      </c>
      <c r="G23" s="265" t="str">
        <f t="shared" si="12"/>
        <v>N/A</v>
      </c>
      <c r="H23" s="253">
        <v>18</v>
      </c>
      <c r="I23" s="265" t="str">
        <f t="shared" si="5"/>
        <v>N/A</v>
      </c>
      <c r="J23" s="265" t="str">
        <f t="shared" si="13"/>
        <v>N/A</v>
      </c>
      <c r="K23" s="265" t="str">
        <f t="shared" si="14"/>
        <v>N/A</v>
      </c>
      <c r="L23" s="265" t="str">
        <f t="shared" si="15"/>
        <v>N/A</v>
      </c>
      <c r="M23" s="265" t="str">
        <f t="shared" si="16"/>
        <v>N/A</v>
      </c>
      <c r="N23" s="260"/>
      <c r="O23" s="236" t="s">
        <v>336</v>
      </c>
      <c r="P23" s="245">
        <v>20</v>
      </c>
      <c r="Q23" s="254" t="s">
        <v>336</v>
      </c>
      <c r="R23" s="254" t="s">
        <v>336</v>
      </c>
      <c r="S23" s="254" t="s">
        <v>336</v>
      </c>
      <c r="T23" s="254" t="s">
        <v>336</v>
      </c>
      <c r="U23" s="254" t="s">
        <v>336</v>
      </c>
      <c r="V23" s="253">
        <v>20</v>
      </c>
      <c r="W23" s="254" t="s">
        <v>336</v>
      </c>
      <c r="X23" s="254" t="s">
        <v>336</v>
      </c>
      <c r="Y23" s="254" t="s">
        <v>336</v>
      </c>
      <c r="Z23" s="254" t="s">
        <v>336</v>
      </c>
      <c r="AA23" s="254" t="s">
        <v>336</v>
      </c>
      <c r="AB23" s="236" t="s">
        <v>336</v>
      </c>
      <c r="AC23" s="664">
        <v>20</v>
      </c>
      <c r="AD23" s="254" t="s">
        <v>336</v>
      </c>
      <c r="AE23" s="254" t="s">
        <v>336</v>
      </c>
      <c r="AF23" s="254" t="s">
        <v>336</v>
      </c>
      <c r="AG23" s="254" t="s">
        <v>336</v>
      </c>
      <c r="AH23" s="254" t="s">
        <v>336</v>
      </c>
      <c r="AI23" s="663">
        <v>20</v>
      </c>
      <c r="AJ23" s="254" t="s">
        <v>336</v>
      </c>
      <c r="AK23" s="254" t="s">
        <v>336</v>
      </c>
      <c r="AL23" s="254" t="s">
        <v>336</v>
      </c>
      <c r="AM23" s="254" t="s">
        <v>336</v>
      </c>
      <c r="AN23" s="254" t="s">
        <v>336</v>
      </c>
      <c r="AO23" s="660">
        <v>18</v>
      </c>
      <c r="AP23" s="265" t="str">
        <f t="shared" si="6"/>
        <v>N/A</v>
      </c>
      <c r="AQ23" s="265" t="str">
        <f t="shared" si="8"/>
        <v>N/A</v>
      </c>
      <c r="AR23" s="265" t="str">
        <f t="shared" si="8"/>
        <v>N/A</v>
      </c>
      <c r="AS23" s="265" t="str">
        <f t="shared" si="8"/>
        <v>N/A</v>
      </c>
      <c r="AT23" s="265" t="str">
        <f t="shared" si="8"/>
        <v>N/A</v>
      </c>
      <c r="AU23" s="663">
        <v>18</v>
      </c>
      <c r="AV23" s="265" t="str">
        <f t="shared" si="7"/>
        <v>N/A</v>
      </c>
      <c r="AW23" s="265" t="str">
        <f t="shared" si="17"/>
        <v>N/A</v>
      </c>
      <c r="AX23" s="265" t="str">
        <f t="shared" si="18"/>
        <v>N/A</v>
      </c>
      <c r="AY23" s="265" t="str">
        <f t="shared" si="19"/>
        <v>N/A</v>
      </c>
      <c r="AZ23" s="265" t="str">
        <f t="shared" si="20"/>
        <v>N/A</v>
      </c>
      <c r="BA23" s="236"/>
      <c r="BB23" s="236"/>
    </row>
    <row r="24" spans="1:54" x14ac:dyDescent="0.3">
      <c r="A24" s="236"/>
      <c r="B24" s="245">
        <v>19</v>
      </c>
      <c r="C24" s="257" t="str">
        <f t="shared" si="4"/>
        <v>N/A</v>
      </c>
      <c r="D24" s="257" t="str">
        <f t="shared" si="9"/>
        <v>N/A</v>
      </c>
      <c r="E24" s="257" t="str">
        <f t="shared" si="10"/>
        <v>N/A</v>
      </c>
      <c r="F24" s="257" t="str">
        <f t="shared" si="11"/>
        <v>N/A</v>
      </c>
      <c r="G24" s="257" t="str">
        <f t="shared" si="12"/>
        <v>N/A</v>
      </c>
      <c r="H24" s="253">
        <v>19</v>
      </c>
      <c r="I24" s="257" t="str">
        <f t="shared" si="5"/>
        <v>N/A</v>
      </c>
      <c r="J24" s="257" t="str">
        <f t="shared" si="13"/>
        <v>N/A</v>
      </c>
      <c r="K24" s="257" t="str">
        <f t="shared" si="14"/>
        <v>N/A</v>
      </c>
      <c r="L24" s="257" t="str">
        <f t="shared" si="15"/>
        <v>N/A</v>
      </c>
      <c r="M24" s="257" t="str">
        <f t="shared" si="16"/>
        <v>N/A</v>
      </c>
      <c r="N24" s="260"/>
      <c r="O24" s="236" t="s">
        <v>336</v>
      </c>
      <c r="P24" s="245">
        <v>21</v>
      </c>
      <c r="Q24" s="246" t="s">
        <v>336</v>
      </c>
      <c r="R24" s="246" t="s">
        <v>336</v>
      </c>
      <c r="S24" s="246" t="s">
        <v>336</v>
      </c>
      <c r="T24" s="246" t="s">
        <v>336</v>
      </c>
      <c r="U24" s="246" t="s">
        <v>336</v>
      </c>
      <c r="V24" s="253">
        <v>21</v>
      </c>
      <c r="W24" s="246" t="s">
        <v>336</v>
      </c>
      <c r="X24" s="246" t="s">
        <v>336</v>
      </c>
      <c r="Y24" s="246" t="s">
        <v>336</v>
      </c>
      <c r="Z24" s="246" t="s">
        <v>336</v>
      </c>
      <c r="AA24" s="246" t="s">
        <v>336</v>
      </c>
      <c r="AB24" s="236" t="s">
        <v>336</v>
      </c>
      <c r="AC24" s="664">
        <v>21</v>
      </c>
      <c r="AD24" s="246" t="s">
        <v>336</v>
      </c>
      <c r="AE24" s="246" t="s">
        <v>336</v>
      </c>
      <c r="AF24" s="246" t="s">
        <v>336</v>
      </c>
      <c r="AG24" s="246" t="s">
        <v>336</v>
      </c>
      <c r="AH24" s="246" t="s">
        <v>336</v>
      </c>
      <c r="AI24" s="663">
        <v>21</v>
      </c>
      <c r="AJ24" s="246" t="s">
        <v>336</v>
      </c>
      <c r="AK24" s="246" t="s">
        <v>336</v>
      </c>
      <c r="AL24" s="246" t="s">
        <v>336</v>
      </c>
      <c r="AM24" s="246" t="s">
        <v>336</v>
      </c>
      <c r="AN24" s="246" t="s">
        <v>336</v>
      </c>
      <c r="AO24" s="660">
        <v>19</v>
      </c>
      <c r="AP24" s="257" t="str">
        <f t="shared" si="6"/>
        <v>N/A</v>
      </c>
      <c r="AQ24" s="257" t="str">
        <f t="shared" si="8"/>
        <v>N/A</v>
      </c>
      <c r="AR24" s="257" t="str">
        <f t="shared" si="8"/>
        <v>N/A</v>
      </c>
      <c r="AS24" s="257" t="str">
        <f t="shared" si="8"/>
        <v>N/A</v>
      </c>
      <c r="AT24" s="257" t="str">
        <f t="shared" si="8"/>
        <v>N/A</v>
      </c>
      <c r="AU24" s="663">
        <v>19</v>
      </c>
      <c r="AV24" s="257" t="str">
        <f t="shared" si="7"/>
        <v>N/A</v>
      </c>
      <c r="AW24" s="257" t="str">
        <f t="shared" si="17"/>
        <v>N/A</v>
      </c>
      <c r="AX24" s="257" t="str">
        <f t="shared" si="18"/>
        <v>N/A</v>
      </c>
      <c r="AY24" s="257" t="str">
        <f t="shared" si="19"/>
        <v>N/A</v>
      </c>
      <c r="AZ24" s="257" t="str">
        <f t="shared" si="20"/>
        <v>N/A</v>
      </c>
      <c r="BA24" s="236"/>
      <c r="BB24" s="236"/>
    </row>
    <row r="25" spans="1:54" x14ac:dyDescent="0.3">
      <c r="A25" s="236"/>
      <c r="B25" s="245">
        <v>20</v>
      </c>
      <c r="C25" s="265" t="str">
        <f t="shared" si="4"/>
        <v>N/A</v>
      </c>
      <c r="D25" s="265" t="str">
        <f t="shared" si="9"/>
        <v>N/A</v>
      </c>
      <c r="E25" s="265" t="str">
        <f t="shared" si="10"/>
        <v>N/A</v>
      </c>
      <c r="F25" s="265" t="str">
        <f t="shared" si="11"/>
        <v>N/A</v>
      </c>
      <c r="G25" s="265" t="str">
        <f t="shared" si="12"/>
        <v>N/A</v>
      </c>
      <c r="H25" s="253">
        <v>20</v>
      </c>
      <c r="I25" s="265" t="str">
        <f t="shared" si="5"/>
        <v>N/A</v>
      </c>
      <c r="J25" s="265" t="str">
        <f t="shared" si="13"/>
        <v>N/A</v>
      </c>
      <c r="K25" s="265" t="str">
        <f t="shared" si="14"/>
        <v>N/A</v>
      </c>
      <c r="L25" s="265" t="str">
        <f t="shared" si="15"/>
        <v>N/A</v>
      </c>
      <c r="M25" s="265" t="str">
        <f t="shared" si="16"/>
        <v>N/A</v>
      </c>
      <c r="N25" s="260"/>
      <c r="O25" s="236" t="s">
        <v>336</v>
      </c>
      <c r="P25" s="245">
        <v>22</v>
      </c>
      <c r="Q25" s="254" t="s">
        <v>336</v>
      </c>
      <c r="R25" s="254" t="s">
        <v>336</v>
      </c>
      <c r="S25" s="254" t="s">
        <v>336</v>
      </c>
      <c r="T25" s="254" t="s">
        <v>336</v>
      </c>
      <c r="U25" s="254" t="s">
        <v>336</v>
      </c>
      <c r="V25" s="253">
        <v>22</v>
      </c>
      <c r="W25" s="254" t="s">
        <v>336</v>
      </c>
      <c r="X25" s="254" t="s">
        <v>336</v>
      </c>
      <c r="Y25" s="254" t="s">
        <v>336</v>
      </c>
      <c r="Z25" s="254" t="s">
        <v>336</v>
      </c>
      <c r="AA25" s="254" t="s">
        <v>336</v>
      </c>
      <c r="AB25" s="236" t="s">
        <v>336</v>
      </c>
      <c r="AC25" s="664">
        <v>22</v>
      </c>
      <c r="AD25" s="254" t="s">
        <v>336</v>
      </c>
      <c r="AE25" s="254" t="s">
        <v>336</v>
      </c>
      <c r="AF25" s="254" t="s">
        <v>336</v>
      </c>
      <c r="AG25" s="254" t="s">
        <v>336</v>
      </c>
      <c r="AH25" s="254" t="s">
        <v>336</v>
      </c>
      <c r="AI25" s="663">
        <v>22</v>
      </c>
      <c r="AJ25" s="254" t="s">
        <v>336</v>
      </c>
      <c r="AK25" s="254" t="s">
        <v>336</v>
      </c>
      <c r="AL25" s="254" t="s">
        <v>336</v>
      </c>
      <c r="AM25" s="254" t="s">
        <v>336</v>
      </c>
      <c r="AN25" s="254" t="s">
        <v>336</v>
      </c>
      <c r="AO25" s="660">
        <v>20</v>
      </c>
      <c r="AP25" s="265" t="str">
        <f t="shared" si="6"/>
        <v>N/A</v>
      </c>
      <c r="AQ25" s="265" t="str">
        <f t="shared" si="8"/>
        <v>N/A</v>
      </c>
      <c r="AR25" s="265" t="str">
        <f t="shared" si="8"/>
        <v>N/A</v>
      </c>
      <c r="AS25" s="265" t="str">
        <f t="shared" si="8"/>
        <v>N/A</v>
      </c>
      <c r="AT25" s="265" t="str">
        <f t="shared" si="8"/>
        <v>N/A</v>
      </c>
      <c r="AU25" s="663">
        <v>20</v>
      </c>
      <c r="AV25" s="265" t="str">
        <f t="shared" si="7"/>
        <v>N/A</v>
      </c>
      <c r="AW25" s="265" t="str">
        <f t="shared" si="17"/>
        <v>N/A</v>
      </c>
      <c r="AX25" s="265" t="str">
        <f t="shared" si="18"/>
        <v>N/A</v>
      </c>
      <c r="AY25" s="265" t="str">
        <f t="shared" si="19"/>
        <v>N/A</v>
      </c>
      <c r="AZ25" s="265" t="str">
        <f t="shared" si="20"/>
        <v>N/A</v>
      </c>
      <c r="BA25" s="236"/>
      <c r="BB25" s="236"/>
    </row>
    <row r="26" spans="1:54" x14ac:dyDescent="0.3">
      <c r="A26" s="236"/>
      <c r="B26" s="245">
        <v>21</v>
      </c>
      <c r="C26" s="257" t="str">
        <f t="shared" si="4"/>
        <v>N/A</v>
      </c>
      <c r="D26" s="257" t="str">
        <f t="shared" si="9"/>
        <v>N/A</v>
      </c>
      <c r="E26" s="257" t="str">
        <f t="shared" si="10"/>
        <v>N/A</v>
      </c>
      <c r="F26" s="257" t="str">
        <f t="shared" si="11"/>
        <v>N/A</v>
      </c>
      <c r="G26" s="257" t="str">
        <f t="shared" si="12"/>
        <v>N/A</v>
      </c>
      <c r="H26" s="253">
        <v>21</v>
      </c>
      <c r="I26" s="257" t="str">
        <f t="shared" si="5"/>
        <v>N/A</v>
      </c>
      <c r="J26" s="257" t="str">
        <f t="shared" si="13"/>
        <v>N/A</v>
      </c>
      <c r="K26" s="257" t="str">
        <f t="shared" si="14"/>
        <v>N/A</v>
      </c>
      <c r="L26" s="257" t="str">
        <f t="shared" si="15"/>
        <v>N/A</v>
      </c>
      <c r="M26" s="257" t="str">
        <f t="shared" si="16"/>
        <v>N/A</v>
      </c>
      <c r="N26" s="260"/>
      <c r="O26" s="236" t="s">
        <v>336</v>
      </c>
      <c r="P26" s="245">
        <v>23</v>
      </c>
      <c r="Q26" s="246" t="s">
        <v>336</v>
      </c>
      <c r="R26" s="246" t="s">
        <v>336</v>
      </c>
      <c r="S26" s="246" t="s">
        <v>336</v>
      </c>
      <c r="T26" s="246" t="s">
        <v>336</v>
      </c>
      <c r="U26" s="246" t="s">
        <v>336</v>
      </c>
      <c r="V26" s="253">
        <v>23</v>
      </c>
      <c r="W26" s="246" t="s">
        <v>336</v>
      </c>
      <c r="X26" s="246" t="s">
        <v>336</v>
      </c>
      <c r="Y26" s="246" t="s">
        <v>336</v>
      </c>
      <c r="Z26" s="246" t="s">
        <v>336</v>
      </c>
      <c r="AA26" s="246" t="s">
        <v>336</v>
      </c>
      <c r="AB26" s="236" t="s">
        <v>336</v>
      </c>
      <c r="AC26" s="664">
        <v>23</v>
      </c>
      <c r="AD26" s="246" t="s">
        <v>336</v>
      </c>
      <c r="AE26" s="246" t="s">
        <v>336</v>
      </c>
      <c r="AF26" s="246" t="s">
        <v>336</v>
      </c>
      <c r="AG26" s="246" t="s">
        <v>336</v>
      </c>
      <c r="AH26" s="246" t="s">
        <v>336</v>
      </c>
      <c r="AI26" s="663">
        <v>23</v>
      </c>
      <c r="AJ26" s="246" t="s">
        <v>336</v>
      </c>
      <c r="AK26" s="246" t="s">
        <v>336</v>
      </c>
      <c r="AL26" s="246" t="s">
        <v>336</v>
      </c>
      <c r="AM26" s="246" t="s">
        <v>336</v>
      </c>
      <c r="AN26" s="246" t="s">
        <v>336</v>
      </c>
      <c r="AO26" s="660">
        <v>21</v>
      </c>
      <c r="AP26" s="257" t="str">
        <f t="shared" si="6"/>
        <v>N/A</v>
      </c>
      <c r="AQ26" s="257" t="str">
        <f t="shared" si="8"/>
        <v>N/A</v>
      </c>
      <c r="AR26" s="257" t="str">
        <f t="shared" si="8"/>
        <v>N/A</v>
      </c>
      <c r="AS26" s="257" t="str">
        <f t="shared" si="8"/>
        <v>N/A</v>
      </c>
      <c r="AT26" s="257" t="str">
        <f t="shared" si="8"/>
        <v>N/A</v>
      </c>
      <c r="AU26" s="663">
        <v>21</v>
      </c>
      <c r="AV26" s="257" t="str">
        <f t="shared" si="7"/>
        <v>N/A</v>
      </c>
      <c r="AW26" s="257" t="str">
        <f t="shared" si="17"/>
        <v>N/A</v>
      </c>
      <c r="AX26" s="257" t="str">
        <f t="shared" si="18"/>
        <v>N/A</v>
      </c>
      <c r="AY26" s="257" t="str">
        <f t="shared" si="19"/>
        <v>N/A</v>
      </c>
      <c r="AZ26" s="257" t="str">
        <f t="shared" si="20"/>
        <v>N/A</v>
      </c>
      <c r="BA26" s="236"/>
      <c r="BB26" s="236"/>
    </row>
    <row r="27" spans="1:54" x14ac:dyDescent="0.3">
      <c r="A27" s="236"/>
      <c r="B27" s="245">
        <v>22</v>
      </c>
      <c r="C27" s="265" t="str">
        <f t="shared" si="4"/>
        <v>N/A</v>
      </c>
      <c r="D27" s="265" t="str">
        <f t="shared" si="9"/>
        <v>N/A</v>
      </c>
      <c r="E27" s="265" t="str">
        <f t="shared" si="10"/>
        <v>N/A</v>
      </c>
      <c r="F27" s="265" t="str">
        <f t="shared" si="11"/>
        <v>N/A</v>
      </c>
      <c r="G27" s="265" t="str">
        <f t="shared" si="12"/>
        <v>N/A</v>
      </c>
      <c r="H27" s="253">
        <v>22</v>
      </c>
      <c r="I27" s="265" t="str">
        <f t="shared" si="5"/>
        <v>N/A</v>
      </c>
      <c r="J27" s="265" t="str">
        <f t="shared" si="13"/>
        <v>N/A</v>
      </c>
      <c r="K27" s="265" t="str">
        <f t="shared" si="14"/>
        <v>N/A</v>
      </c>
      <c r="L27" s="265" t="str">
        <f t="shared" si="15"/>
        <v>N/A</v>
      </c>
      <c r="M27" s="265" t="str">
        <f t="shared" si="16"/>
        <v>N/A</v>
      </c>
      <c r="N27" s="260"/>
      <c r="O27" s="236" t="s">
        <v>336</v>
      </c>
      <c r="P27" s="245">
        <v>24</v>
      </c>
      <c r="Q27" s="254" t="s">
        <v>336</v>
      </c>
      <c r="R27" s="254" t="s">
        <v>336</v>
      </c>
      <c r="S27" s="254" t="s">
        <v>336</v>
      </c>
      <c r="T27" s="254" t="s">
        <v>336</v>
      </c>
      <c r="U27" s="254" t="s">
        <v>336</v>
      </c>
      <c r="V27" s="253">
        <v>24</v>
      </c>
      <c r="W27" s="254" t="s">
        <v>336</v>
      </c>
      <c r="X27" s="254" t="s">
        <v>336</v>
      </c>
      <c r="Y27" s="254" t="s">
        <v>336</v>
      </c>
      <c r="Z27" s="254" t="s">
        <v>336</v>
      </c>
      <c r="AA27" s="254" t="s">
        <v>336</v>
      </c>
      <c r="AB27" s="236" t="s">
        <v>336</v>
      </c>
      <c r="AC27" s="664">
        <v>24</v>
      </c>
      <c r="AD27" s="254" t="s">
        <v>336</v>
      </c>
      <c r="AE27" s="254" t="s">
        <v>336</v>
      </c>
      <c r="AF27" s="254" t="s">
        <v>336</v>
      </c>
      <c r="AG27" s="254" t="s">
        <v>336</v>
      </c>
      <c r="AH27" s="254" t="s">
        <v>336</v>
      </c>
      <c r="AI27" s="663">
        <v>24</v>
      </c>
      <c r="AJ27" s="254" t="s">
        <v>336</v>
      </c>
      <c r="AK27" s="254" t="s">
        <v>336</v>
      </c>
      <c r="AL27" s="254" t="s">
        <v>336</v>
      </c>
      <c r="AM27" s="254" t="s">
        <v>336</v>
      </c>
      <c r="AN27" s="254" t="s">
        <v>336</v>
      </c>
      <c r="AO27" s="660">
        <v>22</v>
      </c>
      <c r="AP27" s="265" t="str">
        <f t="shared" si="6"/>
        <v>N/A</v>
      </c>
      <c r="AQ27" s="265" t="str">
        <f t="shared" si="8"/>
        <v>N/A</v>
      </c>
      <c r="AR27" s="265" t="str">
        <f t="shared" si="8"/>
        <v>N/A</v>
      </c>
      <c r="AS27" s="265" t="str">
        <f t="shared" si="8"/>
        <v>N/A</v>
      </c>
      <c r="AT27" s="265" t="str">
        <f t="shared" si="8"/>
        <v>N/A</v>
      </c>
      <c r="AU27" s="663">
        <v>22</v>
      </c>
      <c r="AV27" s="265" t="str">
        <f t="shared" si="7"/>
        <v>N/A</v>
      </c>
      <c r="AW27" s="265" t="str">
        <f t="shared" si="17"/>
        <v>N/A</v>
      </c>
      <c r="AX27" s="265" t="str">
        <f t="shared" si="18"/>
        <v>N/A</v>
      </c>
      <c r="AY27" s="265" t="str">
        <f t="shared" si="19"/>
        <v>N/A</v>
      </c>
      <c r="AZ27" s="265" t="str">
        <f t="shared" si="20"/>
        <v>N/A</v>
      </c>
      <c r="BA27" s="236"/>
      <c r="BB27" s="236"/>
    </row>
    <row r="28" spans="1:54" x14ac:dyDescent="0.3">
      <c r="A28" s="236"/>
      <c r="B28" s="245">
        <v>23</v>
      </c>
      <c r="C28" s="257" t="str">
        <f t="shared" si="4"/>
        <v>N/A</v>
      </c>
      <c r="D28" s="257" t="str">
        <f t="shared" si="9"/>
        <v>N/A</v>
      </c>
      <c r="E28" s="257" t="str">
        <f t="shared" si="10"/>
        <v>N/A</v>
      </c>
      <c r="F28" s="257" t="str">
        <f t="shared" si="11"/>
        <v>N/A</v>
      </c>
      <c r="G28" s="257" t="str">
        <f t="shared" si="12"/>
        <v>N/A</v>
      </c>
      <c r="H28" s="253">
        <v>23</v>
      </c>
      <c r="I28" s="257" t="str">
        <f t="shared" si="5"/>
        <v>N/A</v>
      </c>
      <c r="J28" s="257" t="str">
        <f t="shared" si="13"/>
        <v>N/A</v>
      </c>
      <c r="K28" s="257" t="str">
        <f t="shared" si="14"/>
        <v>N/A</v>
      </c>
      <c r="L28" s="257" t="str">
        <f t="shared" si="15"/>
        <v>N/A</v>
      </c>
      <c r="M28" s="257" t="str">
        <f t="shared" si="16"/>
        <v>N/A</v>
      </c>
      <c r="N28" s="260"/>
      <c r="O28" s="236" t="s">
        <v>336</v>
      </c>
      <c r="P28" s="656">
        <v>25</v>
      </c>
      <c r="Q28" s="246" t="s">
        <v>336</v>
      </c>
      <c r="R28" s="246" t="s">
        <v>336</v>
      </c>
      <c r="S28" s="246" t="s">
        <v>336</v>
      </c>
      <c r="T28" s="246" t="s">
        <v>336</v>
      </c>
      <c r="U28" s="246" t="s">
        <v>336</v>
      </c>
      <c r="V28" s="658">
        <v>25</v>
      </c>
      <c r="W28" s="246" t="s">
        <v>336</v>
      </c>
      <c r="X28" s="246" t="s">
        <v>336</v>
      </c>
      <c r="Y28" s="246" t="s">
        <v>336</v>
      </c>
      <c r="Z28" s="246" t="s">
        <v>336</v>
      </c>
      <c r="AA28" s="246" t="s">
        <v>336</v>
      </c>
      <c r="AB28" s="236" t="s">
        <v>336</v>
      </c>
      <c r="AC28" s="665">
        <v>25</v>
      </c>
      <c r="AD28" s="246" t="s">
        <v>336</v>
      </c>
      <c r="AE28" s="246" t="s">
        <v>336</v>
      </c>
      <c r="AF28" s="246" t="s">
        <v>336</v>
      </c>
      <c r="AG28" s="246" t="s">
        <v>336</v>
      </c>
      <c r="AH28" s="246" t="s">
        <v>336</v>
      </c>
      <c r="AI28" s="388">
        <v>25</v>
      </c>
      <c r="AJ28" s="246" t="s">
        <v>336</v>
      </c>
      <c r="AK28" s="246" t="s">
        <v>336</v>
      </c>
      <c r="AL28" s="246" t="s">
        <v>336</v>
      </c>
      <c r="AM28" s="246" t="s">
        <v>336</v>
      </c>
      <c r="AN28" s="246" t="s">
        <v>336</v>
      </c>
      <c r="AO28" s="660">
        <v>23</v>
      </c>
      <c r="AP28" s="257" t="str">
        <f t="shared" si="6"/>
        <v>N/A</v>
      </c>
      <c r="AQ28" s="257" t="str">
        <f t="shared" si="8"/>
        <v>N/A</v>
      </c>
      <c r="AR28" s="257" t="str">
        <f t="shared" si="8"/>
        <v>N/A</v>
      </c>
      <c r="AS28" s="257" t="str">
        <f t="shared" si="8"/>
        <v>N/A</v>
      </c>
      <c r="AT28" s="257" t="str">
        <f t="shared" si="8"/>
        <v>N/A</v>
      </c>
      <c r="AU28" s="663">
        <v>23</v>
      </c>
      <c r="AV28" s="257" t="str">
        <f t="shared" si="7"/>
        <v>N/A</v>
      </c>
      <c r="AW28" s="257" t="str">
        <f t="shared" si="17"/>
        <v>N/A</v>
      </c>
      <c r="AX28" s="257" t="str">
        <f t="shared" si="18"/>
        <v>N/A</v>
      </c>
      <c r="AY28" s="257" t="str">
        <f t="shared" si="19"/>
        <v>N/A</v>
      </c>
      <c r="AZ28" s="257" t="str">
        <f t="shared" si="20"/>
        <v>N/A</v>
      </c>
      <c r="BA28" s="236"/>
      <c r="BB28" s="236"/>
    </row>
    <row r="29" spans="1:54" ht="15" thickBot="1" x14ac:dyDescent="0.35">
      <c r="A29" s="236"/>
      <c r="B29" s="245">
        <v>24</v>
      </c>
      <c r="C29" s="271" t="str">
        <f t="shared" si="4"/>
        <v>N/A</v>
      </c>
      <c r="D29" s="271" t="str">
        <f t="shared" si="9"/>
        <v>N/A</v>
      </c>
      <c r="E29" s="271" t="str">
        <f t="shared" si="10"/>
        <v>N/A</v>
      </c>
      <c r="F29" s="271" t="str">
        <f t="shared" si="11"/>
        <v>N/A</v>
      </c>
      <c r="G29" s="271" t="str">
        <f t="shared" si="12"/>
        <v>N/A</v>
      </c>
      <c r="H29" s="253">
        <v>24</v>
      </c>
      <c r="I29" s="271" t="str">
        <f t="shared" si="5"/>
        <v>N/A</v>
      </c>
      <c r="J29" s="271" t="str">
        <f t="shared" si="13"/>
        <v>N/A</v>
      </c>
      <c r="K29" s="271" t="str">
        <f t="shared" si="14"/>
        <v>N/A</v>
      </c>
      <c r="L29" s="271" t="str">
        <f t="shared" si="15"/>
        <v>N/A</v>
      </c>
      <c r="M29" s="271" t="str">
        <f t="shared" si="16"/>
        <v>N/A</v>
      </c>
      <c r="N29" s="260"/>
      <c r="O29" s="236" t="s">
        <v>336</v>
      </c>
      <c r="P29" s="656">
        <v>26</v>
      </c>
      <c r="Q29" s="254" t="s">
        <v>336</v>
      </c>
      <c r="R29" s="254" t="s">
        <v>336</v>
      </c>
      <c r="S29" s="254" t="s">
        <v>336</v>
      </c>
      <c r="T29" s="254" t="s">
        <v>336</v>
      </c>
      <c r="U29" s="254" t="s">
        <v>336</v>
      </c>
      <c r="V29" s="658">
        <v>26</v>
      </c>
      <c r="W29" s="254" t="s">
        <v>336</v>
      </c>
      <c r="X29" s="254" t="s">
        <v>336</v>
      </c>
      <c r="Y29" s="254" t="s">
        <v>336</v>
      </c>
      <c r="Z29" s="254" t="s">
        <v>336</v>
      </c>
      <c r="AA29" s="254" t="s">
        <v>336</v>
      </c>
      <c r="AB29" s="236" t="s">
        <v>336</v>
      </c>
      <c r="AC29" s="665">
        <v>26</v>
      </c>
      <c r="AD29" s="254" t="s">
        <v>336</v>
      </c>
      <c r="AE29" s="254" t="s">
        <v>336</v>
      </c>
      <c r="AF29" s="254" t="s">
        <v>336</v>
      </c>
      <c r="AG29" s="254" t="s">
        <v>336</v>
      </c>
      <c r="AH29" s="254" t="s">
        <v>336</v>
      </c>
      <c r="AI29" s="388">
        <v>26</v>
      </c>
      <c r="AJ29" s="254" t="s">
        <v>336</v>
      </c>
      <c r="AK29" s="254" t="s">
        <v>336</v>
      </c>
      <c r="AL29" s="254" t="s">
        <v>336</v>
      </c>
      <c r="AM29" s="254" t="s">
        <v>336</v>
      </c>
      <c r="AN29" s="254" t="s">
        <v>336</v>
      </c>
      <c r="AO29" s="660">
        <v>24</v>
      </c>
      <c r="AP29" s="271" t="str">
        <f t="shared" si="6"/>
        <v>N/A</v>
      </c>
      <c r="AQ29" s="271" t="str">
        <f t="shared" si="8"/>
        <v>N/A</v>
      </c>
      <c r="AR29" s="271" t="str">
        <f t="shared" si="8"/>
        <v>N/A</v>
      </c>
      <c r="AS29" s="271" t="str">
        <f t="shared" si="8"/>
        <v>N/A</v>
      </c>
      <c r="AT29" s="271" t="str">
        <f t="shared" si="8"/>
        <v>N/A</v>
      </c>
      <c r="AU29" s="663">
        <v>24</v>
      </c>
      <c r="AV29" s="271" t="str">
        <f t="shared" si="7"/>
        <v>N/A</v>
      </c>
      <c r="AW29" s="271" t="str">
        <f t="shared" si="17"/>
        <v>N/A</v>
      </c>
      <c r="AX29" s="271" t="str">
        <f t="shared" si="18"/>
        <v>N/A</v>
      </c>
      <c r="AY29" s="271" t="str">
        <f t="shared" si="19"/>
        <v>N/A</v>
      </c>
      <c r="AZ29" s="271" t="str">
        <f t="shared" si="20"/>
        <v>N/A</v>
      </c>
      <c r="BA29" s="236"/>
      <c r="BB29" s="236"/>
    </row>
    <row r="30" spans="1:54" x14ac:dyDescent="0.3">
      <c r="A30" s="236"/>
      <c r="B30" s="272" t="s">
        <v>221</v>
      </c>
      <c r="C30" s="168">
        <f>SUM(C6:C29)</f>
        <v>0</v>
      </c>
      <c r="D30" s="168">
        <f t="shared" ref="D30:G30" si="21">SUM(D6:D29)</f>
        <v>0</v>
      </c>
      <c r="E30" s="168">
        <f t="shared" si="21"/>
        <v>0</v>
      </c>
      <c r="F30" s="168">
        <f t="shared" si="21"/>
        <v>0</v>
      </c>
      <c r="G30" s="168">
        <f t="shared" si="21"/>
        <v>0</v>
      </c>
      <c r="H30" s="272" t="s">
        <v>221</v>
      </c>
      <c r="I30" s="168">
        <f>SUM(I6:I29)</f>
        <v>0</v>
      </c>
      <c r="J30" s="168">
        <f t="shared" ref="J30" si="22">SUM(J6:J29)</f>
        <v>0</v>
      </c>
      <c r="K30" s="168">
        <f t="shared" ref="K30" si="23">SUM(K6:K29)</f>
        <v>0</v>
      </c>
      <c r="L30" s="168">
        <f t="shared" ref="L30" si="24">SUM(L6:L29)</f>
        <v>0</v>
      </c>
      <c r="M30" s="168">
        <f t="shared" ref="M30" si="25">SUM(M6:M29)</f>
        <v>0</v>
      </c>
      <c r="N30" s="260"/>
      <c r="O30" s="236" t="s">
        <v>336</v>
      </c>
      <c r="P30" s="656">
        <v>27</v>
      </c>
      <c r="Q30" s="246" t="s">
        <v>336</v>
      </c>
      <c r="R30" s="246" t="s">
        <v>336</v>
      </c>
      <c r="S30" s="246" t="s">
        <v>336</v>
      </c>
      <c r="T30" s="246" t="s">
        <v>336</v>
      </c>
      <c r="U30" s="246" t="s">
        <v>336</v>
      </c>
      <c r="V30" s="658">
        <v>27</v>
      </c>
      <c r="W30" s="246" t="s">
        <v>336</v>
      </c>
      <c r="X30" s="246" t="s">
        <v>336</v>
      </c>
      <c r="Y30" s="246" t="s">
        <v>336</v>
      </c>
      <c r="Z30" s="246" t="s">
        <v>336</v>
      </c>
      <c r="AA30" s="246" t="s">
        <v>336</v>
      </c>
      <c r="AB30" s="236" t="s">
        <v>336</v>
      </c>
      <c r="AC30" s="665">
        <v>27</v>
      </c>
      <c r="AD30" s="246" t="s">
        <v>336</v>
      </c>
      <c r="AE30" s="246" t="s">
        <v>336</v>
      </c>
      <c r="AF30" s="246" t="s">
        <v>336</v>
      </c>
      <c r="AG30" s="246" t="s">
        <v>336</v>
      </c>
      <c r="AH30" s="246" t="s">
        <v>336</v>
      </c>
      <c r="AI30" s="388">
        <v>27</v>
      </c>
      <c r="AJ30" s="246" t="s">
        <v>336</v>
      </c>
      <c r="AK30" s="246" t="s">
        <v>336</v>
      </c>
      <c r="AL30" s="246" t="s">
        <v>336</v>
      </c>
      <c r="AM30" s="246" t="s">
        <v>336</v>
      </c>
      <c r="AN30" s="246" t="s">
        <v>336</v>
      </c>
      <c r="AO30" s="272" t="s">
        <v>221</v>
      </c>
      <c r="AP30" s="168">
        <f>SUM(AP6:AP29)</f>
        <v>0</v>
      </c>
      <c r="AQ30" s="168">
        <f t="shared" ref="AQ30" si="26">SUM(AQ6:AQ29)</f>
        <v>0</v>
      </c>
      <c r="AR30" s="168">
        <f t="shared" ref="AR30" si="27">SUM(AR6:AR29)</f>
        <v>0</v>
      </c>
      <c r="AS30" s="168">
        <f t="shared" ref="AS30" si="28">SUM(AS6:AS29)</f>
        <v>0</v>
      </c>
      <c r="AT30" s="168">
        <f t="shared" ref="AT30" si="29">SUM(AT6:AT29)</f>
        <v>0</v>
      </c>
      <c r="AU30" s="272" t="s">
        <v>221</v>
      </c>
      <c r="AV30" s="168">
        <f>SUM(AV6:AV29)</f>
        <v>0</v>
      </c>
      <c r="AW30" s="168">
        <f t="shared" ref="AW30" si="30">SUM(AW6:AW29)</f>
        <v>0</v>
      </c>
      <c r="AX30" s="168">
        <f t="shared" ref="AX30" si="31">SUM(AX6:AX29)</f>
        <v>0</v>
      </c>
      <c r="AY30" s="168">
        <f t="shared" ref="AY30" si="32">SUM(AY6:AY29)</f>
        <v>0</v>
      </c>
      <c r="AZ30" s="168">
        <f t="shared" ref="AZ30" si="33">SUM(AZ6:AZ29)</f>
        <v>0</v>
      </c>
      <c r="BA30" s="236"/>
      <c r="BB30" s="236"/>
    </row>
    <row r="31" spans="1:54" x14ac:dyDescent="0.3">
      <c r="A31" s="236"/>
      <c r="B31" s="863" t="s">
        <v>222</v>
      </c>
      <c r="C31" s="861"/>
      <c r="D31" s="861"/>
      <c r="E31" s="861"/>
      <c r="F31" s="861"/>
      <c r="G31" s="862"/>
      <c r="H31" s="863" t="s">
        <v>223</v>
      </c>
      <c r="I31" s="861"/>
      <c r="J31" s="861"/>
      <c r="K31" s="861"/>
      <c r="L31" s="861"/>
      <c r="M31" s="862"/>
      <c r="N31" s="260"/>
      <c r="O31" s="236" t="s">
        <v>336</v>
      </c>
      <c r="P31" s="656">
        <v>28</v>
      </c>
      <c r="Q31" s="254" t="s">
        <v>336</v>
      </c>
      <c r="R31" s="254" t="s">
        <v>336</v>
      </c>
      <c r="S31" s="254" t="s">
        <v>336</v>
      </c>
      <c r="T31" s="254" t="s">
        <v>336</v>
      </c>
      <c r="U31" s="254" t="s">
        <v>336</v>
      </c>
      <c r="V31" s="658">
        <v>28</v>
      </c>
      <c r="W31" s="254" t="s">
        <v>336</v>
      </c>
      <c r="X31" s="254" t="s">
        <v>336</v>
      </c>
      <c r="Y31" s="254" t="s">
        <v>336</v>
      </c>
      <c r="Z31" s="254" t="s">
        <v>336</v>
      </c>
      <c r="AA31" s="254" t="s">
        <v>336</v>
      </c>
      <c r="AB31" s="236" t="s">
        <v>336</v>
      </c>
      <c r="AC31" s="665">
        <v>28</v>
      </c>
      <c r="AD31" s="254" t="s">
        <v>336</v>
      </c>
      <c r="AE31" s="254" t="s">
        <v>336</v>
      </c>
      <c r="AF31" s="254" t="s">
        <v>336</v>
      </c>
      <c r="AG31" s="254" t="s">
        <v>336</v>
      </c>
      <c r="AH31" s="254" t="s">
        <v>336</v>
      </c>
      <c r="AI31" s="388">
        <v>28</v>
      </c>
      <c r="AJ31" s="254" t="s">
        <v>336</v>
      </c>
      <c r="AK31" s="254" t="s">
        <v>336</v>
      </c>
      <c r="AL31" s="254" t="s">
        <v>336</v>
      </c>
      <c r="AM31" s="254" t="s">
        <v>336</v>
      </c>
      <c r="AN31" s="254" t="s">
        <v>336</v>
      </c>
      <c r="AO31" s="863" t="s">
        <v>222</v>
      </c>
      <c r="AP31" s="861"/>
      <c r="AQ31" s="861"/>
      <c r="AR31" s="861"/>
      <c r="AS31" s="861"/>
      <c r="AT31" s="862"/>
      <c r="AU31" s="863" t="s">
        <v>223</v>
      </c>
      <c r="AV31" s="861"/>
      <c r="AW31" s="861"/>
      <c r="AX31" s="861"/>
      <c r="AY31" s="861"/>
      <c r="AZ31" s="862"/>
      <c r="BA31" s="236"/>
      <c r="BB31" s="236"/>
    </row>
    <row r="32" spans="1:54" ht="15" thickBot="1" x14ac:dyDescent="0.35">
      <c r="A32" s="236"/>
      <c r="B32" s="863"/>
      <c r="C32" s="861"/>
      <c r="D32" s="861"/>
      <c r="E32" s="861"/>
      <c r="F32" s="861"/>
      <c r="G32" s="862"/>
      <c r="H32" s="863"/>
      <c r="I32" s="861"/>
      <c r="J32" s="861"/>
      <c r="K32" s="861"/>
      <c r="L32" s="861"/>
      <c r="M32" s="862"/>
      <c r="N32" s="168"/>
      <c r="O32" s="236" t="s">
        <v>336</v>
      </c>
      <c r="P32" s="656">
        <v>29</v>
      </c>
      <c r="Q32" s="246" t="s">
        <v>336</v>
      </c>
      <c r="R32" s="246" t="s">
        <v>336</v>
      </c>
      <c r="S32" s="246" t="s">
        <v>336</v>
      </c>
      <c r="T32" s="246" t="s">
        <v>336</v>
      </c>
      <c r="U32" s="246" t="s">
        <v>336</v>
      </c>
      <c r="V32" s="658">
        <v>29</v>
      </c>
      <c r="W32" s="246" t="s">
        <v>336</v>
      </c>
      <c r="X32" s="246" t="s">
        <v>336</v>
      </c>
      <c r="Y32" s="246" t="s">
        <v>336</v>
      </c>
      <c r="Z32" s="246" t="s">
        <v>336</v>
      </c>
      <c r="AA32" s="246" t="s">
        <v>336</v>
      </c>
      <c r="AB32" s="236" t="s">
        <v>336</v>
      </c>
      <c r="AC32" s="665">
        <v>29</v>
      </c>
      <c r="AD32" s="246" t="s">
        <v>336</v>
      </c>
      <c r="AE32" s="246" t="s">
        <v>336</v>
      </c>
      <c r="AF32" s="246" t="s">
        <v>336</v>
      </c>
      <c r="AG32" s="246" t="s">
        <v>336</v>
      </c>
      <c r="AH32" s="246" t="s">
        <v>336</v>
      </c>
      <c r="AI32" s="388">
        <v>29</v>
      </c>
      <c r="AJ32" s="246" t="s">
        <v>336</v>
      </c>
      <c r="AK32" s="246" t="s">
        <v>336</v>
      </c>
      <c r="AL32" s="246" t="s">
        <v>336</v>
      </c>
      <c r="AM32" s="246" t="s">
        <v>336</v>
      </c>
      <c r="AN32" s="246" t="s">
        <v>336</v>
      </c>
      <c r="AO32" s="863"/>
      <c r="AP32" s="861"/>
      <c r="AQ32" s="861"/>
      <c r="AR32" s="861"/>
      <c r="AS32" s="861"/>
      <c r="AT32" s="862"/>
      <c r="AU32" s="863"/>
      <c r="AV32" s="861"/>
      <c r="AW32" s="861"/>
      <c r="AX32" s="861"/>
      <c r="AY32" s="861"/>
      <c r="AZ32" s="862"/>
      <c r="BA32" s="236"/>
      <c r="BB32" s="236"/>
    </row>
    <row r="33" spans="1:54" x14ac:dyDescent="0.3">
      <c r="A33" s="236"/>
      <c r="B33" s="247" t="s">
        <v>192</v>
      </c>
      <c r="C33" s="248" t="s">
        <v>219</v>
      </c>
      <c r="D33" s="249" t="s">
        <v>220</v>
      </c>
      <c r="E33" s="249" t="s">
        <v>332</v>
      </c>
      <c r="F33" s="249" t="s">
        <v>333</v>
      </c>
      <c r="G33" s="249" t="s">
        <v>535</v>
      </c>
      <c r="H33" s="247" t="s">
        <v>192</v>
      </c>
      <c r="I33" s="248" t="s">
        <v>219</v>
      </c>
      <c r="J33" s="249" t="s">
        <v>220</v>
      </c>
      <c r="K33" s="249" t="s">
        <v>332</v>
      </c>
      <c r="L33" s="249" t="s">
        <v>333</v>
      </c>
      <c r="M33" s="249" t="s">
        <v>535</v>
      </c>
      <c r="N33" s="236"/>
      <c r="O33" s="236" t="s">
        <v>336</v>
      </c>
      <c r="P33" s="656">
        <v>30</v>
      </c>
      <c r="Q33" s="254" t="s">
        <v>336</v>
      </c>
      <c r="R33" s="254" t="s">
        <v>336</v>
      </c>
      <c r="S33" s="254" t="s">
        <v>336</v>
      </c>
      <c r="T33" s="254" t="s">
        <v>336</v>
      </c>
      <c r="U33" s="254" t="s">
        <v>336</v>
      </c>
      <c r="V33" s="658">
        <v>30</v>
      </c>
      <c r="W33" s="254" t="s">
        <v>336</v>
      </c>
      <c r="X33" s="254" t="s">
        <v>336</v>
      </c>
      <c r="Y33" s="254" t="s">
        <v>336</v>
      </c>
      <c r="Z33" s="254" t="s">
        <v>336</v>
      </c>
      <c r="AA33" s="254" t="s">
        <v>336</v>
      </c>
      <c r="AB33" s="236" t="s">
        <v>336</v>
      </c>
      <c r="AC33" s="665">
        <v>30</v>
      </c>
      <c r="AD33" s="254" t="s">
        <v>336</v>
      </c>
      <c r="AE33" s="254" t="s">
        <v>336</v>
      </c>
      <c r="AF33" s="254" t="s">
        <v>336</v>
      </c>
      <c r="AG33" s="254" t="s">
        <v>336</v>
      </c>
      <c r="AH33" s="254" t="s">
        <v>336</v>
      </c>
      <c r="AI33" s="388">
        <v>30</v>
      </c>
      <c r="AJ33" s="254" t="s">
        <v>336</v>
      </c>
      <c r="AK33" s="254" t="s">
        <v>336</v>
      </c>
      <c r="AL33" s="254" t="s">
        <v>336</v>
      </c>
      <c r="AM33" s="254" t="s">
        <v>336</v>
      </c>
      <c r="AN33" s="254" t="s">
        <v>336</v>
      </c>
      <c r="AO33" s="247" t="s">
        <v>192</v>
      </c>
      <c r="AP33" s="248" t="s">
        <v>219</v>
      </c>
      <c r="AQ33" s="249" t="s">
        <v>220</v>
      </c>
      <c r="AR33" s="249" t="s">
        <v>332</v>
      </c>
      <c r="AS33" s="249" t="s">
        <v>333</v>
      </c>
      <c r="AT33" s="249" t="s">
        <v>535</v>
      </c>
      <c r="AU33" s="247" t="s">
        <v>192</v>
      </c>
      <c r="AV33" s="248" t="s">
        <v>219</v>
      </c>
      <c r="AW33" s="249" t="s">
        <v>220</v>
      </c>
      <c r="AX33" s="249" t="s">
        <v>332</v>
      </c>
      <c r="AY33" s="249" t="s">
        <v>333</v>
      </c>
      <c r="AZ33" s="249" t="s">
        <v>535</v>
      </c>
      <c r="BA33" s="236"/>
      <c r="BB33" s="236"/>
    </row>
    <row r="34" spans="1:54" x14ac:dyDescent="0.3">
      <c r="A34" s="236"/>
      <c r="B34" s="656">
        <v>25</v>
      </c>
      <c r="C34" s="257" t="str">
        <f>Q28</f>
        <v>N/A</v>
      </c>
      <c r="D34" s="257" t="str">
        <f t="shared" ref="D34:G49" si="34">R28</f>
        <v>N/A</v>
      </c>
      <c r="E34" s="257" t="str">
        <f t="shared" si="34"/>
        <v>N/A</v>
      </c>
      <c r="F34" s="257" t="str">
        <f t="shared" si="34"/>
        <v>N/A</v>
      </c>
      <c r="G34" s="257" t="str">
        <f t="shared" si="34"/>
        <v>N/A</v>
      </c>
      <c r="H34" s="658">
        <v>25</v>
      </c>
      <c r="I34" s="257" t="str">
        <f t="shared" ref="I34:I53" si="35">W28</f>
        <v>N/A</v>
      </c>
      <c r="J34" s="257" t="str">
        <f t="shared" ref="J34:J53" si="36">X28</f>
        <v>N/A</v>
      </c>
      <c r="K34" s="257" t="str">
        <f t="shared" ref="K34:K53" si="37">Y28</f>
        <v>N/A</v>
      </c>
      <c r="L34" s="257" t="str">
        <f t="shared" ref="L34:L53" si="38">Z28</f>
        <v>N/A</v>
      </c>
      <c r="M34" s="257" t="str">
        <f t="shared" ref="M34:M53" si="39">AA28</f>
        <v>N/A</v>
      </c>
      <c r="N34" s="236"/>
      <c r="O34" s="236" t="s">
        <v>336</v>
      </c>
      <c r="P34" s="656">
        <v>31</v>
      </c>
      <c r="Q34" s="246" t="s">
        <v>336</v>
      </c>
      <c r="R34" s="246" t="s">
        <v>336</v>
      </c>
      <c r="S34" s="246" t="s">
        <v>336</v>
      </c>
      <c r="T34" s="246" t="s">
        <v>336</v>
      </c>
      <c r="U34" s="246" t="s">
        <v>336</v>
      </c>
      <c r="V34" s="658">
        <v>31</v>
      </c>
      <c r="W34" s="246" t="s">
        <v>336</v>
      </c>
      <c r="X34" s="246" t="s">
        <v>336</v>
      </c>
      <c r="Y34" s="246" t="s">
        <v>336</v>
      </c>
      <c r="Z34" s="246" t="s">
        <v>336</v>
      </c>
      <c r="AA34" s="246" t="s">
        <v>336</v>
      </c>
      <c r="AB34" s="236" t="s">
        <v>336</v>
      </c>
      <c r="AC34" s="665">
        <v>31</v>
      </c>
      <c r="AD34" s="246" t="s">
        <v>336</v>
      </c>
      <c r="AE34" s="246" t="s">
        <v>336</v>
      </c>
      <c r="AF34" s="246" t="s">
        <v>336</v>
      </c>
      <c r="AG34" s="246" t="s">
        <v>336</v>
      </c>
      <c r="AH34" s="246" t="s">
        <v>336</v>
      </c>
      <c r="AI34" s="388">
        <v>31</v>
      </c>
      <c r="AJ34" s="246" t="s">
        <v>336</v>
      </c>
      <c r="AK34" s="246" t="s">
        <v>336</v>
      </c>
      <c r="AL34" s="246" t="s">
        <v>336</v>
      </c>
      <c r="AM34" s="246" t="s">
        <v>336</v>
      </c>
      <c r="AN34" s="246" t="s">
        <v>336</v>
      </c>
      <c r="AO34" s="661">
        <v>25</v>
      </c>
      <c r="AP34" s="257" t="str">
        <f t="shared" ref="AP34:AP53" si="40">AD28</f>
        <v>N/A</v>
      </c>
      <c r="AQ34" s="257" t="str">
        <f t="shared" ref="AQ34:AQ53" si="41">AE28</f>
        <v>N/A</v>
      </c>
      <c r="AR34" s="257" t="str">
        <f t="shared" ref="AR34:AR53" si="42">AF28</f>
        <v>N/A</v>
      </c>
      <c r="AS34" s="257" t="str">
        <f t="shared" ref="AS34:AS53" si="43">AG28</f>
        <v>N/A</v>
      </c>
      <c r="AT34" s="257" t="str">
        <f t="shared" ref="AT34:AT53" si="44">AH28</f>
        <v>N/A</v>
      </c>
      <c r="AU34" s="388">
        <v>25</v>
      </c>
      <c r="AV34" s="257" t="str">
        <f t="shared" ref="AV34:AV53" si="45">AJ28</f>
        <v>N/A</v>
      </c>
      <c r="AW34" s="257" t="str">
        <f t="shared" ref="AW34:AW53" si="46">AK28</f>
        <v>N/A</v>
      </c>
      <c r="AX34" s="257" t="str">
        <f t="shared" ref="AX34:AX53" si="47">AL28</f>
        <v>N/A</v>
      </c>
      <c r="AY34" s="257" t="str">
        <f t="shared" ref="AY34:AY53" si="48">AM28</f>
        <v>N/A</v>
      </c>
      <c r="AZ34" s="257" t="str">
        <f t="shared" ref="AZ34:AZ53" si="49">AN28</f>
        <v>N/A</v>
      </c>
      <c r="BA34" s="236"/>
      <c r="BB34" s="236"/>
    </row>
    <row r="35" spans="1:54" x14ac:dyDescent="0.3">
      <c r="A35" s="236"/>
      <c r="B35" s="656">
        <v>26</v>
      </c>
      <c r="C35" s="265" t="str">
        <f t="shared" ref="C35:C53" si="50">Q29</f>
        <v>N/A</v>
      </c>
      <c r="D35" s="265" t="str">
        <f t="shared" si="34"/>
        <v>N/A</v>
      </c>
      <c r="E35" s="265" t="str">
        <f t="shared" si="34"/>
        <v>N/A</v>
      </c>
      <c r="F35" s="265" t="str">
        <f t="shared" si="34"/>
        <v>N/A</v>
      </c>
      <c r="G35" s="265" t="str">
        <f t="shared" si="34"/>
        <v>N/A</v>
      </c>
      <c r="H35" s="658">
        <v>26</v>
      </c>
      <c r="I35" s="265" t="str">
        <f t="shared" si="35"/>
        <v>N/A</v>
      </c>
      <c r="J35" s="265" t="str">
        <f t="shared" si="36"/>
        <v>N/A</v>
      </c>
      <c r="K35" s="265" t="str">
        <f t="shared" si="37"/>
        <v>N/A</v>
      </c>
      <c r="L35" s="265" t="str">
        <f t="shared" si="38"/>
        <v>N/A</v>
      </c>
      <c r="M35" s="265" t="str">
        <f t="shared" si="39"/>
        <v>N/A</v>
      </c>
      <c r="N35" s="236"/>
      <c r="O35" s="236" t="s">
        <v>336</v>
      </c>
      <c r="P35" s="656">
        <v>32</v>
      </c>
      <c r="Q35" s="254" t="s">
        <v>336</v>
      </c>
      <c r="R35" s="254" t="s">
        <v>336</v>
      </c>
      <c r="S35" s="254" t="s">
        <v>336</v>
      </c>
      <c r="T35" s="254" t="s">
        <v>336</v>
      </c>
      <c r="U35" s="254" t="s">
        <v>336</v>
      </c>
      <c r="V35" s="658">
        <v>32</v>
      </c>
      <c r="W35" s="254" t="s">
        <v>336</v>
      </c>
      <c r="X35" s="254" t="s">
        <v>336</v>
      </c>
      <c r="Y35" s="254" t="s">
        <v>336</v>
      </c>
      <c r="Z35" s="254" t="s">
        <v>336</v>
      </c>
      <c r="AA35" s="254" t="s">
        <v>336</v>
      </c>
      <c r="AB35" s="236" t="s">
        <v>336</v>
      </c>
      <c r="AC35" s="665">
        <v>32</v>
      </c>
      <c r="AD35" s="254" t="s">
        <v>336</v>
      </c>
      <c r="AE35" s="254" t="s">
        <v>336</v>
      </c>
      <c r="AF35" s="254" t="s">
        <v>336</v>
      </c>
      <c r="AG35" s="254" t="s">
        <v>336</v>
      </c>
      <c r="AH35" s="254" t="s">
        <v>336</v>
      </c>
      <c r="AI35" s="388">
        <v>32</v>
      </c>
      <c r="AJ35" s="254" t="s">
        <v>336</v>
      </c>
      <c r="AK35" s="254" t="s">
        <v>336</v>
      </c>
      <c r="AL35" s="254" t="s">
        <v>336</v>
      </c>
      <c r="AM35" s="254" t="s">
        <v>336</v>
      </c>
      <c r="AN35" s="254" t="s">
        <v>336</v>
      </c>
      <c r="AO35" s="661">
        <v>26</v>
      </c>
      <c r="AP35" s="265" t="str">
        <f t="shared" si="40"/>
        <v>N/A</v>
      </c>
      <c r="AQ35" s="265" t="str">
        <f t="shared" si="41"/>
        <v>N/A</v>
      </c>
      <c r="AR35" s="265" t="str">
        <f t="shared" si="42"/>
        <v>N/A</v>
      </c>
      <c r="AS35" s="265" t="str">
        <f t="shared" si="43"/>
        <v>N/A</v>
      </c>
      <c r="AT35" s="265" t="str">
        <f t="shared" si="44"/>
        <v>N/A</v>
      </c>
      <c r="AU35" s="388">
        <v>26</v>
      </c>
      <c r="AV35" s="265" t="str">
        <f t="shared" si="45"/>
        <v>N/A</v>
      </c>
      <c r="AW35" s="265" t="str">
        <f t="shared" si="46"/>
        <v>N/A</v>
      </c>
      <c r="AX35" s="265" t="str">
        <f t="shared" si="47"/>
        <v>N/A</v>
      </c>
      <c r="AY35" s="265" t="str">
        <f t="shared" si="48"/>
        <v>N/A</v>
      </c>
      <c r="AZ35" s="265" t="str">
        <f t="shared" si="49"/>
        <v>N/A</v>
      </c>
      <c r="BA35" s="236"/>
      <c r="BB35" s="236"/>
    </row>
    <row r="36" spans="1:54" x14ac:dyDescent="0.3">
      <c r="A36" s="236"/>
      <c r="B36" s="656">
        <v>27</v>
      </c>
      <c r="C36" s="257" t="str">
        <f t="shared" si="50"/>
        <v>N/A</v>
      </c>
      <c r="D36" s="257" t="str">
        <f t="shared" si="34"/>
        <v>N/A</v>
      </c>
      <c r="E36" s="257" t="str">
        <f t="shared" si="34"/>
        <v>N/A</v>
      </c>
      <c r="F36" s="257" t="str">
        <f t="shared" si="34"/>
        <v>N/A</v>
      </c>
      <c r="G36" s="257" t="str">
        <f t="shared" si="34"/>
        <v>N/A</v>
      </c>
      <c r="H36" s="658">
        <v>27</v>
      </c>
      <c r="I36" s="257" t="str">
        <f t="shared" si="35"/>
        <v>N/A</v>
      </c>
      <c r="J36" s="257" t="str">
        <f t="shared" si="36"/>
        <v>N/A</v>
      </c>
      <c r="K36" s="257" t="str">
        <f t="shared" si="37"/>
        <v>N/A</v>
      </c>
      <c r="L36" s="257" t="str">
        <f t="shared" si="38"/>
        <v>N/A</v>
      </c>
      <c r="M36" s="257" t="str">
        <f t="shared" si="39"/>
        <v>N/A</v>
      </c>
      <c r="N36" s="236"/>
      <c r="O36" s="236" t="s">
        <v>336</v>
      </c>
      <c r="P36" s="656">
        <v>33</v>
      </c>
      <c r="Q36" s="246" t="s">
        <v>336</v>
      </c>
      <c r="R36" s="246" t="s">
        <v>336</v>
      </c>
      <c r="S36" s="246" t="s">
        <v>336</v>
      </c>
      <c r="T36" s="246" t="s">
        <v>336</v>
      </c>
      <c r="U36" s="246" t="s">
        <v>336</v>
      </c>
      <c r="V36" s="658">
        <v>33</v>
      </c>
      <c r="W36" s="246" t="s">
        <v>336</v>
      </c>
      <c r="X36" s="246" t="s">
        <v>336</v>
      </c>
      <c r="Y36" s="246" t="s">
        <v>336</v>
      </c>
      <c r="Z36" s="246" t="s">
        <v>336</v>
      </c>
      <c r="AA36" s="246" t="s">
        <v>336</v>
      </c>
      <c r="AB36" s="236" t="s">
        <v>336</v>
      </c>
      <c r="AC36" s="665">
        <v>33</v>
      </c>
      <c r="AD36" s="246" t="s">
        <v>336</v>
      </c>
      <c r="AE36" s="246" t="s">
        <v>336</v>
      </c>
      <c r="AF36" s="246" t="s">
        <v>336</v>
      </c>
      <c r="AG36" s="246" t="s">
        <v>336</v>
      </c>
      <c r="AH36" s="246" t="s">
        <v>336</v>
      </c>
      <c r="AI36" s="388">
        <v>33</v>
      </c>
      <c r="AJ36" s="246" t="s">
        <v>336</v>
      </c>
      <c r="AK36" s="246" t="s">
        <v>336</v>
      </c>
      <c r="AL36" s="246" t="s">
        <v>336</v>
      </c>
      <c r="AM36" s="246" t="s">
        <v>336</v>
      </c>
      <c r="AN36" s="246" t="s">
        <v>336</v>
      </c>
      <c r="AO36" s="661">
        <v>27</v>
      </c>
      <c r="AP36" s="257" t="str">
        <f t="shared" si="40"/>
        <v>N/A</v>
      </c>
      <c r="AQ36" s="257" t="str">
        <f t="shared" si="41"/>
        <v>N/A</v>
      </c>
      <c r="AR36" s="257" t="str">
        <f t="shared" si="42"/>
        <v>N/A</v>
      </c>
      <c r="AS36" s="257" t="str">
        <f t="shared" si="43"/>
        <v>N/A</v>
      </c>
      <c r="AT36" s="257" t="str">
        <f t="shared" si="44"/>
        <v>N/A</v>
      </c>
      <c r="AU36" s="388">
        <v>27</v>
      </c>
      <c r="AV36" s="257" t="str">
        <f t="shared" si="45"/>
        <v>N/A</v>
      </c>
      <c r="AW36" s="257" t="str">
        <f t="shared" si="46"/>
        <v>N/A</v>
      </c>
      <c r="AX36" s="257" t="str">
        <f t="shared" si="47"/>
        <v>N/A</v>
      </c>
      <c r="AY36" s="257" t="str">
        <f t="shared" si="48"/>
        <v>N/A</v>
      </c>
      <c r="AZ36" s="257" t="str">
        <f t="shared" si="49"/>
        <v>N/A</v>
      </c>
      <c r="BA36" s="236"/>
      <c r="BB36" s="236"/>
    </row>
    <row r="37" spans="1:54" x14ac:dyDescent="0.3">
      <c r="A37" s="236"/>
      <c r="B37" s="656">
        <v>28</v>
      </c>
      <c r="C37" s="265" t="str">
        <f t="shared" si="50"/>
        <v>N/A</v>
      </c>
      <c r="D37" s="265" t="str">
        <f t="shared" si="34"/>
        <v>N/A</v>
      </c>
      <c r="E37" s="265" t="str">
        <f t="shared" si="34"/>
        <v>N/A</v>
      </c>
      <c r="F37" s="265" t="str">
        <f t="shared" si="34"/>
        <v>N/A</v>
      </c>
      <c r="G37" s="265" t="str">
        <f t="shared" si="34"/>
        <v>N/A</v>
      </c>
      <c r="H37" s="658">
        <v>28</v>
      </c>
      <c r="I37" s="265" t="str">
        <f t="shared" si="35"/>
        <v>N/A</v>
      </c>
      <c r="J37" s="265" t="str">
        <f t="shared" si="36"/>
        <v>N/A</v>
      </c>
      <c r="K37" s="265" t="str">
        <f t="shared" si="37"/>
        <v>N/A</v>
      </c>
      <c r="L37" s="265" t="str">
        <f t="shared" si="38"/>
        <v>N/A</v>
      </c>
      <c r="M37" s="265" t="str">
        <f t="shared" si="39"/>
        <v>N/A</v>
      </c>
      <c r="N37" s="236"/>
      <c r="O37" s="236" t="s">
        <v>336</v>
      </c>
      <c r="P37" s="656">
        <v>34</v>
      </c>
      <c r="Q37" s="254" t="s">
        <v>336</v>
      </c>
      <c r="R37" s="254" t="s">
        <v>336</v>
      </c>
      <c r="S37" s="254" t="s">
        <v>336</v>
      </c>
      <c r="T37" s="254" t="s">
        <v>336</v>
      </c>
      <c r="U37" s="254" t="s">
        <v>336</v>
      </c>
      <c r="V37" s="658">
        <v>34</v>
      </c>
      <c r="W37" s="254" t="s">
        <v>336</v>
      </c>
      <c r="X37" s="254" t="s">
        <v>336</v>
      </c>
      <c r="Y37" s="254" t="s">
        <v>336</v>
      </c>
      <c r="Z37" s="254" t="s">
        <v>336</v>
      </c>
      <c r="AA37" s="254" t="s">
        <v>336</v>
      </c>
      <c r="AB37" s="236" t="s">
        <v>336</v>
      </c>
      <c r="AC37" s="665">
        <v>34</v>
      </c>
      <c r="AD37" s="254" t="s">
        <v>336</v>
      </c>
      <c r="AE37" s="254" t="s">
        <v>336</v>
      </c>
      <c r="AF37" s="254" t="s">
        <v>336</v>
      </c>
      <c r="AG37" s="254" t="s">
        <v>336</v>
      </c>
      <c r="AH37" s="254" t="s">
        <v>336</v>
      </c>
      <c r="AI37" s="388">
        <v>34</v>
      </c>
      <c r="AJ37" s="254" t="s">
        <v>336</v>
      </c>
      <c r="AK37" s="254" t="s">
        <v>336</v>
      </c>
      <c r="AL37" s="254" t="s">
        <v>336</v>
      </c>
      <c r="AM37" s="254" t="s">
        <v>336</v>
      </c>
      <c r="AN37" s="254" t="s">
        <v>336</v>
      </c>
      <c r="AO37" s="661">
        <v>28</v>
      </c>
      <c r="AP37" s="265" t="str">
        <f t="shared" si="40"/>
        <v>N/A</v>
      </c>
      <c r="AQ37" s="265" t="str">
        <f t="shared" si="41"/>
        <v>N/A</v>
      </c>
      <c r="AR37" s="265" t="str">
        <f t="shared" si="42"/>
        <v>N/A</v>
      </c>
      <c r="AS37" s="265" t="str">
        <f t="shared" si="43"/>
        <v>N/A</v>
      </c>
      <c r="AT37" s="265" t="str">
        <f t="shared" si="44"/>
        <v>N/A</v>
      </c>
      <c r="AU37" s="388">
        <v>28</v>
      </c>
      <c r="AV37" s="265" t="str">
        <f t="shared" si="45"/>
        <v>N/A</v>
      </c>
      <c r="AW37" s="265" t="str">
        <f t="shared" si="46"/>
        <v>N/A</v>
      </c>
      <c r="AX37" s="265" t="str">
        <f t="shared" si="47"/>
        <v>N/A</v>
      </c>
      <c r="AY37" s="265" t="str">
        <f t="shared" si="48"/>
        <v>N/A</v>
      </c>
      <c r="AZ37" s="265" t="str">
        <f t="shared" si="49"/>
        <v>N/A</v>
      </c>
      <c r="BA37" s="236"/>
      <c r="BB37" s="236"/>
    </row>
    <row r="38" spans="1:54" x14ac:dyDescent="0.3">
      <c r="A38" s="236"/>
      <c r="B38" s="656">
        <v>29</v>
      </c>
      <c r="C38" s="257" t="str">
        <f t="shared" si="50"/>
        <v>N/A</v>
      </c>
      <c r="D38" s="257" t="str">
        <f t="shared" si="34"/>
        <v>N/A</v>
      </c>
      <c r="E38" s="257" t="str">
        <f t="shared" si="34"/>
        <v>N/A</v>
      </c>
      <c r="F38" s="257" t="str">
        <f t="shared" si="34"/>
        <v>N/A</v>
      </c>
      <c r="G38" s="257" t="str">
        <f t="shared" si="34"/>
        <v>N/A</v>
      </c>
      <c r="H38" s="658">
        <v>29</v>
      </c>
      <c r="I38" s="257" t="str">
        <f t="shared" si="35"/>
        <v>N/A</v>
      </c>
      <c r="J38" s="257" t="str">
        <f t="shared" si="36"/>
        <v>N/A</v>
      </c>
      <c r="K38" s="257" t="str">
        <f t="shared" si="37"/>
        <v>N/A</v>
      </c>
      <c r="L38" s="257" t="str">
        <f t="shared" si="38"/>
        <v>N/A</v>
      </c>
      <c r="M38" s="257" t="str">
        <f t="shared" si="39"/>
        <v>N/A</v>
      </c>
      <c r="N38" s="236"/>
      <c r="O38" s="236" t="s">
        <v>336</v>
      </c>
      <c r="P38" s="656">
        <v>35</v>
      </c>
      <c r="Q38" s="246" t="s">
        <v>336</v>
      </c>
      <c r="R38" s="246" t="s">
        <v>336</v>
      </c>
      <c r="S38" s="246" t="s">
        <v>336</v>
      </c>
      <c r="T38" s="246" t="s">
        <v>336</v>
      </c>
      <c r="U38" s="246" t="s">
        <v>336</v>
      </c>
      <c r="V38" s="658">
        <v>35</v>
      </c>
      <c r="W38" s="246" t="s">
        <v>336</v>
      </c>
      <c r="X38" s="246" t="s">
        <v>336</v>
      </c>
      <c r="Y38" s="246" t="s">
        <v>336</v>
      </c>
      <c r="Z38" s="246" t="s">
        <v>336</v>
      </c>
      <c r="AA38" s="246" t="s">
        <v>336</v>
      </c>
      <c r="AB38" s="236" t="s">
        <v>336</v>
      </c>
      <c r="AC38" s="665">
        <v>35</v>
      </c>
      <c r="AD38" s="246" t="s">
        <v>336</v>
      </c>
      <c r="AE38" s="246" t="s">
        <v>336</v>
      </c>
      <c r="AF38" s="246" t="s">
        <v>336</v>
      </c>
      <c r="AG38" s="246" t="s">
        <v>336</v>
      </c>
      <c r="AH38" s="246" t="s">
        <v>336</v>
      </c>
      <c r="AI38" s="388">
        <v>35</v>
      </c>
      <c r="AJ38" s="246" t="s">
        <v>336</v>
      </c>
      <c r="AK38" s="246" t="s">
        <v>336</v>
      </c>
      <c r="AL38" s="246" t="s">
        <v>336</v>
      </c>
      <c r="AM38" s="246" t="s">
        <v>336</v>
      </c>
      <c r="AN38" s="246" t="s">
        <v>336</v>
      </c>
      <c r="AO38" s="661">
        <v>29</v>
      </c>
      <c r="AP38" s="257" t="str">
        <f t="shared" si="40"/>
        <v>N/A</v>
      </c>
      <c r="AQ38" s="257" t="str">
        <f t="shared" si="41"/>
        <v>N/A</v>
      </c>
      <c r="AR38" s="257" t="str">
        <f t="shared" si="42"/>
        <v>N/A</v>
      </c>
      <c r="AS38" s="257" t="str">
        <f t="shared" si="43"/>
        <v>N/A</v>
      </c>
      <c r="AT38" s="257" t="str">
        <f t="shared" si="44"/>
        <v>N/A</v>
      </c>
      <c r="AU38" s="388">
        <v>29</v>
      </c>
      <c r="AV38" s="257" t="str">
        <f t="shared" si="45"/>
        <v>N/A</v>
      </c>
      <c r="AW38" s="257" t="str">
        <f t="shared" si="46"/>
        <v>N/A</v>
      </c>
      <c r="AX38" s="257" t="str">
        <f t="shared" si="47"/>
        <v>N/A</v>
      </c>
      <c r="AY38" s="257" t="str">
        <f t="shared" si="48"/>
        <v>N/A</v>
      </c>
      <c r="AZ38" s="257" t="str">
        <f t="shared" si="49"/>
        <v>N/A</v>
      </c>
      <c r="BA38" s="236"/>
      <c r="BB38" s="236"/>
    </row>
    <row r="39" spans="1:54" x14ac:dyDescent="0.3">
      <c r="A39" s="236"/>
      <c r="B39" s="656">
        <v>30</v>
      </c>
      <c r="C39" s="265" t="str">
        <f t="shared" si="50"/>
        <v>N/A</v>
      </c>
      <c r="D39" s="265" t="str">
        <f t="shared" si="34"/>
        <v>N/A</v>
      </c>
      <c r="E39" s="265" t="str">
        <f t="shared" si="34"/>
        <v>N/A</v>
      </c>
      <c r="F39" s="265" t="str">
        <f t="shared" si="34"/>
        <v>N/A</v>
      </c>
      <c r="G39" s="265" t="str">
        <f t="shared" si="34"/>
        <v>N/A</v>
      </c>
      <c r="H39" s="658">
        <v>30</v>
      </c>
      <c r="I39" s="265" t="str">
        <f t="shared" si="35"/>
        <v>N/A</v>
      </c>
      <c r="J39" s="265" t="str">
        <f t="shared" si="36"/>
        <v>N/A</v>
      </c>
      <c r="K39" s="265" t="str">
        <f t="shared" si="37"/>
        <v>N/A</v>
      </c>
      <c r="L39" s="265" t="str">
        <f t="shared" si="38"/>
        <v>N/A</v>
      </c>
      <c r="M39" s="265" t="str">
        <f t="shared" si="39"/>
        <v>N/A</v>
      </c>
      <c r="N39" s="236"/>
      <c r="O39" s="236" t="s">
        <v>336</v>
      </c>
      <c r="P39" s="656">
        <v>36</v>
      </c>
      <c r="Q39" s="254" t="s">
        <v>336</v>
      </c>
      <c r="R39" s="254" t="s">
        <v>336</v>
      </c>
      <c r="S39" s="254" t="s">
        <v>336</v>
      </c>
      <c r="T39" s="254" t="s">
        <v>336</v>
      </c>
      <c r="U39" s="254" t="s">
        <v>336</v>
      </c>
      <c r="V39" s="658">
        <v>36</v>
      </c>
      <c r="W39" s="254" t="s">
        <v>336</v>
      </c>
      <c r="X39" s="254" t="s">
        <v>336</v>
      </c>
      <c r="Y39" s="254" t="s">
        <v>336</v>
      </c>
      <c r="Z39" s="254" t="s">
        <v>336</v>
      </c>
      <c r="AA39" s="254" t="s">
        <v>336</v>
      </c>
      <c r="AB39" s="236" t="s">
        <v>336</v>
      </c>
      <c r="AC39" s="665">
        <v>36</v>
      </c>
      <c r="AD39" s="254" t="s">
        <v>336</v>
      </c>
      <c r="AE39" s="254" t="s">
        <v>336</v>
      </c>
      <c r="AF39" s="254" t="s">
        <v>336</v>
      </c>
      <c r="AG39" s="254" t="s">
        <v>336</v>
      </c>
      <c r="AH39" s="254" t="s">
        <v>336</v>
      </c>
      <c r="AI39" s="388">
        <v>36</v>
      </c>
      <c r="AJ39" s="254" t="s">
        <v>336</v>
      </c>
      <c r="AK39" s="254" t="s">
        <v>336</v>
      </c>
      <c r="AL39" s="254" t="s">
        <v>336</v>
      </c>
      <c r="AM39" s="254" t="s">
        <v>336</v>
      </c>
      <c r="AN39" s="254" t="s">
        <v>336</v>
      </c>
      <c r="AO39" s="661">
        <v>30</v>
      </c>
      <c r="AP39" s="265" t="str">
        <f t="shared" si="40"/>
        <v>N/A</v>
      </c>
      <c r="AQ39" s="265" t="str">
        <f t="shared" si="41"/>
        <v>N/A</v>
      </c>
      <c r="AR39" s="265" t="str">
        <f t="shared" si="42"/>
        <v>N/A</v>
      </c>
      <c r="AS39" s="265" t="str">
        <f t="shared" si="43"/>
        <v>N/A</v>
      </c>
      <c r="AT39" s="265" t="str">
        <f t="shared" si="44"/>
        <v>N/A</v>
      </c>
      <c r="AU39" s="388">
        <v>30</v>
      </c>
      <c r="AV39" s="265" t="str">
        <f t="shared" si="45"/>
        <v>N/A</v>
      </c>
      <c r="AW39" s="265" t="str">
        <f t="shared" si="46"/>
        <v>N/A</v>
      </c>
      <c r="AX39" s="265" t="str">
        <f t="shared" si="47"/>
        <v>N/A</v>
      </c>
      <c r="AY39" s="265" t="str">
        <f t="shared" si="48"/>
        <v>N/A</v>
      </c>
      <c r="AZ39" s="265" t="str">
        <f t="shared" si="49"/>
        <v>N/A</v>
      </c>
      <c r="BA39" s="236"/>
      <c r="BB39" s="236"/>
    </row>
    <row r="40" spans="1:54" x14ac:dyDescent="0.3">
      <c r="A40" s="236"/>
      <c r="B40" s="656">
        <v>31</v>
      </c>
      <c r="C40" s="257" t="str">
        <f t="shared" si="50"/>
        <v>N/A</v>
      </c>
      <c r="D40" s="257" t="str">
        <f t="shared" si="34"/>
        <v>N/A</v>
      </c>
      <c r="E40" s="257" t="str">
        <f t="shared" si="34"/>
        <v>N/A</v>
      </c>
      <c r="F40" s="257" t="str">
        <f t="shared" si="34"/>
        <v>N/A</v>
      </c>
      <c r="G40" s="257" t="str">
        <f t="shared" si="34"/>
        <v>N/A</v>
      </c>
      <c r="H40" s="658">
        <v>31</v>
      </c>
      <c r="I40" s="257" t="str">
        <f t="shared" si="35"/>
        <v>N/A</v>
      </c>
      <c r="J40" s="257" t="str">
        <f t="shared" si="36"/>
        <v>N/A</v>
      </c>
      <c r="K40" s="257" t="str">
        <f t="shared" si="37"/>
        <v>N/A</v>
      </c>
      <c r="L40" s="257" t="str">
        <f t="shared" si="38"/>
        <v>N/A</v>
      </c>
      <c r="M40" s="257" t="str">
        <f t="shared" si="39"/>
        <v>N/A</v>
      </c>
      <c r="N40" s="236"/>
      <c r="O40" s="236" t="s">
        <v>336</v>
      </c>
      <c r="P40" s="656">
        <v>37</v>
      </c>
      <c r="Q40" s="246" t="s">
        <v>336</v>
      </c>
      <c r="R40" s="246" t="s">
        <v>336</v>
      </c>
      <c r="S40" s="246" t="s">
        <v>336</v>
      </c>
      <c r="T40" s="246" t="s">
        <v>336</v>
      </c>
      <c r="U40" s="246" t="s">
        <v>336</v>
      </c>
      <c r="V40" s="658">
        <v>37</v>
      </c>
      <c r="W40" s="246" t="s">
        <v>336</v>
      </c>
      <c r="X40" s="246" t="s">
        <v>336</v>
      </c>
      <c r="Y40" s="246" t="s">
        <v>336</v>
      </c>
      <c r="Z40" s="246" t="s">
        <v>336</v>
      </c>
      <c r="AA40" s="246" t="s">
        <v>336</v>
      </c>
      <c r="AB40" s="236" t="s">
        <v>336</v>
      </c>
      <c r="AC40" s="665">
        <v>37</v>
      </c>
      <c r="AD40" s="246" t="s">
        <v>336</v>
      </c>
      <c r="AE40" s="246" t="s">
        <v>336</v>
      </c>
      <c r="AF40" s="246" t="s">
        <v>336</v>
      </c>
      <c r="AG40" s="246" t="s">
        <v>336</v>
      </c>
      <c r="AH40" s="246" t="s">
        <v>336</v>
      </c>
      <c r="AI40" s="388">
        <v>37</v>
      </c>
      <c r="AJ40" s="246" t="s">
        <v>336</v>
      </c>
      <c r="AK40" s="246" t="s">
        <v>336</v>
      </c>
      <c r="AL40" s="246" t="s">
        <v>336</v>
      </c>
      <c r="AM40" s="246" t="s">
        <v>336</v>
      </c>
      <c r="AN40" s="246" t="s">
        <v>336</v>
      </c>
      <c r="AO40" s="661">
        <v>31</v>
      </c>
      <c r="AP40" s="257" t="str">
        <f t="shared" si="40"/>
        <v>N/A</v>
      </c>
      <c r="AQ40" s="257" t="str">
        <f t="shared" si="41"/>
        <v>N/A</v>
      </c>
      <c r="AR40" s="257" t="str">
        <f t="shared" si="42"/>
        <v>N/A</v>
      </c>
      <c r="AS40" s="257" t="str">
        <f t="shared" si="43"/>
        <v>N/A</v>
      </c>
      <c r="AT40" s="257" t="str">
        <f t="shared" si="44"/>
        <v>N/A</v>
      </c>
      <c r="AU40" s="388">
        <v>31</v>
      </c>
      <c r="AV40" s="257" t="str">
        <f t="shared" si="45"/>
        <v>N/A</v>
      </c>
      <c r="AW40" s="257" t="str">
        <f t="shared" si="46"/>
        <v>N/A</v>
      </c>
      <c r="AX40" s="257" t="str">
        <f t="shared" si="47"/>
        <v>N/A</v>
      </c>
      <c r="AY40" s="257" t="str">
        <f t="shared" si="48"/>
        <v>N/A</v>
      </c>
      <c r="AZ40" s="257" t="str">
        <f t="shared" si="49"/>
        <v>N/A</v>
      </c>
      <c r="BA40" s="236"/>
      <c r="BB40" s="236"/>
    </row>
    <row r="41" spans="1:54" x14ac:dyDescent="0.3">
      <c r="A41" s="236"/>
      <c r="B41" s="656">
        <v>32</v>
      </c>
      <c r="C41" s="265" t="str">
        <f t="shared" si="50"/>
        <v>N/A</v>
      </c>
      <c r="D41" s="265" t="str">
        <f t="shared" si="34"/>
        <v>N/A</v>
      </c>
      <c r="E41" s="265" t="str">
        <f t="shared" si="34"/>
        <v>N/A</v>
      </c>
      <c r="F41" s="265" t="str">
        <f t="shared" si="34"/>
        <v>N/A</v>
      </c>
      <c r="G41" s="265" t="str">
        <f t="shared" si="34"/>
        <v>N/A</v>
      </c>
      <c r="H41" s="658">
        <v>32</v>
      </c>
      <c r="I41" s="265" t="str">
        <f t="shared" si="35"/>
        <v>N/A</v>
      </c>
      <c r="J41" s="265" t="str">
        <f t="shared" si="36"/>
        <v>N/A</v>
      </c>
      <c r="K41" s="265" t="str">
        <f t="shared" si="37"/>
        <v>N/A</v>
      </c>
      <c r="L41" s="265" t="str">
        <f t="shared" si="38"/>
        <v>N/A</v>
      </c>
      <c r="M41" s="265" t="str">
        <f t="shared" si="39"/>
        <v>N/A</v>
      </c>
      <c r="N41" s="236"/>
      <c r="O41" s="236" t="s">
        <v>336</v>
      </c>
      <c r="P41" s="656">
        <v>38</v>
      </c>
      <c r="Q41" s="254" t="s">
        <v>336</v>
      </c>
      <c r="R41" s="254" t="s">
        <v>336</v>
      </c>
      <c r="S41" s="254" t="s">
        <v>336</v>
      </c>
      <c r="T41" s="254" t="s">
        <v>336</v>
      </c>
      <c r="U41" s="254" t="s">
        <v>336</v>
      </c>
      <c r="V41" s="658">
        <v>38</v>
      </c>
      <c r="W41" s="254" t="s">
        <v>336</v>
      </c>
      <c r="X41" s="254" t="s">
        <v>336</v>
      </c>
      <c r="Y41" s="254" t="s">
        <v>336</v>
      </c>
      <c r="Z41" s="254" t="s">
        <v>336</v>
      </c>
      <c r="AA41" s="254" t="s">
        <v>336</v>
      </c>
      <c r="AB41" s="236" t="s">
        <v>336</v>
      </c>
      <c r="AC41" s="665">
        <v>38</v>
      </c>
      <c r="AD41" s="254" t="s">
        <v>336</v>
      </c>
      <c r="AE41" s="254" t="s">
        <v>336</v>
      </c>
      <c r="AF41" s="254" t="s">
        <v>336</v>
      </c>
      <c r="AG41" s="254" t="s">
        <v>336</v>
      </c>
      <c r="AH41" s="254" t="s">
        <v>336</v>
      </c>
      <c r="AI41" s="388">
        <v>38</v>
      </c>
      <c r="AJ41" s="254" t="s">
        <v>336</v>
      </c>
      <c r="AK41" s="254" t="s">
        <v>336</v>
      </c>
      <c r="AL41" s="254" t="s">
        <v>336</v>
      </c>
      <c r="AM41" s="254" t="s">
        <v>336</v>
      </c>
      <c r="AN41" s="254" t="s">
        <v>336</v>
      </c>
      <c r="AO41" s="661">
        <v>32</v>
      </c>
      <c r="AP41" s="265" t="str">
        <f t="shared" si="40"/>
        <v>N/A</v>
      </c>
      <c r="AQ41" s="265" t="str">
        <f t="shared" si="41"/>
        <v>N/A</v>
      </c>
      <c r="AR41" s="265" t="str">
        <f t="shared" si="42"/>
        <v>N/A</v>
      </c>
      <c r="AS41" s="265" t="str">
        <f t="shared" si="43"/>
        <v>N/A</v>
      </c>
      <c r="AT41" s="265" t="str">
        <f t="shared" si="44"/>
        <v>N/A</v>
      </c>
      <c r="AU41" s="388">
        <v>32</v>
      </c>
      <c r="AV41" s="265" t="str">
        <f t="shared" si="45"/>
        <v>N/A</v>
      </c>
      <c r="AW41" s="265" t="str">
        <f t="shared" si="46"/>
        <v>N/A</v>
      </c>
      <c r="AX41" s="265" t="str">
        <f t="shared" si="47"/>
        <v>N/A</v>
      </c>
      <c r="AY41" s="265" t="str">
        <f t="shared" si="48"/>
        <v>N/A</v>
      </c>
      <c r="AZ41" s="265" t="str">
        <f t="shared" si="49"/>
        <v>N/A</v>
      </c>
      <c r="BA41" s="236"/>
      <c r="BB41" s="236"/>
    </row>
    <row r="42" spans="1:54" x14ac:dyDescent="0.3">
      <c r="A42" s="236"/>
      <c r="B42" s="656">
        <v>33</v>
      </c>
      <c r="C42" s="257" t="str">
        <f t="shared" si="50"/>
        <v>N/A</v>
      </c>
      <c r="D42" s="257" t="str">
        <f t="shared" si="34"/>
        <v>N/A</v>
      </c>
      <c r="E42" s="257" t="str">
        <f t="shared" si="34"/>
        <v>N/A</v>
      </c>
      <c r="F42" s="257" t="str">
        <f t="shared" si="34"/>
        <v>N/A</v>
      </c>
      <c r="G42" s="257" t="str">
        <f t="shared" si="34"/>
        <v>N/A</v>
      </c>
      <c r="H42" s="658">
        <v>33</v>
      </c>
      <c r="I42" s="257" t="str">
        <f t="shared" si="35"/>
        <v>N/A</v>
      </c>
      <c r="J42" s="257" t="str">
        <f t="shared" si="36"/>
        <v>N/A</v>
      </c>
      <c r="K42" s="257" t="str">
        <f t="shared" si="37"/>
        <v>N/A</v>
      </c>
      <c r="L42" s="257" t="str">
        <f t="shared" si="38"/>
        <v>N/A</v>
      </c>
      <c r="M42" s="257" t="str">
        <f t="shared" si="39"/>
        <v>N/A</v>
      </c>
      <c r="N42" s="236"/>
      <c r="O42" s="236" t="s">
        <v>336</v>
      </c>
      <c r="P42" s="656">
        <v>39</v>
      </c>
      <c r="Q42" s="246" t="s">
        <v>336</v>
      </c>
      <c r="R42" s="246" t="s">
        <v>336</v>
      </c>
      <c r="S42" s="246" t="s">
        <v>336</v>
      </c>
      <c r="T42" s="246" t="s">
        <v>336</v>
      </c>
      <c r="U42" s="246" t="s">
        <v>336</v>
      </c>
      <c r="V42" s="658">
        <v>39</v>
      </c>
      <c r="W42" s="246" t="s">
        <v>336</v>
      </c>
      <c r="X42" s="246" t="s">
        <v>336</v>
      </c>
      <c r="Y42" s="246" t="s">
        <v>336</v>
      </c>
      <c r="Z42" s="246" t="s">
        <v>336</v>
      </c>
      <c r="AA42" s="246" t="s">
        <v>336</v>
      </c>
      <c r="AB42" s="236" t="s">
        <v>336</v>
      </c>
      <c r="AC42" s="665">
        <v>39</v>
      </c>
      <c r="AD42" s="246" t="s">
        <v>336</v>
      </c>
      <c r="AE42" s="246" t="s">
        <v>336</v>
      </c>
      <c r="AF42" s="246" t="s">
        <v>336</v>
      </c>
      <c r="AG42" s="246" t="s">
        <v>336</v>
      </c>
      <c r="AH42" s="246" t="s">
        <v>336</v>
      </c>
      <c r="AI42" s="388">
        <v>39</v>
      </c>
      <c r="AJ42" s="246" t="s">
        <v>336</v>
      </c>
      <c r="AK42" s="246" t="s">
        <v>336</v>
      </c>
      <c r="AL42" s="246" t="s">
        <v>336</v>
      </c>
      <c r="AM42" s="246" t="s">
        <v>336</v>
      </c>
      <c r="AN42" s="246" t="s">
        <v>336</v>
      </c>
      <c r="AO42" s="661">
        <v>33</v>
      </c>
      <c r="AP42" s="257" t="str">
        <f t="shared" si="40"/>
        <v>N/A</v>
      </c>
      <c r="AQ42" s="257" t="str">
        <f t="shared" si="41"/>
        <v>N/A</v>
      </c>
      <c r="AR42" s="257" t="str">
        <f t="shared" si="42"/>
        <v>N/A</v>
      </c>
      <c r="AS42" s="257" t="str">
        <f t="shared" si="43"/>
        <v>N/A</v>
      </c>
      <c r="AT42" s="257" t="str">
        <f t="shared" si="44"/>
        <v>N/A</v>
      </c>
      <c r="AU42" s="388">
        <v>33</v>
      </c>
      <c r="AV42" s="257" t="str">
        <f t="shared" si="45"/>
        <v>N/A</v>
      </c>
      <c r="AW42" s="257" t="str">
        <f t="shared" si="46"/>
        <v>N/A</v>
      </c>
      <c r="AX42" s="257" t="str">
        <f t="shared" si="47"/>
        <v>N/A</v>
      </c>
      <c r="AY42" s="257" t="str">
        <f t="shared" si="48"/>
        <v>N/A</v>
      </c>
      <c r="AZ42" s="257" t="str">
        <f t="shared" si="49"/>
        <v>N/A</v>
      </c>
      <c r="BA42" s="236"/>
      <c r="BB42" s="236"/>
    </row>
    <row r="43" spans="1:54" x14ac:dyDescent="0.3">
      <c r="A43" s="236"/>
      <c r="B43" s="656">
        <v>34</v>
      </c>
      <c r="C43" s="265" t="str">
        <f t="shared" si="50"/>
        <v>N/A</v>
      </c>
      <c r="D43" s="265" t="str">
        <f t="shared" si="34"/>
        <v>N/A</v>
      </c>
      <c r="E43" s="265" t="str">
        <f t="shared" si="34"/>
        <v>N/A</v>
      </c>
      <c r="F43" s="265" t="str">
        <f t="shared" si="34"/>
        <v>N/A</v>
      </c>
      <c r="G43" s="265" t="str">
        <f t="shared" si="34"/>
        <v>N/A</v>
      </c>
      <c r="H43" s="658">
        <v>34</v>
      </c>
      <c r="I43" s="265" t="str">
        <f t="shared" si="35"/>
        <v>N/A</v>
      </c>
      <c r="J43" s="265" t="str">
        <f t="shared" si="36"/>
        <v>N/A</v>
      </c>
      <c r="K43" s="265" t="str">
        <f t="shared" si="37"/>
        <v>N/A</v>
      </c>
      <c r="L43" s="265" t="str">
        <f t="shared" si="38"/>
        <v>N/A</v>
      </c>
      <c r="M43" s="265" t="str">
        <f t="shared" si="39"/>
        <v>N/A</v>
      </c>
      <c r="N43" s="236"/>
      <c r="O43" s="236" t="s">
        <v>336</v>
      </c>
      <c r="P43" s="656">
        <v>40</v>
      </c>
      <c r="Q43" s="254" t="s">
        <v>336</v>
      </c>
      <c r="R43" s="254" t="s">
        <v>336</v>
      </c>
      <c r="S43" s="254" t="s">
        <v>336</v>
      </c>
      <c r="T43" s="254" t="s">
        <v>336</v>
      </c>
      <c r="U43" s="254" t="s">
        <v>336</v>
      </c>
      <c r="V43" s="658">
        <v>40</v>
      </c>
      <c r="W43" s="254" t="s">
        <v>336</v>
      </c>
      <c r="X43" s="254" t="s">
        <v>336</v>
      </c>
      <c r="Y43" s="254" t="s">
        <v>336</v>
      </c>
      <c r="Z43" s="254" t="s">
        <v>336</v>
      </c>
      <c r="AA43" s="254" t="s">
        <v>336</v>
      </c>
      <c r="AB43" s="236" t="s">
        <v>336</v>
      </c>
      <c r="AC43" s="665">
        <v>40</v>
      </c>
      <c r="AD43" s="254" t="s">
        <v>336</v>
      </c>
      <c r="AE43" s="254" t="s">
        <v>336</v>
      </c>
      <c r="AF43" s="254" t="s">
        <v>336</v>
      </c>
      <c r="AG43" s="254" t="s">
        <v>336</v>
      </c>
      <c r="AH43" s="254" t="s">
        <v>336</v>
      </c>
      <c r="AI43" s="388">
        <v>40</v>
      </c>
      <c r="AJ43" s="254" t="s">
        <v>336</v>
      </c>
      <c r="AK43" s="254" t="s">
        <v>336</v>
      </c>
      <c r="AL43" s="254" t="s">
        <v>336</v>
      </c>
      <c r="AM43" s="254" t="s">
        <v>336</v>
      </c>
      <c r="AN43" s="254" t="s">
        <v>336</v>
      </c>
      <c r="AO43" s="661">
        <v>34</v>
      </c>
      <c r="AP43" s="265" t="str">
        <f t="shared" si="40"/>
        <v>N/A</v>
      </c>
      <c r="AQ43" s="265" t="str">
        <f t="shared" si="41"/>
        <v>N/A</v>
      </c>
      <c r="AR43" s="265" t="str">
        <f t="shared" si="42"/>
        <v>N/A</v>
      </c>
      <c r="AS43" s="265" t="str">
        <f t="shared" si="43"/>
        <v>N/A</v>
      </c>
      <c r="AT43" s="265" t="str">
        <f t="shared" si="44"/>
        <v>N/A</v>
      </c>
      <c r="AU43" s="388">
        <v>34</v>
      </c>
      <c r="AV43" s="265" t="str">
        <f t="shared" si="45"/>
        <v>N/A</v>
      </c>
      <c r="AW43" s="265" t="str">
        <f t="shared" si="46"/>
        <v>N/A</v>
      </c>
      <c r="AX43" s="265" t="str">
        <f t="shared" si="47"/>
        <v>N/A</v>
      </c>
      <c r="AY43" s="265" t="str">
        <f t="shared" si="48"/>
        <v>N/A</v>
      </c>
      <c r="AZ43" s="265" t="str">
        <f t="shared" si="49"/>
        <v>N/A</v>
      </c>
      <c r="BA43" s="236"/>
      <c r="BB43" s="236"/>
    </row>
    <row r="44" spans="1:54" x14ac:dyDescent="0.3">
      <c r="A44" s="236"/>
      <c r="B44" s="656">
        <v>35</v>
      </c>
      <c r="C44" s="257" t="str">
        <f t="shared" si="50"/>
        <v>N/A</v>
      </c>
      <c r="D44" s="257" t="str">
        <f t="shared" si="34"/>
        <v>N/A</v>
      </c>
      <c r="E44" s="257" t="str">
        <f t="shared" si="34"/>
        <v>N/A</v>
      </c>
      <c r="F44" s="257" t="str">
        <f t="shared" si="34"/>
        <v>N/A</v>
      </c>
      <c r="G44" s="257" t="str">
        <f t="shared" si="34"/>
        <v>N/A</v>
      </c>
      <c r="H44" s="658">
        <v>35</v>
      </c>
      <c r="I44" s="257" t="str">
        <f t="shared" si="35"/>
        <v>N/A</v>
      </c>
      <c r="J44" s="257" t="str">
        <f t="shared" si="36"/>
        <v>N/A</v>
      </c>
      <c r="K44" s="257" t="str">
        <f t="shared" si="37"/>
        <v>N/A</v>
      </c>
      <c r="L44" s="257" t="str">
        <f t="shared" si="38"/>
        <v>N/A</v>
      </c>
      <c r="M44" s="257" t="str">
        <f t="shared" si="39"/>
        <v>N/A</v>
      </c>
      <c r="N44" s="236"/>
      <c r="O44" s="236" t="s">
        <v>336</v>
      </c>
      <c r="P44" s="656">
        <v>41</v>
      </c>
      <c r="Q44" s="246" t="s">
        <v>336</v>
      </c>
      <c r="R44" s="246" t="s">
        <v>336</v>
      </c>
      <c r="S44" s="246" t="s">
        <v>336</v>
      </c>
      <c r="T44" s="246" t="s">
        <v>336</v>
      </c>
      <c r="U44" s="246" t="s">
        <v>336</v>
      </c>
      <c r="V44" s="658">
        <v>41</v>
      </c>
      <c r="W44" s="246" t="s">
        <v>336</v>
      </c>
      <c r="X44" s="246" t="s">
        <v>336</v>
      </c>
      <c r="Y44" s="246" t="s">
        <v>336</v>
      </c>
      <c r="Z44" s="246" t="s">
        <v>336</v>
      </c>
      <c r="AA44" s="246" t="s">
        <v>336</v>
      </c>
      <c r="AB44" s="236" t="s">
        <v>336</v>
      </c>
      <c r="AC44" s="665">
        <v>41</v>
      </c>
      <c r="AD44" s="246" t="s">
        <v>336</v>
      </c>
      <c r="AE44" s="246" t="s">
        <v>336</v>
      </c>
      <c r="AF44" s="246" t="s">
        <v>336</v>
      </c>
      <c r="AG44" s="246" t="s">
        <v>336</v>
      </c>
      <c r="AH44" s="246" t="s">
        <v>336</v>
      </c>
      <c r="AI44" s="388">
        <v>41</v>
      </c>
      <c r="AJ44" s="246" t="s">
        <v>336</v>
      </c>
      <c r="AK44" s="246" t="s">
        <v>336</v>
      </c>
      <c r="AL44" s="246" t="s">
        <v>336</v>
      </c>
      <c r="AM44" s="246" t="s">
        <v>336</v>
      </c>
      <c r="AN44" s="246" t="s">
        <v>336</v>
      </c>
      <c r="AO44" s="661">
        <v>35</v>
      </c>
      <c r="AP44" s="257" t="str">
        <f t="shared" si="40"/>
        <v>N/A</v>
      </c>
      <c r="AQ44" s="257" t="str">
        <f t="shared" si="41"/>
        <v>N/A</v>
      </c>
      <c r="AR44" s="257" t="str">
        <f t="shared" si="42"/>
        <v>N/A</v>
      </c>
      <c r="AS44" s="257" t="str">
        <f t="shared" si="43"/>
        <v>N/A</v>
      </c>
      <c r="AT44" s="257" t="str">
        <f t="shared" si="44"/>
        <v>N/A</v>
      </c>
      <c r="AU44" s="388">
        <v>35</v>
      </c>
      <c r="AV44" s="257" t="str">
        <f t="shared" si="45"/>
        <v>N/A</v>
      </c>
      <c r="AW44" s="257" t="str">
        <f t="shared" si="46"/>
        <v>N/A</v>
      </c>
      <c r="AX44" s="257" t="str">
        <f t="shared" si="47"/>
        <v>N/A</v>
      </c>
      <c r="AY44" s="257" t="str">
        <f t="shared" si="48"/>
        <v>N/A</v>
      </c>
      <c r="AZ44" s="257" t="str">
        <f t="shared" si="49"/>
        <v>N/A</v>
      </c>
      <c r="BA44" s="236"/>
      <c r="BB44" s="236"/>
    </row>
    <row r="45" spans="1:54" x14ac:dyDescent="0.3">
      <c r="A45" s="236"/>
      <c r="B45" s="656">
        <v>36</v>
      </c>
      <c r="C45" s="271" t="str">
        <f t="shared" si="50"/>
        <v>N/A</v>
      </c>
      <c r="D45" s="271" t="str">
        <f t="shared" si="34"/>
        <v>N/A</v>
      </c>
      <c r="E45" s="271" t="str">
        <f t="shared" si="34"/>
        <v>N/A</v>
      </c>
      <c r="F45" s="271" t="str">
        <f t="shared" si="34"/>
        <v>N/A</v>
      </c>
      <c r="G45" s="271" t="str">
        <f t="shared" si="34"/>
        <v>N/A</v>
      </c>
      <c r="H45" s="658">
        <v>36</v>
      </c>
      <c r="I45" s="271" t="str">
        <f t="shared" si="35"/>
        <v>N/A</v>
      </c>
      <c r="J45" s="271" t="str">
        <f t="shared" si="36"/>
        <v>N/A</v>
      </c>
      <c r="K45" s="271" t="str">
        <f t="shared" si="37"/>
        <v>N/A</v>
      </c>
      <c r="L45" s="271" t="str">
        <f t="shared" si="38"/>
        <v>N/A</v>
      </c>
      <c r="M45" s="271" t="str">
        <f t="shared" si="39"/>
        <v>N/A</v>
      </c>
      <c r="N45" s="236"/>
      <c r="O45" s="236" t="s">
        <v>336</v>
      </c>
      <c r="P45" s="656">
        <v>42</v>
      </c>
      <c r="Q45" s="254" t="s">
        <v>336</v>
      </c>
      <c r="R45" s="254" t="s">
        <v>336</v>
      </c>
      <c r="S45" s="254" t="s">
        <v>336</v>
      </c>
      <c r="T45" s="254" t="s">
        <v>336</v>
      </c>
      <c r="U45" s="254" t="s">
        <v>336</v>
      </c>
      <c r="V45" s="658">
        <v>42</v>
      </c>
      <c r="W45" s="254" t="s">
        <v>336</v>
      </c>
      <c r="X45" s="254" t="s">
        <v>336</v>
      </c>
      <c r="Y45" s="254" t="s">
        <v>336</v>
      </c>
      <c r="Z45" s="254" t="s">
        <v>336</v>
      </c>
      <c r="AA45" s="254" t="s">
        <v>336</v>
      </c>
      <c r="AB45" s="236" t="s">
        <v>336</v>
      </c>
      <c r="AC45" s="665">
        <v>42</v>
      </c>
      <c r="AD45" s="254" t="s">
        <v>336</v>
      </c>
      <c r="AE45" s="254" t="s">
        <v>336</v>
      </c>
      <c r="AF45" s="254" t="s">
        <v>336</v>
      </c>
      <c r="AG45" s="254" t="s">
        <v>336</v>
      </c>
      <c r="AH45" s="254" t="s">
        <v>336</v>
      </c>
      <c r="AI45" s="388">
        <v>42</v>
      </c>
      <c r="AJ45" s="254" t="s">
        <v>336</v>
      </c>
      <c r="AK45" s="254" t="s">
        <v>336</v>
      </c>
      <c r="AL45" s="254" t="s">
        <v>336</v>
      </c>
      <c r="AM45" s="254" t="s">
        <v>336</v>
      </c>
      <c r="AN45" s="254" t="s">
        <v>336</v>
      </c>
      <c r="AO45" s="661">
        <v>36</v>
      </c>
      <c r="AP45" s="271" t="str">
        <f t="shared" si="40"/>
        <v>N/A</v>
      </c>
      <c r="AQ45" s="271" t="str">
        <f t="shared" si="41"/>
        <v>N/A</v>
      </c>
      <c r="AR45" s="271" t="str">
        <f t="shared" si="42"/>
        <v>N/A</v>
      </c>
      <c r="AS45" s="271" t="str">
        <f t="shared" si="43"/>
        <v>N/A</v>
      </c>
      <c r="AT45" s="271" t="str">
        <f t="shared" si="44"/>
        <v>N/A</v>
      </c>
      <c r="AU45" s="388">
        <v>36</v>
      </c>
      <c r="AV45" s="271" t="str">
        <f t="shared" si="45"/>
        <v>N/A</v>
      </c>
      <c r="AW45" s="271" t="str">
        <f t="shared" si="46"/>
        <v>N/A</v>
      </c>
      <c r="AX45" s="271" t="str">
        <f t="shared" si="47"/>
        <v>N/A</v>
      </c>
      <c r="AY45" s="271" t="str">
        <f t="shared" si="48"/>
        <v>N/A</v>
      </c>
      <c r="AZ45" s="271" t="str">
        <f t="shared" si="49"/>
        <v>N/A</v>
      </c>
      <c r="BA45" s="236"/>
      <c r="BB45" s="236"/>
    </row>
    <row r="46" spans="1:54" x14ac:dyDescent="0.3">
      <c r="A46" s="236"/>
      <c r="B46" s="656">
        <v>37</v>
      </c>
      <c r="C46" s="257" t="str">
        <f t="shared" si="50"/>
        <v>N/A</v>
      </c>
      <c r="D46" s="257" t="str">
        <f t="shared" si="34"/>
        <v>N/A</v>
      </c>
      <c r="E46" s="257" t="str">
        <f t="shared" si="34"/>
        <v>N/A</v>
      </c>
      <c r="F46" s="257" t="str">
        <f t="shared" si="34"/>
        <v>N/A</v>
      </c>
      <c r="G46" s="257" t="str">
        <f t="shared" si="34"/>
        <v>N/A</v>
      </c>
      <c r="H46" s="658">
        <v>37</v>
      </c>
      <c r="I46" s="257" t="str">
        <f t="shared" si="35"/>
        <v>N/A</v>
      </c>
      <c r="J46" s="257" t="str">
        <f t="shared" si="36"/>
        <v>N/A</v>
      </c>
      <c r="K46" s="257" t="str">
        <f t="shared" si="37"/>
        <v>N/A</v>
      </c>
      <c r="L46" s="257" t="str">
        <f t="shared" si="38"/>
        <v>N/A</v>
      </c>
      <c r="M46" s="257" t="str">
        <f t="shared" si="39"/>
        <v>N/A</v>
      </c>
      <c r="N46" s="236"/>
      <c r="O46" s="236" t="s">
        <v>336</v>
      </c>
      <c r="P46" s="656">
        <v>43</v>
      </c>
      <c r="Q46" s="246" t="s">
        <v>336</v>
      </c>
      <c r="R46" s="246" t="s">
        <v>336</v>
      </c>
      <c r="S46" s="246" t="s">
        <v>336</v>
      </c>
      <c r="T46" s="246" t="s">
        <v>336</v>
      </c>
      <c r="U46" s="246" t="s">
        <v>336</v>
      </c>
      <c r="V46" s="658">
        <v>43</v>
      </c>
      <c r="W46" s="246" t="s">
        <v>336</v>
      </c>
      <c r="X46" s="246" t="s">
        <v>336</v>
      </c>
      <c r="Y46" s="246" t="s">
        <v>336</v>
      </c>
      <c r="Z46" s="246" t="s">
        <v>336</v>
      </c>
      <c r="AA46" s="246" t="s">
        <v>336</v>
      </c>
      <c r="AB46" s="236" t="s">
        <v>336</v>
      </c>
      <c r="AC46" s="665">
        <v>43</v>
      </c>
      <c r="AD46" s="246" t="s">
        <v>336</v>
      </c>
      <c r="AE46" s="246" t="s">
        <v>336</v>
      </c>
      <c r="AF46" s="246" t="s">
        <v>336</v>
      </c>
      <c r="AG46" s="246" t="s">
        <v>336</v>
      </c>
      <c r="AH46" s="246" t="s">
        <v>336</v>
      </c>
      <c r="AI46" s="388">
        <v>43</v>
      </c>
      <c r="AJ46" s="246" t="s">
        <v>336</v>
      </c>
      <c r="AK46" s="246" t="s">
        <v>336</v>
      </c>
      <c r="AL46" s="246" t="s">
        <v>336</v>
      </c>
      <c r="AM46" s="246" t="s">
        <v>336</v>
      </c>
      <c r="AN46" s="246" t="s">
        <v>336</v>
      </c>
      <c r="AO46" s="661">
        <v>37</v>
      </c>
      <c r="AP46" s="257" t="str">
        <f t="shared" si="40"/>
        <v>N/A</v>
      </c>
      <c r="AQ46" s="257" t="str">
        <f t="shared" si="41"/>
        <v>N/A</v>
      </c>
      <c r="AR46" s="257" t="str">
        <f t="shared" si="42"/>
        <v>N/A</v>
      </c>
      <c r="AS46" s="257" t="str">
        <f t="shared" si="43"/>
        <v>N/A</v>
      </c>
      <c r="AT46" s="257" t="str">
        <f t="shared" si="44"/>
        <v>N/A</v>
      </c>
      <c r="AU46" s="388">
        <v>37</v>
      </c>
      <c r="AV46" s="257" t="str">
        <f t="shared" si="45"/>
        <v>N/A</v>
      </c>
      <c r="AW46" s="257" t="str">
        <f t="shared" si="46"/>
        <v>N/A</v>
      </c>
      <c r="AX46" s="257" t="str">
        <f t="shared" si="47"/>
        <v>N/A</v>
      </c>
      <c r="AY46" s="257" t="str">
        <f t="shared" si="48"/>
        <v>N/A</v>
      </c>
      <c r="AZ46" s="257" t="str">
        <f t="shared" si="49"/>
        <v>N/A</v>
      </c>
      <c r="BA46" s="236"/>
      <c r="BB46" s="236"/>
    </row>
    <row r="47" spans="1:54" x14ac:dyDescent="0.3">
      <c r="A47" s="236"/>
      <c r="B47" s="656">
        <v>38</v>
      </c>
      <c r="C47" s="265" t="str">
        <f t="shared" si="50"/>
        <v>N/A</v>
      </c>
      <c r="D47" s="265" t="str">
        <f t="shared" si="34"/>
        <v>N/A</v>
      </c>
      <c r="E47" s="265" t="str">
        <f t="shared" si="34"/>
        <v>N/A</v>
      </c>
      <c r="F47" s="265" t="str">
        <f t="shared" si="34"/>
        <v>N/A</v>
      </c>
      <c r="G47" s="265" t="str">
        <f t="shared" si="34"/>
        <v>N/A</v>
      </c>
      <c r="H47" s="658">
        <v>38</v>
      </c>
      <c r="I47" s="265" t="str">
        <f t="shared" si="35"/>
        <v>N/A</v>
      </c>
      <c r="J47" s="265" t="str">
        <f t="shared" si="36"/>
        <v>N/A</v>
      </c>
      <c r="K47" s="265" t="str">
        <f t="shared" si="37"/>
        <v>N/A</v>
      </c>
      <c r="L47" s="265" t="str">
        <f t="shared" si="38"/>
        <v>N/A</v>
      </c>
      <c r="M47" s="265" t="str">
        <f t="shared" si="39"/>
        <v>N/A</v>
      </c>
      <c r="N47" s="236"/>
      <c r="O47" s="236" t="s">
        <v>336</v>
      </c>
      <c r="P47" s="657">
        <v>44</v>
      </c>
      <c r="Q47" s="293" t="s">
        <v>336</v>
      </c>
      <c r="R47" s="293" t="s">
        <v>336</v>
      </c>
      <c r="S47" s="293" t="s">
        <v>336</v>
      </c>
      <c r="T47" s="254" t="s">
        <v>336</v>
      </c>
      <c r="U47" s="254" t="s">
        <v>336</v>
      </c>
      <c r="V47" s="659">
        <v>44</v>
      </c>
      <c r="W47" s="293" t="s">
        <v>336</v>
      </c>
      <c r="X47" s="293" t="s">
        <v>336</v>
      </c>
      <c r="Y47" s="293" t="s">
        <v>336</v>
      </c>
      <c r="Z47" s="254" t="s">
        <v>336</v>
      </c>
      <c r="AA47" s="254" t="s">
        <v>336</v>
      </c>
      <c r="AB47" s="236" t="s">
        <v>336</v>
      </c>
      <c r="AC47" s="666">
        <v>44</v>
      </c>
      <c r="AD47" s="293" t="s">
        <v>336</v>
      </c>
      <c r="AE47" s="293" t="s">
        <v>336</v>
      </c>
      <c r="AF47" s="293" t="s">
        <v>336</v>
      </c>
      <c r="AG47" s="254" t="s">
        <v>336</v>
      </c>
      <c r="AH47" s="254" t="s">
        <v>336</v>
      </c>
      <c r="AI47" s="655">
        <v>44</v>
      </c>
      <c r="AJ47" s="293" t="s">
        <v>336</v>
      </c>
      <c r="AK47" s="293" t="s">
        <v>336</v>
      </c>
      <c r="AL47" s="293" t="s">
        <v>336</v>
      </c>
      <c r="AM47" s="254" t="s">
        <v>336</v>
      </c>
      <c r="AN47" s="254" t="s">
        <v>336</v>
      </c>
      <c r="AO47" s="661">
        <v>38</v>
      </c>
      <c r="AP47" s="265" t="str">
        <f t="shared" si="40"/>
        <v>N/A</v>
      </c>
      <c r="AQ47" s="265" t="str">
        <f t="shared" si="41"/>
        <v>N/A</v>
      </c>
      <c r="AR47" s="265" t="str">
        <f t="shared" si="42"/>
        <v>N/A</v>
      </c>
      <c r="AS47" s="265" t="str">
        <f t="shared" si="43"/>
        <v>N/A</v>
      </c>
      <c r="AT47" s="265" t="str">
        <f t="shared" si="44"/>
        <v>N/A</v>
      </c>
      <c r="AU47" s="388">
        <v>38</v>
      </c>
      <c r="AV47" s="265" t="str">
        <f t="shared" si="45"/>
        <v>N/A</v>
      </c>
      <c r="AW47" s="265" t="str">
        <f t="shared" si="46"/>
        <v>N/A</v>
      </c>
      <c r="AX47" s="265" t="str">
        <f t="shared" si="47"/>
        <v>N/A</v>
      </c>
      <c r="AY47" s="265" t="str">
        <f t="shared" si="48"/>
        <v>N/A</v>
      </c>
      <c r="AZ47" s="265" t="str">
        <f t="shared" si="49"/>
        <v>N/A</v>
      </c>
      <c r="BA47" s="236"/>
      <c r="BB47" s="236"/>
    </row>
    <row r="48" spans="1:54" x14ac:dyDescent="0.3">
      <c r="A48" s="236"/>
      <c r="B48" s="656">
        <v>39</v>
      </c>
      <c r="C48" s="257" t="str">
        <f t="shared" si="50"/>
        <v>N/A</v>
      </c>
      <c r="D48" s="257" t="str">
        <f t="shared" si="34"/>
        <v>N/A</v>
      </c>
      <c r="E48" s="257" t="str">
        <f t="shared" si="34"/>
        <v>N/A</v>
      </c>
      <c r="F48" s="257" t="str">
        <f t="shared" si="34"/>
        <v>N/A</v>
      </c>
      <c r="G48" s="257" t="str">
        <f t="shared" si="34"/>
        <v>N/A</v>
      </c>
      <c r="H48" s="658">
        <v>39</v>
      </c>
      <c r="I48" s="257" t="str">
        <f t="shared" si="35"/>
        <v>N/A</v>
      </c>
      <c r="J48" s="257" t="str">
        <f t="shared" si="36"/>
        <v>N/A</v>
      </c>
      <c r="K48" s="257" t="str">
        <f t="shared" si="37"/>
        <v>N/A</v>
      </c>
      <c r="L48" s="257" t="str">
        <f t="shared" si="38"/>
        <v>N/A</v>
      </c>
      <c r="M48" s="257" t="str">
        <f t="shared" si="39"/>
        <v>N/A</v>
      </c>
      <c r="N48" s="236"/>
      <c r="O48" s="236"/>
      <c r="P48" s="236"/>
      <c r="Q48" s="236" t="s">
        <v>336</v>
      </c>
      <c r="R48" s="236" t="s">
        <v>336</v>
      </c>
      <c r="S48" s="236" t="s">
        <v>336</v>
      </c>
      <c r="T48" s="236" t="s">
        <v>336</v>
      </c>
      <c r="U48" s="236" t="s">
        <v>336</v>
      </c>
      <c r="V48" s="49"/>
      <c r="W48" s="236" t="s">
        <v>336</v>
      </c>
      <c r="X48" s="236" t="s">
        <v>336</v>
      </c>
      <c r="Y48" s="236" t="s">
        <v>336</v>
      </c>
      <c r="Z48" s="236" t="s">
        <v>336</v>
      </c>
      <c r="AA48" s="236" t="s">
        <v>336</v>
      </c>
      <c r="AB48" s="236"/>
      <c r="AC48" s="522"/>
      <c r="AD48" s="236" t="s">
        <v>336</v>
      </c>
      <c r="AE48" s="236" t="s">
        <v>336</v>
      </c>
      <c r="AF48" s="236" t="s">
        <v>336</v>
      </c>
      <c r="AG48" s="236" t="s">
        <v>336</v>
      </c>
      <c r="AH48" s="236" t="s">
        <v>336</v>
      </c>
      <c r="AI48" s="236"/>
      <c r="AJ48" s="236" t="s">
        <v>336</v>
      </c>
      <c r="AK48" s="236" t="s">
        <v>336</v>
      </c>
      <c r="AL48" s="236" t="s">
        <v>336</v>
      </c>
      <c r="AM48" s="236" t="s">
        <v>336</v>
      </c>
      <c r="AN48" s="236" t="s">
        <v>336</v>
      </c>
      <c r="AO48" s="661">
        <v>39</v>
      </c>
      <c r="AP48" s="257" t="str">
        <f t="shared" si="40"/>
        <v>N/A</v>
      </c>
      <c r="AQ48" s="257" t="str">
        <f t="shared" si="41"/>
        <v>N/A</v>
      </c>
      <c r="AR48" s="257" t="str">
        <f t="shared" si="42"/>
        <v>N/A</v>
      </c>
      <c r="AS48" s="257" t="str">
        <f t="shared" si="43"/>
        <v>N/A</v>
      </c>
      <c r="AT48" s="257" t="str">
        <f t="shared" si="44"/>
        <v>N/A</v>
      </c>
      <c r="AU48" s="388">
        <v>39</v>
      </c>
      <c r="AV48" s="257" t="str">
        <f t="shared" si="45"/>
        <v>N/A</v>
      </c>
      <c r="AW48" s="257" t="str">
        <f t="shared" si="46"/>
        <v>N/A</v>
      </c>
      <c r="AX48" s="257" t="str">
        <f t="shared" si="47"/>
        <v>N/A</v>
      </c>
      <c r="AY48" s="257" t="str">
        <f t="shared" si="48"/>
        <v>N/A</v>
      </c>
      <c r="AZ48" s="257" t="str">
        <f t="shared" si="49"/>
        <v>N/A</v>
      </c>
      <c r="BA48" s="236"/>
      <c r="BB48" s="236"/>
    </row>
    <row r="49" spans="1:54" x14ac:dyDescent="0.3">
      <c r="A49" s="236"/>
      <c r="B49" s="656">
        <v>40</v>
      </c>
      <c r="C49" s="265" t="str">
        <f t="shared" si="50"/>
        <v>N/A</v>
      </c>
      <c r="D49" s="265" t="str">
        <f t="shared" si="34"/>
        <v>N/A</v>
      </c>
      <c r="E49" s="265" t="str">
        <f t="shared" si="34"/>
        <v>N/A</v>
      </c>
      <c r="F49" s="265" t="str">
        <f t="shared" si="34"/>
        <v>N/A</v>
      </c>
      <c r="G49" s="265" t="str">
        <f t="shared" si="34"/>
        <v>N/A</v>
      </c>
      <c r="H49" s="658">
        <v>40</v>
      </c>
      <c r="I49" s="265" t="str">
        <f t="shared" si="35"/>
        <v>N/A</v>
      </c>
      <c r="J49" s="265" t="str">
        <f t="shared" si="36"/>
        <v>N/A</v>
      </c>
      <c r="K49" s="265" t="str">
        <f t="shared" si="37"/>
        <v>N/A</v>
      </c>
      <c r="L49" s="265" t="str">
        <f t="shared" si="38"/>
        <v>N/A</v>
      </c>
      <c r="M49" s="265" t="str">
        <f t="shared" si="39"/>
        <v>N/A</v>
      </c>
      <c r="N49" s="236"/>
      <c r="O49" s="236"/>
      <c r="P49" s="236"/>
      <c r="Q49" s="236"/>
      <c r="R49" s="236"/>
      <c r="S49" s="236">
        <v>1.8333333333333333</v>
      </c>
      <c r="T49" s="236"/>
      <c r="U49" s="236"/>
      <c r="V49" s="49"/>
      <c r="W49" s="236"/>
      <c r="X49" s="236"/>
      <c r="Y49" s="236">
        <v>1.8333333333333333</v>
      </c>
      <c r="Z49" s="236"/>
      <c r="AA49" s="236"/>
      <c r="AB49" s="236"/>
      <c r="AC49" s="522"/>
      <c r="AD49" s="236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661">
        <v>40</v>
      </c>
      <c r="AP49" s="265" t="str">
        <f t="shared" si="40"/>
        <v>N/A</v>
      </c>
      <c r="AQ49" s="265" t="str">
        <f t="shared" si="41"/>
        <v>N/A</v>
      </c>
      <c r="AR49" s="265" t="str">
        <f t="shared" si="42"/>
        <v>N/A</v>
      </c>
      <c r="AS49" s="265" t="str">
        <f t="shared" si="43"/>
        <v>N/A</v>
      </c>
      <c r="AT49" s="265" t="str">
        <f t="shared" si="44"/>
        <v>N/A</v>
      </c>
      <c r="AU49" s="388">
        <v>40</v>
      </c>
      <c r="AV49" s="265" t="str">
        <f t="shared" si="45"/>
        <v>N/A</v>
      </c>
      <c r="AW49" s="265" t="str">
        <f t="shared" si="46"/>
        <v>N/A</v>
      </c>
      <c r="AX49" s="265" t="str">
        <f t="shared" si="47"/>
        <v>N/A</v>
      </c>
      <c r="AY49" s="265" t="str">
        <f t="shared" si="48"/>
        <v>N/A</v>
      </c>
      <c r="AZ49" s="265" t="str">
        <f t="shared" si="49"/>
        <v>N/A</v>
      </c>
      <c r="BA49" s="236"/>
      <c r="BB49" s="236"/>
    </row>
    <row r="50" spans="1:54" x14ac:dyDescent="0.3">
      <c r="A50" s="236"/>
      <c r="B50" s="656">
        <v>41</v>
      </c>
      <c r="C50" s="257" t="str">
        <f t="shared" si="50"/>
        <v>N/A</v>
      </c>
      <c r="D50" s="257" t="str">
        <f t="shared" ref="D50:D53" si="51">R44</f>
        <v>N/A</v>
      </c>
      <c r="E50" s="257" t="str">
        <f t="shared" ref="E50:E53" si="52">S44</f>
        <v>N/A</v>
      </c>
      <c r="F50" s="257" t="str">
        <f t="shared" ref="F50:F53" si="53">T44</f>
        <v>N/A</v>
      </c>
      <c r="G50" s="257" t="str">
        <f t="shared" ref="G50:G53" si="54">U44</f>
        <v>N/A</v>
      </c>
      <c r="H50" s="658">
        <v>41</v>
      </c>
      <c r="I50" s="257" t="str">
        <f t="shared" si="35"/>
        <v>N/A</v>
      </c>
      <c r="J50" s="257" t="str">
        <f t="shared" si="36"/>
        <v>N/A</v>
      </c>
      <c r="K50" s="257" t="str">
        <f t="shared" si="37"/>
        <v>N/A</v>
      </c>
      <c r="L50" s="257" t="str">
        <f t="shared" si="38"/>
        <v>N/A</v>
      </c>
      <c r="M50" s="257" t="str">
        <f t="shared" si="39"/>
        <v>N/A</v>
      </c>
      <c r="N50" s="236"/>
      <c r="O50" s="236"/>
      <c r="P50" s="236"/>
      <c r="Q50" s="236"/>
      <c r="R50" s="236"/>
      <c r="S50" s="236"/>
      <c r="T50" s="236"/>
      <c r="U50" s="236"/>
      <c r="V50" s="49"/>
      <c r="W50" s="236"/>
      <c r="X50" s="236"/>
      <c r="Y50" s="236"/>
      <c r="Z50" s="236"/>
      <c r="AA50" s="236"/>
      <c r="AB50" s="236"/>
      <c r="AC50" s="522"/>
      <c r="AD50" s="236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661">
        <v>41</v>
      </c>
      <c r="AP50" s="257" t="str">
        <f t="shared" si="40"/>
        <v>N/A</v>
      </c>
      <c r="AQ50" s="257" t="str">
        <f t="shared" si="41"/>
        <v>N/A</v>
      </c>
      <c r="AR50" s="257" t="str">
        <f t="shared" si="42"/>
        <v>N/A</v>
      </c>
      <c r="AS50" s="257" t="str">
        <f t="shared" si="43"/>
        <v>N/A</v>
      </c>
      <c r="AT50" s="257" t="str">
        <f t="shared" si="44"/>
        <v>N/A</v>
      </c>
      <c r="AU50" s="388">
        <v>41</v>
      </c>
      <c r="AV50" s="257" t="str">
        <f t="shared" si="45"/>
        <v>N/A</v>
      </c>
      <c r="AW50" s="257" t="str">
        <f t="shared" si="46"/>
        <v>N/A</v>
      </c>
      <c r="AX50" s="257" t="str">
        <f t="shared" si="47"/>
        <v>N/A</v>
      </c>
      <c r="AY50" s="257" t="str">
        <f t="shared" si="48"/>
        <v>N/A</v>
      </c>
      <c r="AZ50" s="257" t="str">
        <f t="shared" si="49"/>
        <v>N/A</v>
      </c>
      <c r="BA50" s="236"/>
      <c r="BB50" s="236"/>
    </row>
    <row r="51" spans="1:54" x14ac:dyDescent="0.3">
      <c r="A51" s="236"/>
      <c r="B51" s="656">
        <v>42</v>
      </c>
      <c r="C51" s="265" t="str">
        <f t="shared" si="50"/>
        <v>N/A</v>
      </c>
      <c r="D51" s="265" t="str">
        <f t="shared" si="51"/>
        <v>N/A</v>
      </c>
      <c r="E51" s="265" t="str">
        <f t="shared" si="52"/>
        <v>N/A</v>
      </c>
      <c r="F51" s="265" t="str">
        <f t="shared" si="53"/>
        <v>N/A</v>
      </c>
      <c r="G51" s="265" t="str">
        <f t="shared" si="54"/>
        <v>N/A</v>
      </c>
      <c r="H51" s="658">
        <v>42</v>
      </c>
      <c r="I51" s="265" t="str">
        <f t="shared" si="35"/>
        <v>N/A</v>
      </c>
      <c r="J51" s="265" t="str">
        <f t="shared" si="36"/>
        <v>N/A</v>
      </c>
      <c r="K51" s="265" t="str">
        <f t="shared" si="37"/>
        <v>N/A</v>
      </c>
      <c r="L51" s="265" t="str">
        <f t="shared" si="38"/>
        <v>N/A</v>
      </c>
      <c r="M51" s="265" t="str">
        <f t="shared" si="39"/>
        <v>N/A</v>
      </c>
      <c r="N51" s="236"/>
      <c r="O51" s="236"/>
      <c r="P51" s="236"/>
      <c r="Q51" s="236"/>
      <c r="R51" s="236"/>
      <c r="S51" s="236"/>
      <c r="T51" s="236"/>
      <c r="U51" s="236"/>
      <c r="V51" s="49"/>
      <c r="W51" s="236"/>
      <c r="X51" s="236"/>
      <c r="Y51" s="236"/>
      <c r="Z51" s="236"/>
      <c r="AA51" s="236"/>
      <c r="AB51" s="236"/>
      <c r="AC51" s="522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661">
        <v>42</v>
      </c>
      <c r="AP51" s="265" t="str">
        <f t="shared" si="40"/>
        <v>N/A</v>
      </c>
      <c r="AQ51" s="265" t="str">
        <f t="shared" si="41"/>
        <v>N/A</v>
      </c>
      <c r="AR51" s="265" t="str">
        <f t="shared" si="42"/>
        <v>N/A</v>
      </c>
      <c r="AS51" s="265" t="str">
        <f t="shared" si="43"/>
        <v>N/A</v>
      </c>
      <c r="AT51" s="265" t="str">
        <f t="shared" si="44"/>
        <v>N/A</v>
      </c>
      <c r="AU51" s="388">
        <v>42</v>
      </c>
      <c r="AV51" s="265" t="str">
        <f t="shared" si="45"/>
        <v>N/A</v>
      </c>
      <c r="AW51" s="265" t="str">
        <f t="shared" si="46"/>
        <v>N/A</v>
      </c>
      <c r="AX51" s="265" t="str">
        <f t="shared" si="47"/>
        <v>N/A</v>
      </c>
      <c r="AY51" s="265" t="str">
        <f t="shared" si="48"/>
        <v>N/A</v>
      </c>
      <c r="AZ51" s="265" t="str">
        <f t="shared" si="49"/>
        <v>N/A</v>
      </c>
      <c r="BA51" s="236"/>
      <c r="BB51" s="236"/>
    </row>
    <row r="52" spans="1:54" x14ac:dyDescent="0.3">
      <c r="A52" s="236"/>
      <c r="B52" s="656">
        <v>43</v>
      </c>
      <c r="C52" s="257" t="str">
        <f t="shared" si="50"/>
        <v>N/A</v>
      </c>
      <c r="D52" s="257" t="str">
        <f t="shared" si="51"/>
        <v>N/A</v>
      </c>
      <c r="E52" s="257" t="str">
        <f t="shared" si="52"/>
        <v>N/A</v>
      </c>
      <c r="F52" s="257" t="str">
        <f t="shared" si="53"/>
        <v>N/A</v>
      </c>
      <c r="G52" s="257" t="str">
        <f t="shared" si="54"/>
        <v>N/A</v>
      </c>
      <c r="H52" s="658">
        <v>43</v>
      </c>
      <c r="I52" s="257" t="str">
        <f t="shared" si="35"/>
        <v>N/A</v>
      </c>
      <c r="J52" s="257" t="str">
        <f t="shared" si="36"/>
        <v>N/A</v>
      </c>
      <c r="K52" s="257" t="str">
        <f t="shared" si="37"/>
        <v>N/A</v>
      </c>
      <c r="L52" s="257" t="str">
        <f t="shared" si="38"/>
        <v>N/A</v>
      </c>
      <c r="M52" s="257" t="str">
        <f t="shared" si="39"/>
        <v>N/A</v>
      </c>
      <c r="N52" s="236"/>
      <c r="O52" s="236"/>
      <c r="P52" s="236"/>
      <c r="Q52" s="236"/>
      <c r="R52" s="236"/>
      <c r="S52" s="236"/>
      <c r="T52" s="236"/>
      <c r="U52" s="236"/>
      <c r="V52" s="49"/>
      <c r="W52" s="236"/>
      <c r="X52" s="236"/>
      <c r="Y52" s="236"/>
      <c r="Z52" s="236"/>
      <c r="AA52" s="236"/>
      <c r="AB52" s="236"/>
      <c r="AC52" s="522"/>
      <c r="AD52" s="236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661">
        <v>43</v>
      </c>
      <c r="AP52" s="257" t="str">
        <f t="shared" si="40"/>
        <v>N/A</v>
      </c>
      <c r="AQ52" s="257" t="str">
        <f t="shared" si="41"/>
        <v>N/A</v>
      </c>
      <c r="AR52" s="257" t="str">
        <f t="shared" si="42"/>
        <v>N/A</v>
      </c>
      <c r="AS52" s="257" t="str">
        <f t="shared" si="43"/>
        <v>N/A</v>
      </c>
      <c r="AT52" s="257" t="str">
        <f t="shared" si="44"/>
        <v>N/A</v>
      </c>
      <c r="AU52" s="388">
        <v>43</v>
      </c>
      <c r="AV52" s="257" t="str">
        <f t="shared" si="45"/>
        <v>N/A</v>
      </c>
      <c r="AW52" s="257" t="str">
        <f t="shared" si="46"/>
        <v>N/A</v>
      </c>
      <c r="AX52" s="257" t="str">
        <f t="shared" si="47"/>
        <v>N/A</v>
      </c>
      <c r="AY52" s="257" t="str">
        <f t="shared" si="48"/>
        <v>N/A</v>
      </c>
      <c r="AZ52" s="257" t="str">
        <f t="shared" si="49"/>
        <v>N/A</v>
      </c>
      <c r="BA52" s="236"/>
      <c r="BB52" s="236"/>
    </row>
    <row r="53" spans="1:54" ht="15" thickBot="1" x14ac:dyDescent="0.35">
      <c r="A53" s="236"/>
      <c r="B53" s="657">
        <v>44</v>
      </c>
      <c r="C53" s="265" t="str">
        <f t="shared" si="50"/>
        <v>N/A</v>
      </c>
      <c r="D53" s="265" t="str">
        <f t="shared" si="51"/>
        <v>N/A</v>
      </c>
      <c r="E53" s="265" t="str">
        <f t="shared" si="52"/>
        <v>N/A</v>
      </c>
      <c r="F53" s="265" t="str">
        <f t="shared" si="53"/>
        <v>N/A</v>
      </c>
      <c r="G53" s="265" t="str">
        <f t="shared" si="54"/>
        <v>N/A</v>
      </c>
      <c r="H53" s="659">
        <v>44</v>
      </c>
      <c r="I53" s="265" t="str">
        <f t="shared" si="35"/>
        <v>N/A</v>
      </c>
      <c r="J53" s="265" t="str">
        <f t="shared" si="36"/>
        <v>N/A</v>
      </c>
      <c r="K53" s="265" t="str">
        <f t="shared" si="37"/>
        <v>N/A</v>
      </c>
      <c r="L53" s="265" t="str">
        <f t="shared" si="38"/>
        <v>N/A</v>
      </c>
      <c r="M53" s="265" t="str">
        <f t="shared" si="39"/>
        <v>N/A</v>
      </c>
      <c r="N53" s="236"/>
      <c r="O53" s="236"/>
      <c r="P53" s="236"/>
      <c r="Q53" s="236"/>
      <c r="R53" s="236"/>
      <c r="S53" s="236"/>
      <c r="T53" s="236"/>
      <c r="U53" s="236"/>
      <c r="V53" s="49"/>
      <c r="W53" s="236"/>
      <c r="X53" s="236"/>
      <c r="Y53" s="236"/>
      <c r="Z53" s="236"/>
      <c r="AA53" s="236"/>
      <c r="AB53" s="236"/>
      <c r="AC53" s="522"/>
      <c r="AD53" s="236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662">
        <v>44</v>
      </c>
      <c r="AP53" s="265" t="str">
        <f t="shared" si="40"/>
        <v>N/A</v>
      </c>
      <c r="AQ53" s="265" t="str">
        <f t="shared" si="41"/>
        <v>N/A</v>
      </c>
      <c r="AR53" s="265" t="str">
        <f t="shared" si="42"/>
        <v>N/A</v>
      </c>
      <c r="AS53" s="265" t="str">
        <f t="shared" si="43"/>
        <v>N/A</v>
      </c>
      <c r="AT53" s="265" t="str">
        <f t="shared" si="44"/>
        <v>N/A</v>
      </c>
      <c r="AU53" s="655">
        <v>44</v>
      </c>
      <c r="AV53" s="265" t="str">
        <f t="shared" si="45"/>
        <v>N/A</v>
      </c>
      <c r="AW53" s="265" t="str">
        <f t="shared" si="46"/>
        <v>N/A</v>
      </c>
      <c r="AX53" s="265" t="str">
        <f t="shared" si="47"/>
        <v>N/A</v>
      </c>
      <c r="AY53" s="265" t="str">
        <f t="shared" si="48"/>
        <v>N/A</v>
      </c>
      <c r="AZ53" s="265" t="str">
        <f t="shared" si="49"/>
        <v>N/A</v>
      </c>
      <c r="BA53" s="236"/>
      <c r="BB53" s="236"/>
    </row>
    <row r="54" spans="1:54" x14ac:dyDescent="0.3">
      <c r="A54" s="236"/>
      <c r="B54" s="272" t="s">
        <v>221</v>
      </c>
      <c r="C54" s="168">
        <f>SUM(C34:C53)</f>
        <v>0</v>
      </c>
      <c r="D54" s="168">
        <f t="shared" ref="D54:G54" si="55">SUM(D34:D53)</f>
        <v>0</v>
      </c>
      <c r="E54" s="168">
        <f t="shared" si="55"/>
        <v>0</v>
      </c>
      <c r="F54" s="168">
        <f t="shared" si="55"/>
        <v>0</v>
      </c>
      <c r="G54" s="168">
        <f t="shared" si="55"/>
        <v>0</v>
      </c>
      <c r="H54" s="272" t="s">
        <v>221</v>
      </c>
      <c r="I54" s="168">
        <f>SUM(I34:I53)</f>
        <v>0</v>
      </c>
      <c r="J54" s="168">
        <f t="shared" ref="J54" si="56">SUM(J34:J53)</f>
        <v>0</v>
      </c>
      <c r="K54" s="168">
        <f t="shared" ref="K54" si="57">SUM(K34:K53)</f>
        <v>0</v>
      </c>
      <c r="L54" s="168">
        <f t="shared" ref="L54" si="58">SUM(L34:L53)</f>
        <v>0</v>
      </c>
      <c r="M54" s="168">
        <f t="shared" ref="M54" si="59">SUM(M34:M53)</f>
        <v>0</v>
      </c>
      <c r="N54" s="236"/>
      <c r="O54" s="236"/>
      <c r="P54" s="236"/>
      <c r="Q54" s="236"/>
      <c r="R54" s="236"/>
      <c r="S54" s="236"/>
      <c r="T54" s="236"/>
      <c r="U54" s="236"/>
      <c r="V54" s="49"/>
      <c r="W54" s="236"/>
      <c r="X54" s="236"/>
      <c r="Y54" s="236"/>
      <c r="Z54" s="236"/>
      <c r="AA54" s="236"/>
      <c r="AB54" s="236"/>
      <c r="AC54" s="522"/>
      <c r="AD54" s="236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72" t="s">
        <v>221</v>
      </c>
      <c r="AP54" s="168">
        <f>SUM(AP34:AP53)</f>
        <v>0</v>
      </c>
      <c r="AQ54" s="168">
        <f t="shared" ref="AQ54" si="60">SUM(AQ34:AQ53)</f>
        <v>0</v>
      </c>
      <c r="AR54" s="168">
        <f t="shared" ref="AR54" si="61">SUM(AR34:AR53)</f>
        <v>0</v>
      </c>
      <c r="AS54" s="168">
        <f t="shared" ref="AS54" si="62">SUM(AS34:AS53)</f>
        <v>0</v>
      </c>
      <c r="AT54" s="168">
        <f t="shared" ref="AT54" si="63">SUM(AT34:AT53)</f>
        <v>0</v>
      </c>
      <c r="AU54" s="272" t="s">
        <v>221</v>
      </c>
      <c r="AV54" s="168">
        <f>SUM(AV34:AV53)</f>
        <v>0</v>
      </c>
      <c r="AW54" s="168">
        <f t="shared" ref="AW54" si="64">SUM(AW34:AW53)</f>
        <v>0</v>
      </c>
      <c r="AX54" s="168">
        <f t="shared" ref="AX54" si="65">SUM(AX34:AX53)</f>
        <v>0</v>
      </c>
      <c r="AY54" s="168">
        <f t="shared" ref="AY54" si="66">SUM(AY34:AY53)</f>
        <v>0</v>
      </c>
      <c r="AZ54" s="168">
        <f t="shared" ref="AZ54" si="67">SUM(AZ34:AZ53)</f>
        <v>0</v>
      </c>
      <c r="BA54" s="236"/>
      <c r="BB54" s="236"/>
    </row>
    <row r="55" spans="1:54" x14ac:dyDescent="0.3">
      <c r="A55" s="236"/>
      <c r="B55" s="649"/>
      <c r="C55" s="650"/>
      <c r="D55" s="650"/>
      <c r="E55" s="650"/>
      <c r="F55" s="650"/>
      <c r="G55" s="650"/>
      <c r="H55" s="649"/>
      <c r="I55" s="650"/>
      <c r="J55" s="650"/>
      <c r="K55" s="650"/>
      <c r="L55" s="650"/>
      <c r="M55" s="650"/>
      <c r="N55" s="236"/>
      <c r="O55" s="236"/>
      <c r="P55" s="236"/>
      <c r="Q55" s="236"/>
      <c r="R55" s="236"/>
      <c r="S55" s="236"/>
      <c r="T55" s="236"/>
      <c r="U55" s="236"/>
      <c r="V55" s="49"/>
      <c r="W55" s="236"/>
      <c r="X55" s="236"/>
      <c r="Y55" s="236"/>
      <c r="Z55" s="236"/>
      <c r="AA55" s="236"/>
      <c r="AB55" s="236"/>
      <c r="AC55" s="522"/>
      <c r="AD55" s="236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649"/>
      <c r="AP55" s="650"/>
      <c r="AQ55" s="650"/>
      <c r="AR55" s="650"/>
      <c r="AS55" s="650"/>
      <c r="AT55" s="650"/>
      <c r="AU55" s="649"/>
      <c r="AV55" s="650"/>
      <c r="AW55" s="650"/>
      <c r="AX55" s="650"/>
      <c r="AY55" s="650"/>
      <c r="AZ55" s="650"/>
      <c r="BA55" s="236"/>
      <c r="BB55" s="236"/>
    </row>
    <row r="56" spans="1:54" x14ac:dyDescent="0.3">
      <c r="A56" s="236"/>
      <c r="B56" s="831" t="s">
        <v>224</v>
      </c>
      <c r="C56" s="832"/>
      <c r="D56" s="832"/>
      <c r="E56" s="832"/>
      <c r="F56" s="833"/>
      <c r="G56" s="541"/>
      <c r="H56" s="831" t="s">
        <v>225</v>
      </c>
      <c r="I56" s="832"/>
      <c r="J56" s="832"/>
      <c r="K56" s="832"/>
      <c r="L56" s="833"/>
      <c r="M56" s="541"/>
      <c r="N56" s="236"/>
      <c r="O56" s="236"/>
      <c r="P56" s="236"/>
      <c r="Q56" s="236"/>
      <c r="R56" s="236"/>
      <c r="S56" s="236"/>
      <c r="T56" s="236"/>
      <c r="U56" s="236"/>
      <c r="V56" s="49"/>
      <c r="W56" s="236"/>
      <c r="X56" s="236"/>
      <c r="Y56" s="236"/>
      <c r="Z56" s="236"/>
      <c r="AA56" s="236"/>
      <c r="AB56" s="236"/>
      <c r="AC56" s="522"/>
      <c r="AD56" s="236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831" t="s">
        <v>224</v>
      </c>
      <c r="AP56" s="832"/>
      <c r="AQ56" s="832"/>
      <c r="AR56" s="832"/>
      <c r="AS56" s="833"/>
      <c r="AT56" s="541"/>
      <c r="AU56" s="831" t="s">
        <v>225</v>
      </c>
      <c r="AV56" s="832"/>
      <c r="AW56" s="832"/>
      <c r="AX56" s="832"/>
      <c r="AY56" s="833"/>
      <c r="AZ56" s="541"/>
      <c r="BA56" s="236"/>
      <c r="BB56" s="236"/>
    </row>
    <row r="57" spans="1:54" x14ac:dyDescent="0.3">
      <c r="A57" s="236"/>
      <c r="B57" s="837"/>
      <c r="C57" s="838"/>
      <c r="D57" s="838"/>
      <c r="E57" s="838"/>
      <c r="F57" s="839"/>
      <c r="G57" s="542"/>
      <c r="H57" s="837"/>
      <c r="I57" s="838"/>
      <c r="J57" s="838"/>
      <c r="K57" s="838"/>
      <c r="L57" s="839"/>
      <c r="M57" s="542"/>
      <c r="N57" s="236"/>
      <c r="O57" s="236"/>
      <c r="P57" s="236"/>
      <c r="Q57" s="236"/>
      <c r="R57" s="236"/>
      <c r="S57" s="236"/>
      <c r="T57" s="236"/>
      <c r="U57" s="236"/>
      <c r="V57" s="49"/>
      <c r="W57" s="236"/>
      <c r="X57" s="236"/>
      <c r="Y57" s="236"/>
      <c r="Z57" s="236"/>
      <c r="AA57" s="236"/>
      <c r="AB57" s="236"/>
      <c r="AC57" s="522"/>
      <c r="AD57" s="236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837"/>
      <c r="AP57" s="838"/>
      <c r="AQ57" s="838"/>
      <c r="AR57" s="838"/>
      <c r="AS57" s="839"/>
      <c r="AT57" s="542"/>
      <c r="AU57" s="837"/>
      <c r="AV57" s="838"/>
      <c r="AW57" s="838"/>
      <c r="AX57" s="838"/>
      <c r="AY57" s="839"/>
      <c r="AZ57" s="542"/>
      <c r="BA57" s="236"/>
      <c r="BB57" s="236"/>
    </row>
    <row r="58" spans="1:54" x14ac:dyDescent="0.3">
      <c r="A58" s="236"/>
      <c r="B58" s="820" t="s">
        <v>226</v>
      </c>
      <c r="C58" s="830"/>
      <c r="D58" s="570">
        <f>C30</f>
        <v>0</v>
      </c>
      <c r="E58" s="573"/>
      <c r="F58" s="577" t="s">
        <v>543</v>
      </c>
      <c r="G58" s="545">
        <f>G30</f>
        <v>0</v>
      </c>
      <c r="H58" s="820" t="s">
        <v>226</v>
      </c>
      <c r="I58" s="830"/>
      <c r="J58" s="570">
        <f>I30</f>
        <v>0</v>
      </c>
      <c r="K58" s="573"/>
      <c r="L58" s="577" t="s">
        <v>543</v>
      </c>
      <c r="M58" s="545">
        <f>M30</f>
        <v>0</v>
      </c>
      <c r="N58" s="236"/>
      <c r="O58" s="236"/>
      <c r="P58" s="236"/>
      <c r="Q58" s="236"/>
      <c r="R58" s="236"/>
      <c r="S58" s="236"/>
      <c r="T58" s="236"/>
      <c r="U58" s="236"/>
      <c r="V58" s="49"/>
      <c r="W58" s="236"/>
      <c r="X58" s="236"/>
      <c r="Y58" s="236"/>
      <c r="Z58" s="236"/>
      <c r="AA58" s="236"/>
      <c r="AB58" s="236"/>
      <c r="AC58" s="522"/>
      <c r="AD58" s="236"/>
      <c r="AE58" s="236"/>
      <c r="AF58" s="236"/>
      <c r="AG58" s="236"/>
      <c r="AH58" s="236"/>
      <c r="AI58" s="236"/>
      <c r="AJ58" s="236"/>
      <c r="AK58" s="236"/>
      <c r="AL58" s="236"/>
      <c r="AM58" s="236"/>
      <c r="AN58" s="236"/>
      <c r="AO58" s="820" t="s">
        <v>226</v>
      </c>
      <c r="AP58" s="830"/>
      <c r="AQ58" s="570">
        <f>AP30</f>
        <v>0</v>
      </c>
      <c r="AR58" s="573"/>
      <c r="AS58" s="577" t="s">
        <v>543</v>
      </c>
      <c r="AT58" s="545">
        <f>AT30</f>
        <v>0</v>
      </c>
      <c r="AU58" s="820" t="s">
        <v>226</v>
      </c>
      <c r="AV58" s="830"/>
      <c r="AW58" s="570">
        <f>AV30</f>
        <v>0</v>
      </c>
      <c r="AX58" s="573"/>
      <c r="AY58" s="577" t="s">
        <v>543</v>
      </c>
      <c r="AZ58" s="545">
        <f>AZ30</f>
        <v>0</v>
      </c>
      <c r="BA58" s="236"/>
      <c r="BB58" s="236"/>
    </row>
    <row r="59" spans="1:54" ht="15" thickBot="1" x14ac:dyDescent="0.35">
      <c r="A59" s="236"/>
      <c r="B59" s="815" t="s">
        <v>227</v>
      </c>
      <c r="C59" s="816"/>
      <c r="D59" s="571">
        <f>D30</f>
        <v>0</v>
      </c>
      <c r="E59" s="574"/>
      <c r="F59" s="568"/>
      <c r="G59" s="579"/>
      <c r="H59" s="815" t="s">
        <v>227</v>
      </c>
      <c r="I59" s="816"/>
      <c r="J59" s="571">
        <f>J30</f>
        <v>0</v>
      </c>
      <c r="K59" s="574"/>
      <c r="L59" s="568"/>
      <c r="M59" s="579"/>
      <c r="N59" s="236"/>
      <c r="O59" s="236"/>
      <c r="P59" s="236"/>
      <c r="Q59" s="236"/>
      <c r="R59" s="236"/>
      <c r="S59" s="236"/>
      <c r="T59" s="236"/>
      <c r="U59" s="236"/>
      <c r="V59" s="49"/>
      <c r="W59" s="236"/>
      <c r="X59" s="236"/>
      <c r="Y59" s="236"/>
      <c r="Z59" s="236"/>
      <c r="AA59" s="236"/>
      <c r="AB59" s="236"/>
      <c r="AC59" s="522"/>
      <c r="AD59" s="236"/>
      <c r="AE59" s="236"/>
      <c r="AF59" s="236"/>
      <c r="AG59" s="236"/>
      <c r="AH59" s="236"/>
      <c r="AI59" s="236"/>
      <c r="AJ59" s="236"/>
      <c r="AK59" s="236"/>
      <c r="AL59" s="236"/>
      <c r="AM59" s="236"/>
      <c r="AN59" s="236"/>
      <c r="AO59" s="815" t="s">
        <v>227</v>
      </c>
      <c r="AP59" s="816"/>
      <c r="AQ59" s="571">
        <f>AQ30</f>
        <v>0</v>
      </c>
      <c r="AR59" s="574"/>
      <c r="AS59" s="568"/>
      <c r="AT59" s="579"/>
      <c r="AU59" s="815" t="s">
        <v>227</v>
      </c>
      <c r="AV59" s="816"/>
      <c r="AW59" s="571">
        <f>AW30</f>
        <v>0</v>
      </c>
      <c r="AX59" s="574"/>
      <c r="AY59" s="568"/>
      <c r="AZ59" s="579"/>
      <c r="BA59" s="236"/>
      <c r="BB59" s="236"/>
    </row>
    <row r="60" spans="1:54" x14ac:dyDescent="0.3">
      <c r="A60" s="236"/>
      <c r="B60" s="817" t="s">
        <v>334</v>
      </c>
      <c r="C60" s="819"/>
      <c r="D60" s="567">
        <f>E30</f>
        <v>0</v>
      </c>
      <c r="E60" s="575"/>
      <c r="F60" s="569"/>
      <c r="G60" s="580"/>
      <c r="H60" s="817" t="s">
        <v>334</v>
      </c>
      <c r="I60" s="819"/>
      <c r="J60" s="567">
        <f>K30</f>
        <v>0</v>
      </c>
      <c r="K60" s="575"/>
      <c r="L60" s="569"/>
      <c r="M60" s="580"/>
      <c r="N60" s="236"/>
      <c r="O60" s="236"/>
      <c r="P60" s="236"/>
      <c r="Q60" s="236"/>
      <c r="R60" s="236"/>
      <c r="S60" s="236"/>
      <c r="T60" s="236"/>
      <c r="U60" s="236"/>
      <c r="V60" s="49"/>
      <c r="W60" s="236"/>
      <c r="X60" s="236"/>
      <c r="Y60" s="236"/>
      <c r="Z60" s="236"/>
      <c r="AA60" s="236"/>
      <c r="AB60" s="236"/>
      <c r="AC60" s="522"/>
      <c r="AD60" s="236"/>
      <c r="AE60" s="236"/>
      <c r="AF60" s="236"/>
      <c r="AG60" s="236"/>
      <c r="AH60" s="236"/>
      <c r="AI60" s="236"/>
      <c r="AJ60" s="236"/>
      <c r="AK60" s="236"/>
      <c r="AL60" s="236"/>
      <c r="AM60" s="236"/>
      <c r="AN60" s="236"/>
      <c r="AO60" s="817" t="s">
        <v>334</v>
      </c>
      <c r="AP60" s="819"/>
      <c r="AQ60" s="567">
        <f>AR30</f>
        <v>0</v>
      </c>
      <c r="AR60" s="575"/>
      <c r="AS60" s="569"/>
      <c r="AT60" s="580"/>
      <c r="AU60" s="817" t="s">
        <v>334</v>
      </c>
      <c r="AV60" s="819"/>
      <c r="AW60" s="567">
        <f>AX30</f>
        <v>0</v>
      </c>
      <c r="AX60" s="575"/>
      <c r="AY60" s="569"/>
      <c r="AZ60" s="580"/>
      <c r="BA60" s="236"/>
      <c r="BB60" s="236"/>
    </row>
    <row r="61" spans="1:54" ht="15" thickBot="1" x14ac:dyDescent="0.35">
      <c r="A61" s="236"/>
      <c r="B61" s="815" t="s">
        <v>335</v>
      </c>
      <c r="C61" s="816"/>
      <c r="D61" s="572">
        <f>F30</f>
        <v>0</v>
      </c>
      <c r="E61" s="576"/>
      <c r="F61" s="569"/>
      <c r="G61" s="580"/>
      <c r="H61" s="815" t="s">
        <v>335</v>
      </c>
      <c r="I61" s="816"/>
      <c r="J61" s="572">
        <f>L30</f>
        <v>0</v>
      </c>
      <c r="K61" s="576"/>
      <c r="L61" s="569"/>
      <c r="M61" s="580"/>
      <c r="N61" s="236"/>
      <c r="O61" s="236"/>
      <c r="P61" s="236"/>
      <c r="Q61" s="236"/>
      <c r="R61" s="236"/>
      <c r="S61" s="236"/>
      <c r="T61" s="236"/>
      <c r="U61" s="236"/>
      <c r="V61" s="49"/>
      <c r="W61" s="236"/>
      <c r="X61" s="236"/>
      <c r="Y61" s="236"/>
      <c r="Z61" s="236"/>
      <c r="AA61" s="236"/>
      <c r="AB61" s="236"/>
      <c r="AC61" s="522"/>
      <c r="AD61" s="236"/>
      <c r="AE61" s="236"/>
      <c r="AF61" s="236"/>
      <c r="AG61" s="236"/>
      <c r="AH61" s="236"/>
      <c r="AI61" s="236"/>
      <c r="AJ61" s="236"/>
      <c r="AK61" s="236"/>
      <c r="AL61" s="236"/>
      <c r="AM61" s="236"/>
      <c r="AN61" s="236"/>
      <c r="AO61" s="815" t="s">
        <v>335</v>
      </c>
      <c r="AP61" s="816"/>
      <c r="AQ61" s="572">
        <f>AS30</f>
        <v>0</v>
      </c>
      <c r="AR61" s="576"/>
      <c r="AS61" s="569"/>
      <c r="AT61" s="580"/>
      <c r="AU61" s="815" t="s">
        <v>335</v>
      </c>
      <c r="AV61" s="816"/>
      <c r="AW61" s="572">
        <f>AY30</f>
        <v>0</v>
      </c>
      <c r="AX61" s="576"/>
      <c r="AY61" s="569"/>
      <c r="AZ61" s="580"/>
      <c r="BA61" s="236"/>
      <c r="BB61" s="236"/>
    </row>
    <row r="62" spans="1:54" x14ac:dyDescent="0.3">
      <c r="A62" s="236"/>
      <c r="B62" s="817" t="s">
        <v>221</v>
      </c>
      <c r="C62" s="818"/>
      <c r="D62" s="851">
        <f>SUM(D58:D61,G58:G61)</f>
        <v>0</v>
      </c>
      <c r="E62" s="851"/>
      <c r="F62" s="851"/>
      <c r="G62" s="852"/>
      <c r="H62" s="817" t="s">
        <v>221</v>
      </c>
      <c r="I62" s="818"/>
      <c r="J62" s="851">
        <f>SUM(J58:J61,M58:M61)</f>
        <v>0</v>
      </c>
      <c r="K62" s="851"/>
      <c r="L62" s="851"/>
      <c r="M62" s="852"/>
      <c r="N62" s="236"/>
      <c r="O62" s="236"/>
      <c r="P62" s="236"/>
      <c r="Q62" s="236"/>
      <c r="R62" s="236"/>
      <c r="S62" s="236"/>
      <c r="T62" s="236"/>
      <c r="U62" s="236"/>
      <c r="V62" s="49"/>
      <c r="W62" s="236"/>
      <c r="X62" s="236"/>
      <c r="Y62" s="236"/>
      <c r="Z62" s="236"/>
      <c r="AA62" s="236"/>
      <c r="AB62" s="236"/>
      <c r="AC62" s="522"/>
      <c r="AD62" s="236"/>
      <c r="AE62" s="236"/>
      <c r="AF62" s="236"/>
      <c r="AG62" s="236"/>
      <c r="AH62" s="236"/>
      <c r="AI62" s="236"/>
      <c r="AJ62" s="236"/>
      <c r="AK62" s="236"/>
      <c r="AL62" s="236"/>
      <c r="AM62" s="236"/>
      <c r="AN62" s="236"/>
      <c r="AO62" s="817" t="s">
        <v>221</v>
      </c>
      <c r="AP62" s="818"/>
      <c r="AQ62" s="851">
        <f>SUM(AQ58:AQ61,AT58:AT61)</f>
        <v>0</v>
      </c>
      <c r="AR62" s="851"/>
      <c r="AS62" s="851"/>
      <c r="AT62" s="852"/>
      <c r="AU62" s="817" t="s">
        <v>221</v>
      </c>
      <c r="AV62" s="818"/>
      <c r="AW62" s="851">
        <f>SUM(AW58:AW61,AZ58:AZ61)</f>
        <v>0</v>
      </c>
      <c r="AX62" s="851"/>
      <c r="AY62" s="851"/>
      <c r="AZ62" s="852"/>
      <c r="BA62" s="236"/>
      <c r="BB62" s="236"/>
    </row>
    <row r="63" spans="1:54" x14ac:dyDescent="0.3">
      <c r="A63" s="236"/>
      <c r="B63" s="842"/>
      <c r="C63" s="843"/>
      <c r="D63" s="858"/>
      <c r="E63" s="858"/>
      <c r="F63" s="858"/>
      <c r="G63" s="859"/>
      <c r="H63" s="842"/>
      <c r="I63" s="843"/>
      <c r="J63" s="858"/>
      <c r="K63" s="858"/>
      <c r="L63" s="858"/>
      <c r="M63" s="859"/>
      <c r="N63" s="236"/>
      <c r="O63" s="236"/>
      <c r="P63" s="236"/>
      <c r="Q63" s="236"/>
      <c r="R63" s="236"/>
      <c r="S63" s="236"/>
      <c r="T63" s="236"/>
      <c r="U63" s="236"/>
      <c r="V63" s="49"/>
      <c r="W63" s="236"/>
      <c r="X63" s="236"/>
      <c r="Y63" s="236"/>
      <c r="Z63" s="236"/>
      <c r="AA63" s="236"/>
      <c r="AB63" s="236"/>
      <c r="AC63" s="522"/>
      <c r="AD63" s="236"/>
      <c r="AE63" s="236"/>
      <c r="AF63" s="236"/>
      <c r="AG63" s="236"/>
      <c r="AH63" s="236"/>
      <c r="AI63" s="236"/>
      <c r="AJ63" s="236"/>
      <c r="AK63" s="236"/>
      <c r="AL63" s="236"/>
      <c r="AM63" s="236"/>
      <c r="AN63" s="236"/>
      <c r="AO63" s="842"/>
      <c r="AP63" s="843"/>
      <c r="AQ63" s="858"/>
      <c r="AR63" s="858"/>
      <c r="AS63" s="858"/>
      <c r="AT63" s="859"/>
      <c r="AU63" s="842"/>
      <c r="AV63" s="843"/>
      <c r="AW63" s="858"/>
      <c r="AX63" s="858"/>
      <c r="AY63" s="858"/>
      <c r="AZ63" s="859"/>
      <c r="BA63" s="236"/>
      <c r="BB63" s="236"/>
    </row>
    <row r="64" spans="1:54" x14ac:dyDescent="0.3">
      <c r="A64" s="236"/>
      <c r="B64" s="645"/>
      <c r="C64" s="646"/>
      <c r="D64" s="646"/>
      <c r="E64" s="646"/>
      <c r="F64" s="646"/>
      <c r="G64" s="646"/>
      <c r="H64" s="645"/>
      <c r="I64" s="646"/>
      <c r="J64" s="646"/>
      <c r="K64" s="646"/>
      <c r="L64" s="646"/>
      <c r="M64" s="646"/>
      <c r="N64" s="236"/>
      <c r="O64" s="236"/>
      <c r="P64" s="236"/>
      <c r="Q64" s="236"/>
      <c r="R64" s="236"/>
      <c r="S64" s="236"/>
      <c r="T64" s="236"/>
      <c r="U64" s="236"/>
      <c r="V64" s="49"/>
      <c r="W64" s="236"/>
      <c r="X64" s="236"/>
      <c r="Y64" s="236"/>
      <c r="Z64" s="236"/>
      <c r="AA64" s="236"/>
      <c r="AB64" s="236"/>
      <c r="AC64" s="522"/>
      <c r="AD64" s="236"/>
      <c r="AE64" s="236"/>
      <c r="AF64" s="236"/>
      <c r="AG64" s="236"/>
      <c r="AH64" s="236"/>
      <c r="AI64" s="236"/>
      <c r="AJ64" s="236"/>
      <c r="AK64" s="236"/>
      <c r="AL64" s="236"/>
      <c r="AM64" s="236"/>
      <c r="AN64" s="236"/>
      <c r="AO64" s="645"/>
      <c r="AP64" s="646"/>
      <c r="AQ64" s="646"/>
      <c r="AR64" s="646"/>
      <c r="AS64" s="646"/>
      <c r="AT64" s="646"/>
      <c r="AU64" s="645"/>
      <c r="AV64" s="646"/>
      <c r="AW64" s="646"/>
      <c r="AX64" s="646"/>
      <c r="AY64" s="646"/>
      <c r="AZ64" s="646"/>
      <c r="BA64" s="236"/>
      <c r="BB64" s="236"/>
    </row>
    <row r="65" spans="1:54" x14ac:dyDescent="0.3">
      <c r="A65" s="236"/>
      <c r="B65" s="855" t="s">
        <v>228</v>
      </c>
      <c r="C65" s="856"/>
      <c r="D65" s="564">
        <f>C54</f>
        <v>0</v>
      </c>
      <c r="E65" s="569"/>
      <c r="F65" s="577" t="s">
        <v>544</v>
      </c>
      <c r="G65" s="545">
        <f>G54</f>
        <v>0</v>
      </c>
      <c r="H65" s="855" t="s">
        <v>228</v>
      </c>
      <c r="I65" s="856"/>
      <c r="J65" s="564">
        <f>I54</f>
        <v>0</v>
      </c>
      <c r="K65" s="569"/>
      <c r="L65" s="577" t="s">
        <v>544</v>
      </c>
      <c r="M65" s="545">
        <f>M54</f>
        <v>0</v>
      </c>
      <c r="N65" s="236"/>
      <c r="O65" s="236"/>
      <c r="P65" s="236"/>
      <c r="Q65" s="236"/>
      <c r="R65" s="236"/>
      <c r="S65" s="236"/>
      <c r="T65" s="236"/>
      <c r="U65" s="236"/>
      <c r="V65" s="49"/>
      <c r="W65" s="236"/>
      <c r="X65" s="236"/>
      <c r="Y65" s="236"/>
      <c r="Z65" s="236"/>
      <c r="AA65" s="236"/>
      <c r="AB65" s="236"/>
      <c r="AC65" s="522"/>
      <c r="AD65" s="236"/>
      <c r="AE65" s="236"/>
      <c r="AF65" s="236"/>
      <c r="AG65" s="236"/>
      <c r="AH65" s="236"/>
      <c r="AI65" s="236"/>
      <c r="AJ65" s="236"/>
      <c r="AK65" s="236"/>
      <c r="AL65" s="236"/>
      <c r="AM65" s="236"/>
      <c r="AN65" s="236"/>
      <c r="AO65" s="855" t="s">
        <v>228</v>
      </c>
      <c r="AP65" s="856"/>
      <c r="AQ65" s="564">
        <f>AP54</f>
        <v>0</v>
      </c>
      <c r="AR65" s="569"/>
      <c r="AS65" s="577" t="s">
        <v>544</v>
      </c>
      <c r="AT65" s="545">
        <f>AT54</f>
        <v>0</v>
      </c>
      <c r="AU65" s="855" t="s">
        <v>228</v>
      </c>
      <c r="AV65" s="856"/>
      <c r="AW65" s="564">
        <f>AV54</f>
        <v>0</v>
      </c>
      <c r="AX65" s="569"/>
      <c r="AY65" s="577" t="s">
        <v>544</v>
      </c>
      <c r="AZ65" s="545">
        <f>AZ54</f>
        <v>0</v>
      </c>
      <c r="BA65" s="236"/>
      <c r="BB65" s="236"/>
    </row>
    <row r="66" spans="1:54" ht="15" thickBot="1" x14ac:dyDescent="0.35">
      <c r="A66" s="236"/>
      <c r="B66" s="289" t="s">
        <v>229</v>
      </c>
      <c r="C66" s="290"/>
      <c r="D66" s="566">
        <f>D54</f>
        <v>0</v>
      </c>
      <c r="E66" s="569"/>
      <c r="F66" s="569"/>
      <c r="G66" s="578"/>
      <c r="H66" s="289" t="s">
        <v>229</v>
      </c>
      <c r="I66" s="290"/>
      <c r="J66" s="566">
        <f>J54</f>
        <v>0</v>
      </c>
      <c r="K66" s="569"/>
      <c r="L66" s="569"/>
      <c r="M66" s="578"/>
      <c r="N66" s="236"/>
      <c r="O66" s="236"/>
      <c r="P66" s="236"/>
      <c r="Q66" s="236"/>
      <c r="R66" s="236"/>
      <c r="S66" s="236"/>
      <c r="T66" s="236"/>
      <c r="U66" s="236"/>
      <c r="V66" s="49"/>
      <c r="W66" s="236"/>
      <c r="X66" s="236"/>
      <c r="Y66" s="236"/>
      <c r="Z66" s="236"/>
      <c r="AA66" s="236"/>
      <c r="AB66" s="236"/>
      <c r="AC66" s="522"/>
      <c r="AD66" s="236"/>
      <c r="AE66" s="236"/>
      <c r="AF66" s="236"/>
      <c r="AG66" s="236"/>
      <c r="AH66" s="236"/>
      <c r="AI66" s="236"/>
      <c r="AJ66" s="236"/>
      <c r="AK66" s="236"/>
      <c r="AL66" s="236"/>
      <c r="AM66" s="236"/>
      <c r="AN66" s="236"/>
      <c r="AO66" s="289" t="s">
        <v>229</v>
      </c>
      <c r="AP66" s="290"/>
      <c r="AQ66" s="566">
        <f>AQ54</f>
        <v>0</v>
      </c>
      <c r="AR66" s="569"/>
      <c r="AS66" s="569"/>
      <c r="AT66" s="578"/>
      <c r="AU66" s="289" t="s">
        <v>229</v>
      </c>
      <c r="AV66" s="290"/>
      <c r="AW66" s="566">
        <f>AW54</f>
        <v>0</v>
      </c>
      <c r="AX66" s="569"/>
      <c r="AY66" s="569"/>
      <c r="AZ66" s="578"/>
      <c r="BA66" s="236"/>
      <c r="BB66" s="236"/>
    </row>
    <row r="67" spans="1:54" x14ac:dyDescent="0.3">
      <c r="A67" s="236"/>
      <c r="B67" s="817" t="s">
        <v>384</v>
      </c>
      <c r="C67" s="819"/>
      <c r="D67" s="564">
        <f>E54</f>
        <v>0</v>
      </c>
      <c r="E67" s="569"/>
      <c r="F67" s="569"/>
      <c r="G67" s="578"/>
      <c r="H67" s="817" t="s">
        <v>384</v>
      </c>
      <c r="I67" s="819"/>
      <c r="J67" s="564">
        <f>K54</f>
        <v>0</v>
      </c>
      <c r="K67" s="569"/>
      <c r="L67" s="569"/>
      <c r="M67" s="578"/>
      <c r="N67" s="236"/>
      <c r="O67" s="236"/>
      <c r="P67" s="236"/>
      <c r="Q67" s="236"/>
      <c r="R67" s="236"/>
      <c r="S67" s="236"/>
      <c r="T67" s="236"/>
      <c r="U67" s="236"/>
      <c r="V67" s="49"/>
      <c r="W67" s="236"/>
      <c r="X67" s="236"/>
      <c r="Y67" s="236"/>
      <c r="Z67" s="236"/>
      <c r="AA67" s="236"/>
      <c r="AB67" s="236"/>
      <c r="AC67" s="522"/>
      <c r="AD67" s="236"/>
      <c r="AE67" s="236"/>
      <c r="AF67" s="236"/>
      <c r="AG67" s="236"/>
      <c r="AH67" s="236"/>
      <c r="AI67" s="236"/>
      <c r="AJ67" s="236"/>
      <c r="AK67" s="236"/>
      <c r="AL67" s="236"/>
      <c r="AM67" s="236"/>
      <c r="AN67" s="236"/>
      <c r="AO67" s="817" t="s">
        <v>384</v>
      </c>
      <c r="AP67" s="819"/>
      <c r="AQ67" s="564">
        <f>AR54</f>
        <v>0</v>
      </c>
      <c r="AR67" s="569"/>
      <c r="AS67" s="569"/>
      <c r="AT67" s="578"/>
      <c r="AU67" s="817" t="s">
        <v>384</v>
      </c>
      <c r="AV67" s="819"/>
      <c r="AW67" s="564">
        <f>AX54</f>
        <v>0</v>
      </c>
      <c r="AX67" s="569"/>
      <c r="AY67" s="569"/>
      <c r="AZ67" s="578"/>
      <c r="BA67" s="236"/>
      <c r="BB67" s="236"/>
    </row>
    <row r="68" spans="1:54" x14ac:dyDescent="0.3">
      <c r="A68" s="236"/>
      <c r="B68" s="853" t="s">
        <v>385</v>
      </c>
      <c r="C68" s="854"/>
      <c r="D68" s="565">
        <f>F54</f>
        <v>0</v>
      </c>
      <c r="E68" s="569"/>
      <c r="F68" s="569"/>
      <c r="G68" s="578"/>
      <c r="H68" s="853" t="s">
        <v>385</v>
      </c>
      <c r="I68" s="854"/>
      <c r="J68" s="565">
        <f>L54</f>
        <v>0</v>
      </c>
      <c r="K68" s="569"/>
      <c r="L68" s="569"/>
      <c r="M68" s="578"/>
      <c r="N68" s="236"/>
      <c r="O68" s="236"/>
      <c r="P68" s="236"/>
      <c r="Q68" s="236"/>
      <c r="R68" s="236"/>
      <c r="S68" s="236"/>
      <c r="T68" s="236"/>
      <c r="U68" s="236"/>
      <c r="V68" s="49"/>
      <c r="W68" s="236"/>
      <c r="X68" s="236"/>
      <c r="Y68" s="236"/>
      <c r="Z68" s="236"/>
      <c r="AA68" s="236"/>
      <c r="AB68" s="236"/>
      <c r="AC68" s="522"/>
      <c r="AD68" s="236"/>
      <c r="AE68" s="236"/>
      <c r="AF68" s="236"/>
      <c r="AG68" s="236"/>
      <c r="AH68" s="236"/>
      <c r="AI68" s="236"/>
      <c r="AJ68" s="236"/>
      <c r="AK68" s="236"/>
      <c r="AL68" s="236"/>
      <c r="AM68" s="236"/>
      <c r="AN68" s="236"/>
      <c r="AO68" s="853" t="s">
        <v>385</v>
      </c>
      <c r="AP68" s="854"/>
      <c r="AQ68" s="565">
        <f>AS54</f>
        <v>0</v>
      </c>
      <c r="AR68" s="569"/>
      <c r="AS68" s="569"/>
      <c r="AT68" s="578"/>
      <c r="AU68" s="853" t="s">
        <v>385</v>
      </c>
      <c r="AV68" s="854"/>
      <c r="AW68" s="565">
        <f>AY54</f>
        <v>0</v>
      </c>
      <c r="AX68" s="569"/>
      <c r="AY68" s="569"/>
      <c r="AZ68" s="578"/>
      <c r="BA68" s="236"/>
      <c r="BB68" s="236"/>
    </row>
    <row r="69" spans="1:54" x14ac:dyDescent="0.3">
      <c r="A69" s="236"/>
      <c r="B69" s="291" t="s">
        <v>221</v>
      </c>
      <c r="C69" s="291"/>
      <c r="D69" s="850">
        <f>SUM(D65:D68,G65:G68)</f>
        <v>0</v>
      </c>
      <c r="E69" s="851"/>
      <c r="F69" s="851"/>
      <c r="G69" s="852"/>
      <c r="H69" s="291" t="s">
        <v>221</v>
      </c>
      <c r="I69" s="291"/>
      <c r="J69" s="850">
        <f>SUM(J65:J68,M65:M68)</f>
        <v>0</v>
      </c>
      <c r="K69" s="851"/>
      <c r="L69" s="851"/>
      <c r="M69" s="852"/>
      <c r="N69" s="236"/>
      <c r="O69" s="236"/>
      <c r="P69" s="236"/>
      <c r="Q69" s="236"/>
      <c r="R69" s="236"/>
      <c r="S69" s="236"/>
      <c r="T69" s="236"/>
      <c r="U69" s="236"/>
      <c r="V69" s="49"/>
      <c r="W69" s="236"/>
      <c r="X69" s="236"/>
      <c r="Y69" s="236"/>
      <c r="Z69" s="236"/>
      <c r="AA69" s="236"/>
      <c r="AB69" s="236"/>
      <c r="AC69" s="522"/>
      <c r="AD69" s="236"/>
      <c r="AE69" s="236"/>
      <c r="AF69" s="236"/>
      <c r="AG69" s="236"/>
      <c r="AH69" s="236"/>
      <c r="AI69" s="236"/>
      <c r="AJ69" s="236"/>
      <c r="AK69" s="236"/>
      <c r="AL69" s="236"/>
      <c r="AM69" s="236"/>
      <c r="AN69" s="236"/>
      <c r="AO69" s="291" t="s">
        <v>221</v>
      </c>
      <c r="AP69" s="291"/>
      <c r="AQ69" s="850">
        <f>SUM(AQ65:AQ68,AT65:AT68)</f>
        <v>0</v>
      </c>
      <c r="AR69" s="851"/>
      <c r="AS69" s="851"/>
      <c r="AT69" s="852"/>
      <c r="AU69" s="291" t="s">
        <v>221</v>
      </c>
      <c r="AV69" s="291"/>
      <c r="AW69" s="850">
        <f>SUM(AW65:AW68,AZ65:AZ68)</f>
        <v>0</v>
      </c>
      <c r="AX69" s="851"/>
      <c r="AY69" s="851"/>
      <c r="AZ69" s="852"/>
      <c r="BA69" s="236"/>
      <c r="BB69" s="236"/>
    </row>
    <row r="70" spans="1:54" x14ac:dyDescent="0.3">
      <c r="A70" s="236"/>
      <c r="B70" s="294" t="s">
        <v>253</v>
      </c>
      <c r="C70" s="294"/>
      <c r="D70" s="857"/>
      <c r="E70" s="858"/>
      <c r="F70" s="858"/>
      <c r="G70" s="859"/>
      <c r="H70" s="294" t="s">
        <v>253</v>
      </c>
      <c r="I70" s="294"/>
      <c r="J70" s="857"/>
      <c r="K70" s="858"/>
      <c r="L70" s="858"/>
      <c r="M70" s="859"/>
      <c r="N70" s="236"/>
      <c r="O70" s="236"/>
      <c r="P70" s="236"/>
      <c r="Q70" s="236"/>
      <c r="R70" s="236"/>
      <c r="S70" s="236"/>
      <c r="T70" s="236"/>
      <c r="U70" s="236"/>
      <c r="V70" s="49"/>
      <c r="W70" s="236"/>
      <c r="X70" s="236"/>
      <c r="Y70" s="236"/>
      <c r="Z70" s="236"/>
      <c r="AA70" s="236"/>
      <c r="AB70" s="236"/>
      <c r="AC70" s="522"/>
      <c r="AD70" s="236"/>
      <c r="AE70" s="236"/>
      <c r="AF70" s="236"/>
      <c r="AG70" s="236"/>
      <c r="AH70" s="236"/>
      <c r="AI70" s="236"/>
      <c r="AJ70" s="236"/>
      <c r="AK70" s="236"/>
      <c r="AL70" s="236"/>
      <c r="AM70" s="236"/>
      <c r="AN70" s="236"/>
      <c r="AO70" s="294" t="s">
        <v>253</v>
      </c>
      <c r="AP70" s="294"/>
      <c r="AQ70" s="857"/>
      <c r="AR70" s="858"/>
      <c r="AS70" s="858"/>
      <c r="AT70" s="859"/>
      <c r="AU70" s="294" t="s">
        <v>253</v>
      </c>
      <c r="AV70" s="294"/>
      <c r="AW70" s="857"/>
      <c r="AX70" s="858"/>
      <c r="AY70" s="858"/>
      <c r="AZ70" s="859"/>
      <c r="BA70" s="236"/>
      <c r="BB70" s="236"/>
    </row>
    <row r="71" spans="1:54" x14ac:dyDescent="0.3">
      <c r="A71" s="236"/>
      <c r="B71" s="647"/>
      <c r="C71" s="648"/>
      <c r="D71" s="648"/>
      <c r="E71" s="648"/>
      <c r="F71" s="648"/>
      <c r="G71" s="648"/>
      <c r="H71" s="647"/>
      <c r="I71" s="648"/>
      <c r="J71" s="648"/>
      <c r="K71" s="648"/>
      <c r="L71" s="648"/>
      <c r="M71" s="648"/>
      <c r="N71" s="236"/>
      <c r="O71" s="236"/>
      <c r="P71" s="236"/>
      <c r="Q71" s="236"/>
      <c r="R71" s="236"/>
      <c r="S71" s="236"/>
      <c r="T71" s="236"/>
      <c r="U71" s="236"/>
      <c r="V71" s="49"/>
      <c r="W71" s="236"/>
      <c r="X71" s="236"/>
      <c r="Y71" s="236"/>
      <c r="Z71" s="236"/>
      <c r="AA71" s="236"/>
      <c r="AB71" s="236"/>
      <c r="AC71" s="522"/>
      <c r="AD71" s="236"/>
      <c r="AE71" s="236"/>
      <c r="AF71" s="236"/>
      <c r="AG71" s="236"/>
      <c r="AH71" s="236"/>
      <c r="AI71" s="236"/>
      <c r="AJ71" s="236"/>
      <c r="AK71" s="236"/>
      <c r="AL71" s="236"/>
      <c r="AM71" s="236"/>
      <c r="AN71" s="236"/>
      <c r="AO71" s="647"/>
      <c r="AP71" s="648"/>
      <c r="AQ71" s="648"/>
      <c r="AR71" s="648"/>
      <c r="AS71" s="648"/>
      <c r="AT71" s="648"/>
      <c r="AU71" s="647"/>
      <c r="AV71" s="648"/>
      <c r="AW71" s="648"/>
      <c r="AX71" s="648"/>
      <c r="AY71" s="648"/>
      <c r="AZ71" s="648"/>
      <c r="BA71" s="236"/>
      <c r="BB71" s="236"/>
    </row>
    <row r="72" spans="1:54" x14ac:dyDescent="0.3">
      <c r="A72" s="236"/>
      <c r="B72" s="291" t="s">
        <v>230</v>
      </c>
      <c r="C72" s="291"/>
      <c r="D72" s="850">
        <f>SUM(D62,D69)</f>
        <v>0</v>
      </c>
      <c r="E72" s="851"/>
      <c r="F72" s="851"/>
      <c r="G72" s="852"/>
      <c r="H72" s="291" t="s">
        <v>230</v>
      </c>
      <c r="I72" s="291"/>
      <c r="J72" s="850">
        <f>SUM(J62,J69)</f>
        <v>0</v>
      </c>
      <c r="K72" s="851"/>
      <c r="L72" s="851"/>
      <c r="M72" s="852"/>
      <c r="N72" s="236"/>
      <c r="O72" s="236"/>
      <c r="P72" s="236"/>
      <c r="Q72" s="236"/>
      <c r="R72" s="236"/>
      <c r="S72" s="236"/>
      <c r="T72" s="236"/>
      <c r="U72" s="236"/>
      <c r="V72" s="49"/>
      <c r="W72" s="236"/>
      <c r="X72" s="236"/>
      <c r="Y72" s="236"/>
      <c r="Z72" s="236"/>
      <c r="AA72" s="236"/>
      <c r="AB72" s="236"/>
      <c r="AC72" s="522"/>
      <c r="AD72" s="236"/>
      <c r="AE72" s="236"/>
      <c r="AF72" s="236"/>
      <c r="AG72" s="236"/>
      <c r="AH72" s="236"/>
      <c r="AI72" s="236"/>
      <c r="AJ72" s="236"/>
      <c r="AK72" s="236"/>
      <c r="AL72" s="236"/>
      <c r="AM72" s="236"/>
      <c r="AN72" s="236"/>
      <c r="AO72" s="291" t="s">
        <v>230</v>
      </c>
      <c r="AP72" s="291"/>
      <c r="AQ72" s="850">
        <f>SUM(AQ62,AQ69)</f>
        <v>0</v>
      </c>
      <c r="AR72" s="851"/>
      <c r="AS72" s="851"/>
      <c r="AT72" s="852"/>
      <c r="AU72" s="291" t="s">
        <v>230</v>
      </c>
      <c r="AV72" s="291"/>
      <c r="AW72" s="850">
        <f>SUM(AW62,AW69)</f>
        <v>0</v>
      </c>
      <c r="AX72" s="851"/>
      <c r="AY72" s="851"/>
      <c r="AZ72" s="852"/>
      <c r="BA72" s="236"/>
      <c r="BB72" s="236"/>
    </row>
    <row r="73" spans="1:54" x14ac:dyDescent="0.3">
      <c r="A73" s="236"/>
      <c r="B73" s="294" t="s">
        <v>562</v>
      </c>
      <c r="C73" s="294"/>
      <c r="D73" s="847">
        <f>IF(D72&gt;J72,D72,J72)</f>
        <v>0</v>
      </c>
      <c r="E73" s="848"/>
      <c r="F73" s="848"/>
      <c r="G73" s="849"/>
      <c r="H73" s="294"/>
      <c r="I73" s="294"/>
      <c r="J73" s="847"/>
      <c r="K73" s="848"/>
      <c r="L73" s="848"/>
      <c r="M73" s="849"/>
      <c r="N73" s="236"/>
      <c r="O73" s="236"/>
      <c r="P73" s="236"/>
      <c r="Q73" s="236"/>
      <c r="R73" s="236"/>
      <c r="S73" s="236"/>
      <c r="T73" s="236"/>
      <c r="U73" s="236"/>
      <c r="V73" s="49"/>
      <c r="W73" s="236"/>
      <c r="X73" s="236"/>
      <c r="Y73" s="236"/>
      <c r="Z73" s="236"/>
      <c r="AA73" s="236"/>
      <c r="AB73" s="236"/>
      <c r="AC73" s="522"/>
      <c r="AD73" s="236"/>
      <c r="AE73" s="236"/>
      <c r="AF73" s="236"/>
      <c r="AG73" s="236"/>
      <c r="AH73" s="236"/>
      <c r="AI73" s="236"/>
      <c r="AJ73" s="236"/>
      <c r="AK73" s="236"/>
      <c r="AL73" s="236"/>
      <c r="AM73" s="236"/>
      <c r="AN73" s="236"/>
      <c r="AO73" s="294" t="s">
        <v>562</v>
      </c>
      <c r="AP73" s="294"/>
      <c r="AQ73" s="847">
        <f>IF(AQ72&gt;AW72,AQ72,AW72)</f>
        <v>0</v>
      </c>
      <c r="AR73" s="848"/>
      <c r="AS73" s="848"/>
      <c r="AT73" s="849"/>
      <c r="AU73" s="294"/>
      <c r="AV73" s="294"/>
      <c r="AW73" s="847"/>
      <c r="AX73" s="848"/>
      <c r="AY73" s="848"/>
      <c r="AZ73" s="849"/>
      <c r="BA73" s="236"/>
      <c r="BB73" s="236"/>
    </row>
    <row r="74" spans="1:54" x14ac:dyDescent="0.3">
      <c r="A74" s="236"/>
      <c r="B74" s="291" t="s">
        <v>205</v>
      </c>
      <c r="C74" s="291"/>
      <c r="D74" s="844">
        <f>IF(D72&gt;=J72,D72+J69+J62,J72+D69+D62)</f>
        <v>0</v>
      </c>
      <c r="E74" s="845"/>
      <c r="F74" s="845"/>
      <c r="G74" s="846"/>
      <c r="H74" s="291"/>
      <c r="I74" s="291"/>
      <c r="J74" s="844"/>
      <c r="K74" s="845"/>
      <c r="L74" s="845"/>
      <c r="M74" s="846"/>
      <c r="N74" s="236"/>
      <c r="O74" s="236"/>
      <c r="P74" s="236"/>
      <c r="Q74" s="236"/>
      <c r="R74" s="236"/>
      <c r="S74" s="236"/>
      <c r="T74" s="236"/>
      <c r="U74" s="236"/>
      <c r="V74" s="49"/>
      <c r="W74" s="236"/>
      <c r="X74" s="236"/>
      <c r="Y74" s="236"/>
      <c r="Z74" s="236"/>
      <c r="AA74" s="236"/>
      <c r="AB74" s="236"/>
      <c r="AC74" s="522"/>
      <c r="AD74" s="236"/>
      <c r="AE74" s="236"/>
      <c r="AF74" s="236"/>
      <c r="AG74" s="236"/>
      <c r="AH74" s="236"/>
      <c r="AI74" s="236"/>
      <c r="AJ74" s="236"/>
      <c r="AK74" s="236"/>
      <c r="AL74" s="236"/>
      <c r="AM74" s="236"/>
      <c r="AN74" s="236"/>
      <c r="AO74" s="291" t="s">
        <v>205</v>
      </c>
      <c r="AP74" s="291"/>
      <c r="AQ74" s="844">
        <f>IF(AQ72&gt;=AW72,AQ72+AW69+AW62,AW72+AQ69+AQ62)</f>
        <v>0</v>
      </c>
      <c r="AR74" s="845"/>
      <c r="AS74" s="845"/>
      <c r="AT74" s="846"/>
      <c r="AU74" s="291"/>
      <c r="AV74" s="291"/>
      <c r="AW74" s="844"/>
      <c r="AX74" s="845"/>
      <c r="AY74" s="845"/>
      <c r="AZ74" s="846"/>
      <c r="BA74" s="236"/>
      <c r="BB74" s="236"/>
    </row>
    <row r="75" spans="1:54" x14ac:dyDescent="0.3">
      <c r="A75" s="236"/>
      <c r="B75" s="809" t="s">
        <v>405</v>
      </c>
      <c r="C75" s="809"/>
      <c r="D75" s="809"/>
      <c r="E75" s="809"/>
      <c r="F75" s="809"/>
      <c r="G75" s="809"/>
      <c r="H75" s="860">
        <f>SUM(Q4:U47,W4:AA47)*208/1000</f>
        <v>0</v>
      </c>
      <c r="I75" s="865"/>
      <c r="J75" s="865"/>
      <c r="K75" s="865"/>
      <c r="L75" s="865"/>
      <c r="M75" s="865"/>
      <c r="N75" s="236"/>
      <c r="O75" s="236"/>
      <c r="P75" s="236"/>
      <c r="Q75" s="236"/>
      <c r="R75" s="236"/>
      <c r="S75" s="236"/>
      <c r="T75" s="236"/>
      <c r="U75" s="236"/>
      <c r="V75" s="49"/>
      <c r="W75" s="236"/>
      <c r="X75" s="236"/>
      <c r="Y75" s="236"/>
      <c r="Z75" s="236"/>
      <c r="AA75" s="236"/>
      <c r="AB75" s="236"/>
      <c r="AC75" s="522"/>
      <c r="AD75" s="236"/>
      <c r="AE75" s="236"/>
      <c r="AF75" s="236"/>
      <c r="AG75" s="236"/>
      <c r="AH75" s="236"/>
      <c r="AI75" s="236"/>
      <c r="AJ75" s="236"/>
      <c r="AK75" s="236"/>
      <c r="AL75" s="236"/>
      <c r="AM75" s="236"/>
      <c r="AN75" s="236"/>
      <c r="AO75" s="809" t="s">
        <v>405</v>
      </c>
      <c r="AP75" s="809"/>
      <c r="AQ75" s="809"/>
      <c r="AR75" s="809"/>
      <c r="AS75" s="809"/>
      <c r="AT75" s="809"/>
      <c r="AU75" s="860">
        <f>SUM(AD4:AH47,AJ4:AN47)*208/1000</f>
        <v>0</v>
      </c>
      <c r="AV75" s="860"/>
      <c r="AW75" s="860"/>
      <c r="AX75" s="860"/>
      <c r="AY75" s="860"/>
      <c r="AZ75" s="860"/>
      <c r="BA75" s="236"/>
      <c r="BB75" s="236"/>
    </row>
  </sheetData>
  <sheetProtection selectLockedCells="1" selectUnlockedCells="1"/>
  <protectedRanges>
    <protectedRange sqref="D71:E71 D75:E1048576 D58:D59 B62:D63 B65:D66 D69:D70 B2:B3 C1:C2 B4:C5 B69:C1048576 F58:G59 D1:G5 H1:I2 H54:I59 B54:C59 A1:A1048576 V48:V53 D54:G57 J54:M57 J71:K71 J75:K75 J58:J59 F62:J63 F65:J66 J72:J74 J69:J70 H3 H4:I5 L69:M75 H69:I75 L62:M63 L58:M59 L65:M66 J1:M5 AO1:AZ2 O48:U75 O1:V47 AQ71:AR71 AQ58:AQ59 AO62:AQ63 AO65:AQ66 AQ72 AQ69:AQ70 AO3 AO4:AP5 AO69:AP72 AS58:AT59 AQ3:AT5 AU54:AV59 AO54:AP59 AQ54:AT57 AW54:AZ57 AW71:AX71 AW58:AW59 AS62:AW63 AS65:AW66 AW72:AW74 AW69:AW70 AU3 AU4:AV5 AY69:AZ75 AY62:AZ63 AY58:AZ59 AY65:AZ66 AW3:AZ5 V54:AN75 N1:N75 BA1:XFD75 W1:AN53 H76:XFD1048576 AQ75:AT75 AQ74 AO74:AP75 AS69:AV74 AO73:AQ73 D72:D74 F69:G1048576 B6:M53 AO6:AZ53" name="Range1"/>
    <protectedRange sqref="AU75:AV75 AX75" name="Range1_1"/>
  </protectedRanges>
  <dataConsolidate/>
  <mergeCells count="84">
    <mergeCell ref="A1:M2"/>
    <mergeCell ref="AO1:AZ2"/>
    <mergeCell ref="B3:G4"/>
    <mergeCell ref="H3:M4"/>
    <mergeCell ref="AU3:AZ4"/>
    <mergeCell ref="H67:I67"/>
    <mergeCell ref="J72:M72"/>
    <mergeCell ref="J73:M73"/>
    <mergeCell ref="D73:G73"/>
    <mergeCell ref="B67:C67"/>
    <mergeCell ref="J69:M69"/>
    <mergeCell ref="J70:M70"/>
    <mergeCell ref="B68:C68"/>
    <mergeCell ref="H68:I68"/>
    <mergeCell ref="D74:G74"/>
    <mergeCell ref="D72:G72"/>
    <mergeCell ref="J74:M74"/>
    <mergeCell ref="D69:G69"/>
    <mergeCell ref="D70:G70"/>
    <mergeCell ref="B31:G32"/>
    <mergeCell ref="H31:M32"/>
    <mergeCell ref="H56:L57"/>
    <mergeCell ref="H58:I58"/>
    <mergeCell ref="H59:I59"/>
    <mergeCell ref="B59:C59"/>
    <mergeCell ref="B60:C60"/>
    <mergeCell ref="B56:F57"/>
    <mergeCell ref="B58:C58"/>
    <mergeCell ref="J63:M63"/>
    <mergeCell ref="H65:I65"/>
    <mergeCell ref="H60:I60"/>
    <mergeCell ref="J62:M62"/>
    <mergeCell ref="H63:I63"/>
    <mergeCell ref="B63:C63"/>
    <mergeCell ref="H61:I61"/>
    <mergeCell ref="H62:I62"/>
    <mergeCell ref="B65:C65"/>
    <mergeCell ref="D63:G63"/>
    <mergeCell ref="B61:C61"/>
    <mergeCell ref="B62:C62"/>
    <mergeCell ref="D62:G62"/>
    <mergeCell ref="AU63:AV63"/>
    <mergeCell ref="AW63:AZ63"/>
    <mergeCell ref="AO65:AP65"/>
    <mergeCell ref="AU65:AV65"/>
    <mergeCell ref="AQ74:AT74"/>
    <mergeCell ref="AQ70:AT70"/>
    <mergeCell ref="AQ72:AT72"/>
    <mergeCell ref="AQ73:AT73"/>
    <mergeCell ref="AO67:AP67"/>
    <mergeCell ref="AO68:AP68"/>
    <mergeCell ref="AQ69:AT69"/>
    <mergeCell ref="AO63:AP63"/>
    <mergeCell ref="AQ63:AT63"/>
    <mergeCell ref="AW62:AZ62"/>
    <mergeCell ref="AC1:AN2"/>
    <mergeCell ref="P1:AA2"/>
    <mergeCell ref="AO3:AT4"/>
    <mergeCell ref="AO31:AT32"/>
    <mergeCell ref="AO61:AP61"/>
    <mergeCell ref="AU61:AV61"/>
    <mergeCell ref="AO62:AP62"/>
    <mergeCell ref="AQ62:AT62"/>
    <mergeCell ref="AU62:AV62"/>
    <mergeCell ref="AU31:AZ32"/>
    <mergeCell ref="AU56:AY57"/>
    <mergeCell ref="AU58:AV58"/>
    <mergeCell ref="AU59:AV59"/>
    <mergeCell ref="B75:G75"/>
    <mergeCell ref="H75:M75"/>
    <mergeCell ref="AO75:AT75"/>
    <mergeCell ref="AU75:AZ75"/>
    <mergeCell ref="AO56:AS57"/>
    <mergeCell ref="AO58:AP58"/>
    <mergeCell ref="AO59:AP59"/>
    <mergeCell ref="AO60:AP60"/>
    <mergeCell ref="AU60:AV60"/>
    <mergeCell ref="AW74:AZ74"/>
    <mergeCell ref="AW70:AZ70"/>
    <mergeCell ref="AW72:AZ72"/>
    <mergeCell ref="AW73:AZ73"/>
    <mergeCell ref="AU67:AV67"/>
    <mergeCell ref="AU68:AV68"/>
    <mergeCell ref="AW69:AZ69"/>
  </mergeCells>
  <conditionalFormatting sqref="Q4:R47 C6:G17">
    <cfRule type="notContainsText" dxfId="210" priority="23" operator="notContains" text="N/A">
      <formula>ISERROR(SEARCH("N/A",C4))</formula>
    </cfRule>
  </conditionalFormatting>
  <conditionalFormatting sqref="S4:U47">
    <cfRule type="notContainsText" dxfId="209" priority="22" operator="notContains" text="N/A">
      <formula>ISERROR(SEARCH("N/A",S4))</formula>
    </cfRule>
  </conditionalFormatting>
  <conditionalFormatting sqref="AD4:AE47">
    <cfRule type="notContainsText" dxfId="208" priority="21" operator="notContains" text="N/A">
      <formula>ISERROR(SEARCH("N/A",AD4))</formula>
    </cfRule>
  </conditionalFormatting>
  <conditionalFormatting sqref="AF4:AH47">
    <cfRule type="notContainsText" dxfId="207" priority="20" operator="notContains" text="N/A">
      <formula>ISERROR(SEARCH("N/A",AF4))</formula>
    </cfRule>
  </conditionalFormatting>
  <conditionalFormatting sqref="C18:G29">
    <cfRule type="notContainsText" dxfId="206" priority="19" operator="notContains" text="N/A">
      <formula>ISERROR(SEARCH("N/A",C18))</formula>
    </cfRule>
  </conditionalFormatting>
  <conditionalFormatting sqref="C46:G53">
    <cfRule type="notContainsText" dxfId="205" priority="17" operator="notContains" text="N/A">
      <formula>ISERROR(SEARCH("N/A",C46))</formula>
    </cfRule>
  </conditionalFormatting>
  <conditionalFormatting sqref="C34:G45">
    <cfRule type="notContainsText" dxfId="204" priority="18" operator="notContains" text="N/A">
      <formula>ISERROR(SEARCH("N/A",C34))</formula>
    </cfRule>
  </conditionalFormatting>
  <conditionalFormatting sqref="W4:X47">
    <cfRule type="notContainsText" dxfId="203" priority="16" operator="notContains" text="N/A">
      <formula>ISERROR(SEARCH("N/A",W4))</formula>
    </cfRule>
  </conditionalFormatting>
  <conditionalFormatting sqref="Y4:AA47">
    <cfRule type="notContainsText" dxfId="202" priority="15" operator="notContains" text="N/A">
      <formula>ISERROR(SEARCH("N/A",Y4))</formula>
    </cfRule>
  </conditionalFormatting>
  <conditionalFormatting sqref="I46:M53">
    <cfRule type="notContainsText" dxfId="201" priority="11" operator="notContains" text="N/A">
      <formula>ISERROR(SEARCH("N/A",I46))</formula>
    </cfRule>
  </conditionalFormatting>
  <conditionalFormatting sqref="AL4:AN47">
    <cfRule type="notContainsText" dxfId="200" priority="1" operator="notContains" text="N/A">
      <formula>ISERROR(SEARCH("N/A",AL4))</formula>
    </cfRule>
  </conditionalFormatting>
  <conditionalFormatting sqref="I6:M17">
    <cfRule type="notContainsText" dxfId="199" priority="14" operator="notContains" text="N/A">
      <formula>ISERROR(SEARCH("N/A",I6))</formula>
    </cfRule>
  </conditionalFormatting>
  <conditionalFormatting sqref="I18:M29">
    <cfRule type="notContainsText" dxfId="198" priority="13" operator="notContains" text="N/A">
      <formula>ISERROR(SEARCH("N/A",I18))</formula>
    </cfRule>
  </conditionalFormatting>
  <conditionalFormatting sqref="I34:M45">
    <cfRule type="notContainsText" dxfId="197" priority="12" operator="notContains" text="N/A">
      <formula>ISERROR(SEARCH("N/A",I34))</formula>
    </cfRule>
  </conditionalFormatting>
  <conditionalFormatting sqref="AP6:AT17">
    <cfRule type="notContainsText" dxfId="196" priority="10" operator="notContains" text="N/A">
      <formula>ISERROR(SEARCH("N/A",AP6))</formula>
    </cfRule>
  </conditionalFormatting>
  <conditionalFormatting sqref="AP18:AT29">
    <cfRule type="notContainsText" dxfId="195" priority="9" operator="notContains" text="N/A">
      <formula>ISERROR(SEARCH("N/A",AP18))</formula>
    </cfRule>
  </conditionalFormatting>
  <conditionalFormatting sqref="AP46:AT53">
    <cfRule type="notContainsText" dxfId="194" priority="7" operator="notContains" text="N/A">
      <formula>ISERROR(SEARCH("N/A",AP46))</formula>
    </cfRule>
  </conditionalFormatting>
  <conditionalFormatting sqref="AP34:AT45">
    <cfRule type="notContainsText" dxfId="193" priority="8" operator="notContains" text="N/A">
      <formula>ISERROR(SEARCH("N/A",AP34))</formula>
    </cfRule>
  </conditionalFormatting>
  <conditionalFormatting sqref="AV46:AZ53">
    <cfRule type="notContainsText" dxfId="192" priority="3" operator="notContains" text="N/A">
      <formula>ISERROR(SEARCH("N/A",AV46))</formula>
    </cfRule>
  </conditionalFormatting>
  <conditionalFormatting sqref="AV6:AZ17">
    <cfRule type="notContainsText" dxfId="191" priority="6" operator="notContains" text="N/A">
      <formula>ISERROR(SEARCH("N/A",AV6))</formula>
    </cfRule>
  </conditionalFormatting>
  <conditionalFormatting sqref="AV18:AZ29">
    <cfRule type="notContainsText" dxfId="190" priority="5" operator="notContains" text="N/A">
      <formula>ISERROR(SEARCH("N/A",AV18))</formula>
    </cfRule>
  </conditionalFormatting>
  <conditionalFormatting sqref="AV34:AZ45">
    <cfRule type="notContainsText" dxfId="189" priority="4" operator="notContains" text="N/A">
      <formula>ISERROR(SEARCH("N/A",AV34))</formula>
    </cfRule>
  </conditionalFormatting>
  <conditionalFormatting sqref="AJ4:AK47">
    <cfRule type="notContainsText" dxfId="188" priority="2" operator="notContains" text="N/A">
      <formula>ISERROR(SEARCH("N/A",AJ4))</formula>
    </cfRule>
  </conditionalFormatting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 macro="[0]!PowerDistribute.PowerDistribute">
                <anchor moveWithCells="1" sizeWithCells="1">
                  <from>
                    <xdr:col>18</xdr:col>
                    <xdr:colOff>175260</xdr:colOff>
                    <xdr:row>48</xdr:row>
                    <xdr:rowOff>190500</xdr:rowOff>
                  </from>
                  <to>
                    <xdr:col>24</xdr:col>
                    <xdr:colOff>68580</xdr:colOff>
                    <xdr:row>50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6">
    <tabColor theme="6" tint="-0.499984740745262"/>
  </sheetPr>
  <dimension ref="A1:BB75"/>
  <sheetViews>
    <sheetView showGridLines="0" zoomScale="70" zoomScaleNormal="70" workbookViewId="0">
      <selection activeCell="AD48" sqref="AD48"/>
    </sheetView>
  </sheetViews>
  <sheetFormatPr defaultColWidth="9.109375" defaultRowHeight="14.4" x14ac:dyDescent="0.3"/>
  <cols>
    <col min="1" max="1" width="3.109375" style="237" customWidth="1"/>
    <col min="2" max="2" width="5.44140625" style="237" bestFit="1" customWidth="1"/>
    <col min="3" max="7" width="10" style="237" customWidth="1"/>
    <col min="8" max="8" width="6.88671875" style="237" customWidth="1"/>
    <col min="9" max="13" width="9.6640625" style="237" customWidth="1"/>
    <col min="14" max="14" width="1.6640625" style="237" customWidth="1"/>
    <col min="15" max="15" width="2.33203125" style="237" customWidth="1"/>
    <col min="16" max="16" width="4.5546875" style="237" bestFit="1" customWidth="1"/>
    <col min="17" max="17" width="11.88671875" style="237" bestFit="1" customWidth="1"/>
    <col min="18" max="18" width="10.44140625" style="237" bestFit="1" customWidth="1"/>
    <col min="19" max="21" width="10.44140625" style="237" customWidth="1"/>
    <col min="22" max="22" width="4.5546875" bestFit="1" customWidth="1"/>
    <col min="23" max="23" width="11.88671875" style="237" bestFit="1" customWidth="1"/>
    <col min="24" max="24" width="10.44140625" style="237" bestFit="1" customWidth="1"/>
    <col min="25" max="27" width="10.44140625" style="237" customWidth="1"/>
    <col min="28" max="28" width="2.33203125" style="237" customWidth="1"/>
    <col min="29" max="29" width="4.5546875" style="524" customWidth="1"/>
    <col min="30" max="30" width="11.88671875" style="237" customWidth="1"/>
    <col min="31" max="31" width="10.44140625" style="237" customWidth="1"/>
    <col min="32" max="34" width="9.109375" style="237"/>
    <col min="35" max="35" width="4.33203125" style="237" customWidth="1"/>
    <col min="36" max="46" width="9.109375" style="237"/>
    <col min="47" max="47" width="5.33203125" style="237" customWidth="1"/>
    <col min="48" max="51" width="9.109375" style="237"/>
    <col min="52" max="52" width="7.88671875" style="237" customWidth="1"/>
    <col min="53" max="16384" width="9.109375" style="237"/>
  </cols>
  <sheetData>
    <row r="1" spans="1:54" ht="10.5" customHeight="1" x14ac:dyDescent="0.3">
      <c r="A1" s="827" t="s">
        <v>521</v>
      </c>
      <c r="B1" s="827"/>
      <c r="C1" s="827"/>
      <c r="D1" s="827"/>
      <c r="E1" s="827"/>
      <c r="F1" s="827"/>
      <c r="G1" s="827"/>
      <c r="H1" s="827"/>
      <c r="I1" s="827"/>
      <c r="J1" s="827"/>
      <c r="K1" s="827"/>
      <c r="L1" s="827"/>
      <c r="M1" s="827"/>
      <c r="N1" s="235"/>
      <c r="O1" s="236"/>
      <c r="P1" s="826" t="s">
        <v>545</v>
      </c>
      <c r="Q1" s="827"/>
      <c r="R1" s="827"/>
      <c r="S1" s="827"/>
      <c r="T1" s="827"/>
      <c r="U1" s="827"/>
      <c r="V1" s="827"/>
      <c r="W1" s="827"/>
      <c r="X1" s="827"/>
      <c r="Y1" s="827"/>
      <c r="Z1" s="827"/>
      <c r="AA1" s="827"/>
      <c r="AB1" s="236"/>
      <c r="AC1" s="826" t="s">
        <v>214</v>
      </c>
      <c r="AD1" s="827"/>
      <c r="AE1" s="827"/>
      <c r="AF1" s="827"/>
      <c r="AG1" s="827"/>
      <c r="AH1" s="827"/>
      <c r="AI1" s="827"/>
      <c r="AJ1" s="827"/>
      <c r="AK1" s="827"/>
      <c r="AL1" s="827"/>
      <c r="AM1" s="827"/>
      <c r="AN1" s="827"/>
      <c r="AO1" s="826" t="s">
        <v>197</v>
      </c>
      <c r="AP1" s="827"/>
      <c r="AQ1" s="827"/>
      <c r="AR1" s="827"/>
      <c r="AS1" s="827"/>
      <c r="AT1" s="827"/>
      <c r="AU1" s="827"/>
      <c r="AV1" s="827"/>
      <c r="AW1" s="827"/>
      <c r="AX1" s="827"/>
      <c r="AY1" s="827"/>
      <c r="AZ1" s="827"/>
      <c r="BA1" s="236"/>
      <c r="BB1" s="236"/>
    </row>
    <row r="2" spans="1:54" ht="10.5" customHeight="1" x14ac:dyDescent="0.3">
      <c r="A2" s="827"/>
      <c r="B2" s="827"/>
      <c r="C2" s="827"/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235"/>
      <c r="O2" s="236"/>
      <c r="P2" s="826"/>
      <c r="Q2" s="827"/>
      <c r="R2" s="827"/>
      <c r="S2" s="827"/>
      <c r="T2" s="827"/>
      <c r="U2" s="827"/>
      <c r="V2" s="827"/>
      <c r="W2" s="827"/>
      <c r="X2" s="827"/>
      <c r="Y2" s="827"/>
      <c r="Z2" s="827"/>
      <c r="AA2" s="827"/>
      <c r="AB2" s="236"/>
      <c r="AC2" s="826"/>
      <c r="AD2" s="827"/>
      <c r="AE2" s="827"/>
      <c r="AF2" s="827"/>
      <c r="AG2" s="827"/>
      <c r="AH2" s="827"/>
      <c r="AI2" s="827"/>
      <c r="AJ2" s="827"/>
      <c r="AK2" s="827"/>
      <c r="AL2" s="827"/>
      <c r="AM2" s="827"/>
      <c r="AN2" s="827"/>
      <c r="AO2" s="826"/>
      <c r="AP2" s="827"/>
      <c r="AQ2" s="827"/>
      <c r="AR2" s="827"/>
      <c r="AS2" s="827"/>
      <c r="AT2" s="827"/>
      <c r="AU2" s="827"/>
      <c r="AV2" s="827"/>
      <c r="AW2" s="827"/>
      <c r="AX2" s="827"/>
      <c r="AY2" s="827"/>
      <c r="AZ2" s="827"/>
      <c r="BA2" s="236"/>
      <c r="BB2" s="236"/>
    </row>
    <row r="3" spans="1:54" x14ac:dyDescent="0.3">
      <c r="A3" s="238"/>
      <c r="B3" s="861" t="s">
        <v>215</v>
      </c>
      <c r="C3" s="861"/>
      <c r="D3" s="861"/>
      <c r="E3" s="861"/>
      <c r="F3" s="861"/>
      <c r="G3" s="862"/>
      <c r="H3" s="861" t="s">
        <v>216</v>
      </c>
      <c r="I3" s="861"/>
      <c r="J3" s="861"/>
      <c r="K3" s="861"/>
      <c r="L3" s="861"/>
      <c r="M3" s="862"/>
      <c r="N3" s="240"/>
      <c r="O3" s="236"/>
      <c r="P3" s="242" t="s">
        <v>191</v>
      </c>
      <c r="Q3" s="243" t="s">
        <v>217</v>
      </c>
      <c r="R3" s="243" t="s">
        <v>218</v>
      </c>
      <c r="S3" s="243" t="s">
        <v>330</v>
      </c>
      <c r="T3" s="244" t="s">
        <v>331</v>
      </c>
      <c r="U3" s="350" t="s">
        <v>536</v>
      </c>
      <c r="V3" s="49"/>
      <c r="W3" s="243" t="s">
        <v>217</v>
      </c>
      <c r="X3" s="243" t="s">
        <v>218</v>
      </c>
      <c r="Y3" s="243" t="s">
        <v>330</v>
      </c>
      <c r="Z3" s="244" t="s">
        <v>331</v>
      </c>
      <c r="AA3" s="350" t="s">
        <v>536</v>
      </c>
      <c r="AB3" s="236"/>
      <c r="AC3" s="242" t="s">
        <v>191</v>
      </c>
      <c r="AD3" s="243" t="s">
        <v>217</v>
      </c>
      <c r="AE3" s="243" t="s">
        <v>218</v>
      </c>
      <c r="AF3" s="243" t="s">
        <v>330</v>
      </c>
      <c r="AG3" s="244" t="s">
        <v>331</v>
      </c>
      <c r="AH3" s="350" t="s">
        <v>536</v>
      </c>
      <c r="AI3" s="49"/>
      <c r="AJ3" s="243" t="s">
        <v>217</v>
      </c>
      <c r="AK3" s="243" t="s">
        <v>218</v>
      </c>
      <c r="AL3" s="243" t="s">
        <v>330</v>
      </c>
      <c r="AM3" s="244" t="s">
        <v>331</v>
      </c>
      <c r="AN3" s="350" t="s">
        <v>536</v>
      </c>
      <c r="AO3" s="861" t="s">
        <v>215</v>
      </c>
      <c r="AP3" s="861"/>
      <c r="AQ3" s="861"/>
      <c r="AR3" s="861"/>
      <c r="AS3" s="861"/>
      <c r="AT3" s="862"/>
      <c r="AU3" s="861" t="s">
        <v>216</v>
      </c>
      <c r="AV3" s="861"/>
      <c r="AW3" s="861"/>
      <c r="AX3" s="861"/>
      <c r="AY3" s="861"/>
      <c r="AZ3" s="862"/>
      <c r="BA3" s="236"/>
      <c r="BB3" s="236"/>
    </row>
    <row r="4" spans="1:54" ht="15" thickBot="1" x14ac:dyDescent="0.35">
      <c r="A4" s="238"/>
      <c r="B4" s="861"/>
      <c r="C4" s="861"/>
      <c r="D4" s="861"/>
      <c r="E4" s="861"/>
      <c r="F4" s="861"/>
      <c r="G4" s="862"/>
      <c r="H4" s="861"/>
      <c r="I4" s="861"/>
      <c r="J4" s="861"/>
      <c r="K4" s="861"/>
      <c r="L4" s="861"/>
      <c r="M4" s="862"/>
      <c r="N4" s="240"/>
      <c r="O4" s="236" t="s">
        <v>336</v>
      </c>
      <c r="P4" s="245">
        <v>1</v>
      </c>
      <c r="Q4" s="246" t="s">
        <v>336</v>
      </c>
      <c r="R4" s="246" t="s">
        <v>336</v>
      </c>
      <c r="S4" s="246" t="s">
        <v>336</v>
      </c>
      <c r="T4" s="246" t="s">
        <v>336</v>
      </c>
      <c r="U4" s="246" t="s">
        <v>336</v>
      </c>
      <c r="V4" s="253">
        <v>1</v>
      </c>
      <c r="W4" s="246" t="s">
        <v>336</v>
      </c>
      <c r="X4" s="246" t="s">
        <v>336</v>
      </c>
      <c r="Y4" s="246" t="s">
        <v>336</v>
      </c>
      <c r="Z4" s="246" t="s">
        <v>336</v>
      </c>
      <c r="AA4" s="246" t="s">
        <v>336</v>
      </c>
      <c r="AB4" s="236" t="s">
        <v>336</v>
      </c>
      <c r="AC4" s="664">
        <v>1</v>
      </c>
      <c r="AD4" s="246" t="s">
        <v>336</v>
      </c>
      <c r="AE4" s="246" t="s">
        <v>336</v>
      </c>
      <c r="AF4" s="246" t="s">
        <v>336</v>
      </c>
      <c r="AG4" s="246" t="s">
        <v>336</v>
      </c>
      <c r="AH4" s="246" t="s">
        <v>336</v>
      </c>
      <c r="AI4" s="663">
        <v>1</v>
      </c>
      <c r="AJ4" s="246" t="s">
        <v>336</v>
      </c>
      <c r="AK4" s="246" t="s">
        <v>336</v>
      </c>
      <c r="AL4" s="246" t="s">
        <v>336</v>
      </c>
      <c r="AM4" s="246" t="s">
        <v>336</v>
      </c>
      <c r="AN4" s="246" t="s">
        <v>336</v>
      </c>
      <c r="AO4" s="861"/>
      <c r="AP4" s="861"/>
      <c r="AQ4" s="861"/>
      <c r="AR4" s="861"/>
      <c r="AS4" s="861"/>
      <c r="AT4" s="862"/>
      <c r="AU4" s="861"/>
      <c r="AV4" s="861"/>
      <c r="AW4" s="861"/>
      <c r="AX4" s="861"/>
      <c r="AY4" s="861"/>
      <c r="AZ4" s="862"/>
      <c r="BA4" s="236"/>
      <c r="BB4" s="236"/>
    </row>
    <row r="5" spans="1:54" x14ac:dyDescent="0.3">
      <c r="A5" s="236"/>
      <c r="B5" s="247" t="s">
        <v>192</v>
      </c>
      <c r="C5" s="248" t="s">
        <v>219</v>
      </c>
      <c r="D5" s="249" t="s">
        <v>220</v>
      </c>
      <c r="E5" s="249" t="s">
        <v>332</v>
      </c>
      <c r="F5" s="249" t="s">
        <v>333</v>
      </c>
      <c r="G5" s="249" t="s">
        <v>535</v>
      </c>
      <c r="H5" s="247" t="s">
        <v>192</v>
      </c>
      <c r="I5" s="248" t="s">
        <v>219</v>
      </c>
      <c r="J5" s="249" t="s">
        <v>220</v>
      </c>
      <c r="K5" s="249" t="s">
        <v>332</v>
      </c>
      <c r="L5" s="249" t="s">
        <v>333</v>
      </c>
      <c r="M5" s="249" t="s">
        <v>535</v>
      </c>
      <c r="N5" s="249"/>
      <c r="O5" s="236" t="s">
        <v>336</v>
      </c>
      <c r="P5" s="245">
        <v>2</v>
      </c>
      <c r="Q5" s="254" t="s">
        <v>336</v>
      </c>
      <c r="R5" s="254" t="s">
        <v>336</v>
      </c>
      <c r="S5" s="254" t="s">
        <v>336</v>
      </c>
      <c r="T5" s="255" t="s">
        <v>336</v>
      </c>
      <c r="U5" s="255" t="s">
        <v>336</v>
      </c>
      <c r="V5" s="253">
        <v>2</v>
      </c>
      <c r="W5" s="254" t="s">
        <v>336</v>
      </c>
      <c r="X5" s="254" t="s">
        <v>336</v>
      </c>
      <c r="Y5" s="254" t="s">
        <v>336</v>
      </c>
      <c r="Z5" s="255" t="s">
        <v>336</v>
      </c>
      <c r="AA5" s="255" t="s">
        <v>336</v>
      </c>
      <c r="AB5" s="236" t="s">
        <v>336</v>
      </c>
      <c r="AC5" s="664">
        <v>2</v>
      </c>
      <c r="AD5" s="254" t="s">
        <v>336</v>
      </c>
      <c r="AE5" s="254" t="s">
        <v>336</v>
      </c>
      <c r="AF5" s="254" t="s">
        <v>336</v>
      </c>
      <c r="AG5" s="255" t="s">
        <v>336</v>
      </c>
      <c r="AH5" s="255" t="s">
        <v>336</v>
      </c>
      <c r="AI5" s="663">
        <v>2</v>
      </c>
      <c r="AJ5" s="254" t="s">
        <v>336</v>
      </c>
      <c r="AK5" s="254" t="s">
        <v>336</v>
      </c>
      <c r="AL5" s="254" t="s">
        <v>336</v>
      </c>
      <c r="AM5" s="255" t="s">
        <v>336</v>
      </c>
      <c r="AN5" s="255" t="s">
        <v>336</v>
      </c>
      <c r="AO5" s="247" t="s">
        <v>192</v>
      </c>
      <c r="AP5" s="248" t="s">
        <v>219</v>
      </c>
      <c r="AQ5" s="249" t="s">
        <v>220</v>
      </c>
      <c r="AR5" s="249" t="s">
        <v>332</v>
      </c>
      <c r="AS5" s="249" t="s">
        <v>333</v>
      </c>
      <c r="AT5" s="249" t="s">
        <v>535</v>
      </c>
      <c r="AU5" s="247" t="s">
        <v>192</v>
      </c>
      <c r="AV5" s="248" t="s">
        <v>219</v>
      </c>
      <c r="AW5" s="249" t="s">
        <v>220</v>
      </c>
      <c r="AX5" s="249" t="s">
        <v>332</v>
      </c>
      <c r="AY5" s="249" t="s">
        <v>333</v>
      </c>
      <c r="AZ5" s="249" t="s">
        <v>535</v>
      </c>
      <c r="BA5" s="236"/>
      <c r="BB5" s="236"/>
    </row>
    <row r="6" spans="1:54" x14ac:dyDescent="0.3">
      <c r="A6" s="236"/>
      <c r="B6" s="245">
        <v>1</v>
      </c>
      <c r="C6" s="257" t="str">
        <f>Q4</f>
        <v>N/A</v>
      </c>
      <c r="D6" s="257" t="str">
        <f t="shared" ref="D6:G21" si="0">R4</f>
        <v>N/A</v>
      </c>
      <c r="E6" s="257" t="str">
        <f t="shared" si="0"/>
        <v>N/A</v>
      </c>
      <c r="F6" s="257" t="str">
        <f t="shared" si="0"/>
        <v>N/A</v>
      </c>
      <c r="G6" s="257" t="str">
        <f t="shared" si="0"/>
        <v>N/A</v>
      </c>
      <c r="H6" s="253">
        <v>1</v>
      </c>
      <c r="I6" s="257" t="str">
        <f>W4</f>
        <v>N/A</v>
      </c>
      <c r="J6" s="257" t="str">
        <f t="shared" ref="J6:M21" si="1">X4</f>
        <v>N/A</v>
      </c>
      <c r="K6" s="257" t="str">
        <f t="shared" si="1"/>
        <v>N/A</v>
      </c>
      <c r="L6" s="257" t="str">
        <f t="shared" si="1"/>
        <v>N/A</v>
      </c>
      <c r="M6" s="257" t="str">
        <f t="shared" si="1"/>
        <v>N/A</v>
      </c>
      <c r="N6" s="260"/>
      <c r="O6" s="236" t="s">
        <v>336</v>
      </c>
      <c r="P6" s="245">
        <v>3</v>
      </c>
      <c r="Q6" s="246" t="s">
        <v>336</v>
      </c>
      <c r="R6" s="246" t="s">
        <v>336</v>
      </c>
      <c r="S6" s="246" t="s">
        <v>336</v>
      </c>
      <c r="T6" s="246" t="s">
        <v>336</v>
      </c>
      <c r="U6" s="246" t="s">
        <v>336</v>
      </c>
      <c r="V6" s="253">
        <v>3</v>
      </c>
      <c r="W6" s="246" t="s">
        <v>336</v>
      </c>
      <c r="X6" s="246" t="s">
        <v>336</v>
      </c>
      <c r="Y6" s="246" t="s">
        <v>336</v>
      </c>
      <c r="Z6" s="246" t="s">
        <v>336</v>
      </c>
      <c r="AA6" s="246" t="s">
        <v>336</v>
      </c>
      <c r="AB6" s="236" t="s">
        <v>336</v>
      </c>
      <c r="AC6" s="664">
        <v>3</v>
      </c>
      <c r="AD6" s="246" t="s">
        <v>336</v>
      </c>
      <c r="AE6" s="246" t="s">
        <v>336</v>
      </c>
      <c r="AF6" s="246" t="s">
        <v>336</v>
      </c>
      <c r="AG6" s="246" t="s">
        <v>336</v>
      </c>
      <c r="AH6" s="246" t="s">
        <v>336</v>
      </c>
      <c r="AI6" s="663">
        <v>3</v>
      </c>
      <c r="AJ6" s="246" t="s">
        <v>336</v>
      </c>
      <c r="AK6" s="246" t="s">
        <v>336</v>
      </c>
      <c r="AL6" s="246" t="s">
        <v>336</v>
      </c>
      <c r="AM6" s="246" t="s">
        <v>336</v>
      </c>
      <c r="AN6" s="246" t="s">
        <v>336</v>
      </c>
      <c r="AO6" s="660">
        <v>1</v>
      </c>
      <c r="AP6" s="257" t="str">
        <f>AD4</f>
        <v>N/A</v>
      </c>
      <c r="AQ6" s="257" t="str">
        <f t="shared" ref="AQ6:AT13" si="2">AE4</f>
        <v>N/A</v>
      </c>
      <c r="AR6" s="257" t="str">
        <f t="shared" si="2"/>
        <v>N/A</v>
      </c>
      <c r="AS6" s="257" t="str">
        <f t="shared" si="2"/>
        <v>N/A</v>
      </c>
      <c r="AT6" s="257" t="str">
        <f t="shared" si="2"/>
        <v>N/A</v>
      </c>
      <c r="AU6" s="663">
        <v>1</v>
      </c>
      <c r="AV6" s="257" t="str">
        <f>AJ4</f>
        <v>N/A</v>
      </c>
      <c r="AW6" s="257" t="str">
        <f t="shared" ref="AW6:AZ21" si="3">AK4</f>
        <v>N/A</v>
      </c>
      <c r="AX6" s="257" t="str">
        <f t="shared" si="3"/>
        <v>N/A</v>
      </c>
      <c r="AY6" s="257" t="str">
        <f t="shared" si="3"/>
        <v>N/A</v>
      </c>
      <c r="AZ6" s="257" t="str">
        <f t="shared" si="3"/>
        <v>N/A</v>
      </c>
      <c r="BA6" s="236"/>
      <c r="BB6" s="236"/>
    </row>
    <row r="7" spans="1:54" x14ac:dyDescent="0.3">
      <c r="A7" s="236"/>
      <c r="B7" s="245">
        <v>2</v>
      </c>
      <c r="C7" s="265" t="str">
        <f t="shared" ref="C7:C29" si="4">Q5</f>
        <v>N/A</v>
      </c>
      <c r="D7" s="265" t="str">
        <f t="shared" si="0"/>
        <v>N/A</v>
      </c>
      <c r="E7" s="265" t="str">
        <f t="shared" si="0"/>
        <v>N/A</v>
      </c>
      <c r="F7" s="265" t="str">
        <f t="shared" si="0"/>
        <v>N/A</v>
      </c>
      <c r="G7" s="265" t="str">
        <f t="shared" si="0"/>
        <v>N/A</v>
      </c>
      <c r="H7" s="253">
        <v>2</v>
      </c>
      <c r="I7" s="265" t="str">
        <f t="shared" ref="I7:I29" si="5">W5</f>
        <v>N/A</v>
      </c>
      <c r="J7" s="265" t="str">
        <f t="shared" si="1"/>
        <v>N/A</v>
      </c>
      <c r="K7" s="265" t="str">
        <f t="shared" si="1"/>
        <v>N/A</v>
      </c>
      <c r="L7" s="265" t="str">
        <f t="shared" si="1"/>
        <v>N/A</v>
      </c>
      <c r="M7" s="265" t="str">
        <f t="shared" si="1"/>
        <v>N/A</v>
      </c>
      <c r="N7" s="260"/>
      <c r="O7" s="236" t="s">
        <v>336</v>
      </c>
      <c r="P7" s="245">
        <v>4</v>
      </c>
      <c r="Q7" s="254" t="s">
        <v>336</v>
      </c>
      <c r="R7" s="254" t="s">
        <v>336</v>
      </c>
      <c r="S7" s="254" t="s">
        <v>336</v>
      </c>
      <c r="T7" s="254" t="s">
        <v>336</v>
      </c>
      <c r="U7" s="254" t="s">
        <v>336</v>
      </c>
      <c r="V7" s="253">
        <v>4</v>
      </c>
      <c r="W7" s="254" t="s">
        <v>336</v>
      </c>
      <c r="X7" s="254" t="s">
        <v>336</v>
      </c>
      <c r="Y7" s="254" t="s">
        <v>336</v>
      </c>
      <c r="Z7" s="254" t="s">
        <v>336</v>
      </c>
      <c r="AA7" s="254" t="s">
        <v>336</v>
      </c>
      <c r="AB7" s="236" t="s">
        <v>336</v>
      </c>
      <c r="AC7" s="664">
        <v>4</v>
      </c>
      <c r="AD7" s="254" t="s">
        <v>336</v>
      </c>
      <c r="AE7" s="254" t="s">
        <v>336</v>
      </c>
      <c r="AF7" s="254" t="s">
        <v>336</v>
      </c>
      <c r="AG7" s="254" t="s">
        <v>336</v>
      </c>
      <c r="AH7" s="254" t="s">
        <v>336</v>
      </c>
      <c r="AI7" s="663">
        <v>4</v>
      </c>
      <c r="AJ7" s="254" t="s">
        <v>336</v>
      </c>
      <c r="AK7" s="254" t="s">
        <v>336</v>
      </c>
      <c r="AL7" s="254" t="s">
        <v>336</v>
      </c>
      <c r="AM7" s="254" t="s">
        <v>336</v>
      </c>
      <c r="AN7" s="254" t="s">
        <v>336</v>
      </c>
      <c r="AO7" s="660">
        <v>2</v>
      </c>
      <c r="AP7" s="265" t="str">
        <f t="shared" ref="AP7:AP29" si="6">AD5</f>
        <v>N/A</v>
      </c>
      <c r="AQ7" s="265" t="str">
        <f t="shared" si="2"/>
        <v>N/A</v>
      </c>
      <c r="AR7" s="265" t="str">
        <f t="shared" si="2"/>
        <v>N/A</v>
      </c>
      <c r="AS7" s="265" t="str">
        <f t="shared" si="2"/>
        <v>N/A</v>
      </c>
      <c r="AT7" s="265" t="str">
        <f t="shared" si="2"/>
        <v>N/A</v>
      </c>
      <c r="AU7" s="663">
        <v>2</v>
      </c>
      <c r="AV7" s="265" t="str">
        <f t="shared" ref="AV7:AV29" si="7">AJ5</f>
        <v>N/A</v>
      </c>
      <c r="AW7" s="265" t="str">
        <f t="shared" si="3"/>
        <v>N/A</v>
      </c>
      <c r="AX7" s="265" t="str">
        <f t="shared" si="3"/>
        <v>N/A</v>
      </c>
      <c r="AY7" s="265" t="str">
        <f t="shared" si="3"/>
        <v>N/A</v>
      </c>
      <c r="AZ7" s="265" t="str">
        <f t="shared" si="3"/>
        <v>N/A</v>
      </c>
      <c r="BA7" s="236"/>
      <c r="BB7" s="236"/>
    </row>
    <row r="8" spans="1:54" x14ac:dyDescent="0.3">
      <c r="A8" s="236"/>
      <c r="B8" s="245">
        <v>3</v>
      </c>
      <c r="C8" s="257" t="str">
        <f t="shared" si="4"/>
        <v>N/A</v>
      </c>
      <c r="D8" s="257" t="str">
        <f t="shared" si="0"/>
        <v>N/A</v>
      </c>
      <c r="E8" s="257" t="str">
        <f t="shared" si="0"/>
        <v>N/A</v>
      </c>
      <c r="F8" s="257" t="str">
        <f t="shared" si="0"/>
        <v>N/A</v>
      </c>
      <c r="G8" s="257" t="str">
        <f t="shared" si="0"/>
        <v>N/A</v>
      </c>
      <c r="H8" s="253">
        <v>3</v>
      </c>
      <c r="I8" s="257" t="str">
        <f t="shared" si="5"/>
        <v>N/A</v>
      </c>
      <c r="J8" s="257" t="str">
        <f t="shared" si="1"/>
        <v>N/A</v>
      </c>
      <c r="K8" s="257" t="str">
        <f t="shared" si="1"/>
        <v>N/A</v>
      </c>
      <c r="L8" s="257" t="str">
        <f t="shared" si="1"/>
        <v>N/A</v>
      </c>
      <c r="M8" s="257" t="str">
        <f t="shared" si="1"/>
        <v>N/A</v>
      </c>
      <c r="N8" s="260"/>
      <c r="O8" s="236" t="s">
        <v>336</v>
      </c>
      <c r="P8" s="245">
        <v>5</v>
      </c>
      <c r="Q8" s="246" t="s">
        <v>336</v>
      </c>
      <c r="R8" s="246" t="s">
        <v>336</v>
      </c>
      <c r="S8" s="246" t="s">
        <v>336</v>
      </c>
      <c r="T8" s="246" t="s">
        <v>336</v>
      </c>
      <c r="U8" s="246" t="s">
        <v>336</v>
      </c>
      <c r="V8" s="253">
        <v>5</v>
      </c>
      <c r="W8" s="246" t="s">
        <v>336</v>
      </c>
      <c r="X8" s="246" t="s">
        <v>336</v>
      </c>
      <c r="Y8" s="246" t="s">
        <v>336</v>
      </c>
      <c r="Z8" s="246" t="s">
        <v>336</v>
      </c>
      <c r="AA8" s="246" t="s">
        <v>336</v>
      </c>
      <c r="AB8" s="236" t="s">
        <v>336</v>
      </c>
      <c r="AC8" s="664">
        <v>5</v>
      </c>
      <c r="AD8" s="246" t="s">
        <v>336</v>
      </c>
      <c r="AE8" s="246" t="s">
        <v>336</v>
      </c>
      <c r="AF8" s="246" t="s">
        <v>336</v>
      </c>
      <c r="AG8" s="246" t="s">
        <v>336</v>
      </c>
      <c r="AH8" s="246" t="s">
        <v>336</v>
      </c>
      <c r="AI8" s="663">
        <v>5</v>
      </c>
      <c r="AJ8" s="246" t="s">
        <v>336</v>
      </c>
      <c r="AK8" s="246" t="s">
        <v>336</v>
      </c>
      <c r="AL8" s="246" t="s">
        <v>336</v>
      </c>
      <c r="AM8" s="246" t="s">
        <v>336</v>
      </c>
      <c r="AN8" s="246" t="s">
        <v>336</v>
      </c>
      <c r="AO8" s="660">
        <v>3</v>
      </c>
      <c r="AP8" s="257" t="str">
        <f t="shared" si="6"/>
        <v>N/A</v>
      </c>
      <c r="AQ8" s="257" t="str">
        <f t="shared" si="2"/>
        <v>N/A</v>
      </c>
      <c r="AR8" s="257" t="str">
        <f t="shared" si="2"/>
        <v>N/A</v>
      </c>
      <c r="AS8" s="257" t="str">
        <f t="shared" si="2"/>
        <v>N/A</v>
      </c>
      <c r="AT8" s="257" t="str">
        <f t="shared" si="2"/>
        <v>N/A</v>
      </c>
      <c r="AU8" s="663">
        <v>3</v>
      </c>
      <c r="AV8" s="257" t="str">
        <f t="shared" si="7"/>
        <v>N/A</v>
      </c>
      <c r="AW8" s="257" t="str">
        <f t="shared" si="3"/>
        <v>N/A</v>
      </c>
      <c r="AX8" s="257" t="str">
        <f t="shared" si="3"/>
        <v>N/A</v>
      </c>
      <c r="AY8" s="257" t="str">
        <f t="shared" si="3"/>
        <v>N/A</v>
      </c>
      <c r="AZ8" s="257" t="str">
        <f t="shared" si="3"/>
        <v>N/A</v>
      </c>
      <c r="BA8" s="236"/>
      <c r="BB8" s="236"/>
    </row>
    <row r="9" spans="1:54" x14ac:dyDescent="0.3">
      <c r="A9" s="236"/>
      <c r="B9" s="245">
        <v>4</v>
      </c>
      <c r="C9" s="265" t="str">
        <f t="shared" si="4"/>
        <v>N/A</v>
      </c>
      <c r="D9" s="265" t="str">
        <f t="shared" si="0"/>
        <v>N/A</v>
      </c>
      <c r="E9" s="265" t="str">
        <f t="shared" si="0"/>
        <v>N/A</v>
      </c>
      <c r="F9" s="265" t="str">
        <f t="shared" si="0"/>
        <v>N/A</v>
      </c>
      <c r="G9" s="265" t="str">
        <f t="shared" si="0"/>
        <v>N/A</v>
      </c>
      <c r="H9" s="253">
        <v>4</v>
      </c>
      <c r="I9" s="265" t="str">
        <f t="shared" si="5"/>
        <v>N/A</v>
      </c>
      <c r="J9" s="265" t="str">
        <f t="shared" si="1"/>
        <v>N/A</v>
      </c>
      <c r="K9" s="265" t="str">
        <f t="shared" si="1"/>
        <v>N/A</v>
      </c>
      <c r="L9" s="265" t="str">
        <f t="shared" si="1"/>
        <v>N/A</v>
      </c>
      <c r="M9" s="265" t="str">
        <f t="shared" si="1"/>
        <v>N/A</v>
      </c>
      <c r="N9" s="260"/>
      <c r="O9" s="236" t="s">
        <v>336</v>
      </c>
      <c r="P9" s="245">
        <v>6</v>
      </c>
      <c r="Q9" s="254" t="s">
        <v>336</v>
      </c>
      <c r="R9" s="254" t="s">
        <v>336</v>
      </c>
      <c r="S9" s="254" t="s">
        <v>336</v>
      </c>
      <c r="T9" s="254" t="s">
        <v>336</v>
      </c>
      <c r="U9" s="254" t="s">
        <v>336</v>
      </c>
      <c r="V9" s="253">
        <v>6</v>
      </c>
      <c r="W9" s="254" t="s">
        <v>336</v>
      </c>
      <c r="X9" s="254" t="s">
        <v>336</v>
      </c>
      <c r="Y9" s="254" t="s">
        <v>336</v>
      </c>
      <c r="Z9" s="254" t="s">
        <v>336</v>
      </c>
      <c r="AA9" s="254" t="s">
        <v>336</v>
      </c>
      <c r="AB9" s="236" t="s">
        <v>336</v>
      </c>
      <c r="AC9" s="664">
        <v>6</v>
      </c>
      <c r="AD9" s="254" t="s">
        <v>336</v>
      </c>
      <c r="AE9" s="254" t="s">
        <v>336</v>
      </c>
      <c r="AF9" s="254" t="s">
        <v>336</v>
      </c>
      <c r="AG9" s="254" t="s">
        <v>336</v>
      </c>
      <c r="AH9" s="254" t="s">
        <v>336</v>
      </c>
      <c r="AI9" s="663">
        <v>6</v>
      </c>
      <c r="AJ9" s="254" t="s">
        <v>336</v>
      </c>
      <c r="AK9" s="254" t="s">
        <v>336</v>
      </c>
      <c r="AL9" s="254" t="s">
        <v>336</v>
      </c>
      <c r="AM9" s="254" t="s">
        <v>336</v>
      </c>
      <c r="AN9" s="254" t="s">
        <v>336</v>
      </c>
      <c r="AO9" s="660">
        <v>4</v>
      </c>
      <c r="AP9" s="265" t="str">
        <f t="shared" si="6"/>
        <v>N/A</v>
      </c>
      <c r="AQ9" s="265" t="str">
        <f t="shared" si="2"/>
        <v>N/A</v>
      </c>
      <c r="AR9" s="265" t="str">
        <f t="shared" si="2"/>
        <v>N/A</v>
      </c>
      <c r="AS9" s="265" t="str">
        <f t="shared" si="2"/>
        <v>N/A</v>
      </c>
      <c r="AT9" s="265" t="str">
        <f t="shared" si="2"/>
        <v>N/A</v>
      </c>
      <c r="AU9" s="663">
        <v>4</v>
      </c>
      <c r="AV9" s="265" t="str">
        <f t="shared" si="7"/>
        <v>N/A</v>
      </c>
      <c r="AW9" s="265" t="str">
        <f t="shared" si="3"/>
        <v>N/A</v>
      </c>
      <c r="AX9" s="265" t="str">
        <f t="shared" si="3"/>
        <v>N/A</v>
      </c>
      <c r="AY9" s="265" t="str">
        <f t="shared" si="3"/>
        <v>N/A</v>
      </c>
      <c r="AZ9" s="265" t="str">
        <f t="shared" si="3"/>
        <v>N/A</v>
      </c>
      <c r="BA9" s="236"/>
      <c r="BB9" s="236"/>
    </row>
    <row r="10" spans="1:54" x14ac:dyDescent="0.3">
      <c r="A10" s="236"/>
      <c r="B10" s="245">
        <v>5</v>
      </c>
      <c r="C10" s="257" t="str">
        <f t="shared" si="4"/>
        <v>N/A</v>
      </c>
      <c r="D10" s="257" t="str">
        <f t="shared" si="0"/>
        <v>N/A</v>
      </c>
      <c r="E10" s="257" t="str">
        <f t="shared" si="0"/>
        <v>N/A</v>
      </c>
      <c r="F10" s="257" t="str">
        <f t="shared" si="0"/>
        <v>N/A</v>
      </c>
      <c r="G10" s="257" t="str">
        <f t="shared" si="0"/>
        <v>N/A</v>
      </c>
      <c r="H10" s="253">
        <v>5</v>
      </c>
      <c r="I10" s="257" t="str">
        <f t="shared" si="5"/>
        <v>N/A</v>
      </c>
      <c r="J10" s="257" t="str">
        <f t="shared" si="1"/>
        <v>N/A</v>
      </c>
      <c r="K10" s="257" t="str">
        <f t="shared" si="1"/>
        <v>N/A</v>
      </c>
      <c r="L10" s="257" t="str">
        <f t="shared" si="1"/>
        <v>N/A</v>
      </c>
      <c r="M10" s="257" t="str">
        <f t="shared" si="1"/>
        <v>N/A</v>
      </c>
      <c r="N10" s="260"/>
      <c r="O10" s="236" t="s">
        <v>336</v>
      </c>
      <c r="P10" s="245">
        <v>7</v>
      </c>
      <c r="Q10" s="246" t="s">
        <v>336</v>
      </c>
      <c r="R10" s="246" t="s">
        <v>336</v>
      </c>
      <c r="S10" s="246" t="s">
        <v>336</v>
      </c>
      <c r="T10" s="246" t="s">
        <v>336</v>
      </c>
      <c r="U10" s="246" t="s">
        <v>336</v>
      </c>
      <c r="V10" s="253">
        <v>7</v>
      </c>
      <c r="W10" s="246" t="s">
        <v>336</v>
      </c>
      <c r="X10" s="246" t="s">
        <v>336</v>
      </c>
      <c r="Y10" s="246" t="s">
        <v>336</v>
      </c>
      <c r="Z10" s="246" t="s">
        <v>336</v>
      </c>
      <c r="AA10" s="246" t="s">
        <v>336</v>
      </c>
      <c r="AB10" s="236" t="s">
        <v>336</v>
      </c>
      <c r="AC10" s="664">
        <v>7</v>
      </c>
      <c r="AD10" s="246" t="s">
        <v>336</v>
      </c>
      <c r="AE10" s="246" t="s">
        <v>336</v>
      </c>
      <c r="AF10" s="246" t="s">
        <v>336</v>
      </c>
      <c r="AG10" s="246" t="s">
        <v>336</v>
      </c>
      <c r="AH10" s="246" t="s">
        <v>336</v>
      </c>
      <c r="AI10" s="663">
        <v>7</v>
      </c>
      <c r="AJ10" s="246" t="s">
        <v>336</v>
      </c>
      <c r="AK10" s="246" t="s">
        <v>336</v>
      </c>
      <c r="AL10" s="246" t="s">
        <v>336</v>
      </c>
      <c r="AM10" s="246" t="s">
        <v>336</v>
      </c>
      <c r="AN10" s="246" t="s">
        <v>336</v>
      </c>
      <c r="AO10" s="660">
        <v>5</v>
      </c>
      <c r="AP10" s="257" t="str">
        <f t="shared" si="6"/>
        <v>N/A</v>
      </c>
      <c r="AQ10" s="257" t="str">
        <f t="shared" si="2"/>
        <v>N/A</v>
      </c>
      <c r="AR10" s="257" t="str">
        <f t="shared" si="2"/>
        <v>N/A</v>
      </c>
      <c r="AS10" s="257" t="str">
        <f t="shared" si="2"/>
        <v>N/A</v>
      </c>
      <c r="AT10" s="257" t="str">
        <f t="shared" si="2"/>
        <v>N/A</v>
      </c>
      <c r="AU10" s="663">
        <v>5</v>
      </c>
      <c r="AV10" s="257" t="str">
        <f t="shared" si="7"/>
        <v>N/A</v>
      </c>
      <c r="AW10" s="257" t="str">
        <f t="shared" si="3"/>
        <v>N/A</v>
      </c>
      <c r="AX10" s="257" t="str">
        <f t="shared" si="3"/>
        <v>N/A</v>
      </c>
      <c r="AY10" s="257" t="str">
        <f t="shared" si="3"/>
        <v>N/A</v>
      </c>
      <c r="AZ10" s="257" t="str">
        <f t="shared" si="3"/>
        <v>N/A</v>
      </c>
      <c r="BA10" s="236"/>
      <c r="BB10" s="236"/>
    </row>
    <row r="11" spans="1:54" x14ac:dyDescent="0.3">
      <c r="A11" s="236"/>
      <c r="B11" s="245">
        <v>6</v>
      </c>
      <c r="C11" s="265" t="str">
        <f t="shared" si="4"/>
        <v>N/A</v>
      </c>
      <c r="D11" s="265" t="str">
        <f t="shared" si="0"/>
        <v>N/A</v>
      </c>
      <c r="E11" s="265" t="str">
        <f t="shared" si="0"/>
        <v>N/A</v>
      </c>
      <c r="F11" s="265" t="str">
        <f t="shared" si="0"/>
        <v>N/A</v>
      </c>
      <c r="G11" s="265" t="str">
        <f t="shared" si="0"/>
        <v>N/A</v>
      </c>
      <c r="H11" s="253">
        <v>6</v>
      </c>
      <c r="I11" s="265" t="str">
        <f t="shared" si="5"/>
        <v>N/A</v>
      </c>
      <c r="J11" s="265" t="str">
        <f t="shared" si="1"/>
        <v>N/A</v>
      </c>
      <c r="K11" s="265" t="str">
        <f t="shared" si="1"/>
        <v>N/A</v>
      </c>
      <c r="L11" s="265" t="str">
        <f t="shared" si="1"/>
        <v>N/A</v>
      </c>
      <c r="M11" s="265" t="str">
        <f t="shared" si="1"/>
        <v>N/A</v>
      </c>
      <c r="N11" s="260"/>
      <c r="O11" s="236" t="s">
        <v>336</v>
      </c>
      <c r="P11" s="245">
        <v>8</v>
      </c>
      <c r="Q11" s="254" t="s">
        <v>336</v>
      </c>
      <c r="R11" s="254" t="s">
        <v>336</v>
      </c>
      <c r="S11" s="254" t="s">
        <v>336</v>
      </c>
      <c r="T11" s="254" t="s">
        <v>336</v>
      </c>
      <c r="U11" s="254" t="s">
        <v>336</v>
      </c>
      <c r="V11" s="253">
        <v>8</v>
      </c>
      <c r="W11" s="254" t="s">
        <v>336</v>
      </c>
      <c r="X11" s="254" t="s">
        <v>336</v>
      </c>
      <c r="Y11" s="254" t="s">
        <v>336</v>
      </c>
      <c r="Z11" s="254" t="s">
        <v>336</v>
      </c>
      <c r="AA11" s="254" t="s">
        <v>336</v>
      </c>
      <c r="AB11" s="236" t="s">
        <v>336</v>
      </c>
      <c r="AC11" s="664">
        <v>8</v>
      </c>
      <c r="AD11" s="254" t="s">
        <v>336</v>
      </c>
      <c r="AE11" s="254" t="s">
        <v>336</v>
      </c>
      <c r="AF11" s="254" t="s">
        <v>336</v>
      </c>
      <c r="AG11" s="254" t="s">
        <v>336</v>
      </c>
      <c r="AH11" s="254" t="s">
        <v>336</v>
      </c>
      <c r="AI11" s="663">
        <v>8</v>
      </c>
      <c r="AJ11" s="254" t="s">
        <v>336</v>
      </c>
      <c r="AK11" s="254" t="s">
        <v>336</v>
      </c>
      <c r="AL11" s="254" t="s">
        <v>336</v>
      </c>
      <c r="AM11" s="254" t="s">
        <v>336</v>
      </c>
      <c r="AN11" s="254" t="s">
        <v>336</v>
      </c>
      <c r="AO11" s="660">
        <v>6</v>
      </c>
      <c r="AP11" s="265" t="str">
        <f t="shared" si="6"/>
        <v>N/A</v>
      </c>
      <c r="AQ11" s="265" t="str">
        <f t="shared" si="2"/>
        <v>N/A</v>
      </c>
      <c r="AR11" s="265" t="str">
        <f t="shared" si="2"/>
        <v>N/A</v>
      </c>
      <c r="AS11" s="265" t="str">
        <f t="shared" si="2"/>
        <v>N/A</v>
      </c>
      <c r="AT11" s="265" t="str">
        <f t="shared" si="2"/>
        <v>N/A</v>
      </c>
      <c r="AU11" s="663">
        <v>6</v>
      </c>
      <c r="AV11" s="265" t="str">
        <f t="shared" si="7"/>
        <v>N/A</v>
      </c>
      <c r="AW11" s="265" t="str">
        <f t="shared" si="3"/>
        <v>N/A</v>
      </c>
      <c r="AX11" s="265" t="str">
        <f t="shared" si="3"/>
        <v>N/A</v>
      </c>
      <c r="AY11" s="265" t="str">
        <f t="shared" si="3"/>
        <v>N/A</v>
      </c>
      <c r="AZ11" s="265" t="str">
        <f t="shared" si="3"/>
        <v>N/A</v>
      </c>
      <c r="BA11" s="236"/>
      <c r="BB11" s="236"/>
    </row>
    <row r="12" spans="1:54" x14ac:dyDescent="0.3">
      <c r="A12" s="236"/>
      <c r="B12" s="245">
        <v>7</v>
      </c>
      <c r="C12" s="257" t="str">
        <f t="shared" si="4"/>
        <v>N/A</v>
      </c>
      <c r="D12" s="257" t="str">
        <f t="shared" si="0"/>
        <v>N/A</v>
      </c>
      <c r="E12" s="257" t="str">
        <f t="shared" si="0"/>
        <v>N/A</v>
      </c>
      <c r="F12" s="257" t="str">
        <f t="shared" si="0"/>
        <v>N/A</v>
      </c>
      <c r="G12" s="257" t="str">
        <f t="shared" si="0"/>
        <v>N/A</v>
      </c>
      <c r="H12" s="253">
        <v>7</v>
      </c>
      <c r="I12" s="257" t="str">
        <f t="shared" si="5"/>
        <v>N/A</v>
      </c>
      <c r="J12" s="257" t="str">
        <f t="shared" si="1"/>
        <v>N/A</v>
      </c>
      <c r="K12" s="257" t="str">
        <f t="shared" si="1"/>
        <v>N/A</v>
      </c>
      <c r="L12" s="257" t="str">
        <f t="shared" si="1"/>
        <v>N/A</v>
      </c>
      <c r="M12" s="257" t="str">
        <f t="shared" si="1"/>
        <v>N/A</v>
      </c>
      <c r="N12" s="260"/>
      <c r="O12" s="236" t="s">
        <v>336</v>
      </c>
      <c r="P12" s="245">
        <v>9</v>
      </c>
      <c r="Q12" s="246" t="s">
        <v>336</v>
      </c>
      <c r="R12" s="246" t="s">
        <v>336</v>
      </c>
      <c r="S12" s="246" t="s">
        <v>336</v>
      </c>
      <c r="T12" s="246" t="s">
        <v>336</v>
      </c>
      <c r="U12" s="246" t="s">
        <v>336</v>
      </c>
      <c r="V12" s="253">
        <v>9</v>
      </c>
      <c r="W12" s="246" t="s">
        <v>336</v>
      </c>
      <c r="X12" s="246" t="s">
        <v>336</v>
      </c>
      <c r="Y12" s="246" t="s">
        <v>336</v>
      </c>
      <c r="Z12" s="246" t="s">
        <v>336</v>
      </c>
      <c r="AA12" s="246" t="s">
        <v>336</v>
      </c>
      <c r="AB12" s="236" t="s">
        <v>336</v>
      </c>
      <c r="AC12" s="664">
        <v>9</v>
      </c>
      <c r="AD12" s="246" t="s">
        <v>336</v>
      </c>
      <c r="AE12" s="246" t="s">
        <v>336</v>
      </c>
      <c r="AF12" s="246" t="s">
        <v>336</v>
      </c>
      <c r="AG12" s="246" t="s">
        <v>336</v>
      </c>
      <c r="AH12" s="246" t="s">
        <v>336</v>
      </c>
      <c r="AI12" s="663">
        <v>9</v>
      </c>
      <c r="AJ12" s="246" t="s">
        <v>336</v>
      </c>
      <c r="AK12" s="246" t="s">
        <v>336</v>
      </c>
      <c r="AL12" s="246" t="s">
        <v>336</v>
      </c>
      <c r="AM12" s="246" t="s">
        <v>336</v>
      </c>
      <c r="AN12" s="246" t="s">
        <v>336</v>
      </c>
      <c r="AO12" s="660">
        <v>7</v>
      </c>
      <c r="AP12" s="257" t="str">
        <f t="shared" si="6"/>
        <v>N/A</v>
      </c>
      <c r="AQ12" s="257" t="str">
        <f t="shared" si="2"/>
        <v>N/A</v>
      </c>
      <c r="AR12" s="257" t="str">
        <f t="shared" si="2"/>
        <v>N/A</v>
      </c>
      <c r="AS12" s="257" t="str">
        <f t="shared" si="2"/>
        <v>N/A</v>
      </c>
      <c r="AT12" s="257" t="str">
        <f t="shared" si="2"/>
        <v>N/A</v>
      </c>
      <c r="AU12" s="663">
        <v>7</v>
      </c>
      <c r="AV12" s="257" t="str">
        <f t="shared" si="7"/>
        <v>N/A</v>
      </c>
      <c r="AW12" s="257" t="str">
        <f t="shared" si="3"/>
        <v>N/A</v>
      </c>
      <c r="AX12" s="257" t="str">
        <f t="shared" si="3"/>
        <v>N/A</v>
      </c>
      <c r="AY12" s="257" t="str">
        <f t="shared" si="3"/>
        <v>N/A</v>
      </c>
      <c r="AZ12" s="257" t="str">
        <f t="shared" si="3"/>
        <v>N/A</v>
      </c>
      <c r="BA12" s="236"/>
      <c r="BB12" s="236"/>
    </row>
    <row r="13" spans="1:54" x14ac:dyDescent="0.3">
      <c r="A13" s="236"/>
      <c r="B13" s="245">
        <v>8</v>
      </c>
      <c r="C13" s="265" t="str">
        <f t="shared" si="4"/>
        <v>N/A</v>
      </c>
      <c r="D13" s="265" t="str">
        <f t="shared" si="0"/>
        <v>N/A</v>
      </c>
      <c r="E13" s="265" t="str">
        <f t="shared" si="0"/>
        <v>N/A</v>
      </c>
      <c r="F13" s="265" t="str">
        <f t="shared" si="0"/>
        <v>N/A</v>
      </c>
      <c r="G13" s="265" t="str">
        <f t="shared" si="0"/>
        <v>N/A</v>
      </c>
      <c r="H13" s="253">
        <v>8</v>
      </c>
      <c r="I13" s="265" t="str">
        <f t="shared" si="5"/>
        <v>N/A</v>
      </c>
      <c r="J13" s="265" t="str">
        <f t="shared" si="1"/>
        <v>N/A</v>
      </c>
      <c r="K13" s="265" t="str">
        <f t="shared" si="1"/>
        <v>N/A</v>
      </c>
      <c r="L13" s="265" t="str">
        <f t="shared" si="1"/>
        <v>N/A</v>
      </c>
      <c r="M13" s="265" t="str">
        <f t="shared" si="1"/>
        <v>N/A</v>
      </c>
      <c r="N13" s="260"/>
      <c r="O13" s="236" t="s">
        <v>336</v>
      </c>
      <c r="P13" s="245">
        <v>10</v>
      </c>
      <c r="Q13" s="254" t="s">
        <v>336</v>
      </c>
      <c r="R13" s="254" t="s">
        <v>336</v>
      </c>
      <c r="S13" s="254" t="s">
        <v>336</v>
      </c>
      <c r="T13" s="254" t="s">
        <v>336</v>
      </c>
      <c r="U13" s="254" t="s">
        <v>336</v>
      </c>
      <c r="V13" s="253">
        <v>10</v>
      </c>
      <c r="W13" s="254" t="s">
        <v>336</v>
      </c>
      <c r="X13" s="254" t="s">
        <v>336</v>
      </c>
      <c r="Y13" s="254" t="s">
        <v>336</v>
      </c>
      <c r="Z13" s="254" t="s">
        <v>336</v>
      </c>
      <c r="AA13" s="254" t="s">
        <v>336</v>
      </c>
      <c r="AB13" s="236" t="s">
        <v>336</v>
      </c>
      <c r="AC13" s="664">
        <v>10</v>
      </c>
      <c r="AD13" s="254" t="s">
        <v>336</v>
      </c>
      <c r="AE13" s="254" t="s">
        <v>336</v>
      </c>
      <c r="AF13" s="254" t="s">
        <v>336</v>
      </c>
      <c r="AG13" s="254" t="s">
        <v>336</v>
      </c>
      <c r="AH13" s="254" t="s">
        <v>336</v>
      </c>
      <c r="AI13" s="663">
        <v>10</v>
      </c>
      <c r="AJ13" s="254" t="s">
        <v>336</v>
      </c>
      <c r="AK13" s="254" t="s">
        <v>336</v>
      </c>
      <c r="AL13" s="254" t="s">
        <v>336</v>
      </c>
      <c r="AM13" s="254" t="s">
        <v>336</v>
      </c>
      <c r="AN13" s="254" t="s">
        <v>336</v>
      </c>
      <c r="AO13" s="660">
        <v>8</v>
      </c>
      <c r="AP13" s="265" t="str">
        <f t="shared" si="6"/>
        <v>N/A</v>
      </c>
      <c r="AQ13" s="265" t="str">
        <f t="shared" si="2"/>
        <v>N/A</v>
      </c>
      <c r="AR13" s="265" t="str">
        <f t="shared" si="2"/>
        <v>N/A</v>
      </c>
      <c r="AS13" s="265" t="str">
        <f t="shared" si="2"/>
        <v>N/A</v>
      </c>
      <c r="AT13" s="265" t="str">
        <f t="shared" si="2"/>
        <v>N/A</v>
      </c>
      <c r="AU13" s="663">
        <v>8</v>
      </c>
      <c r="AV13" s="265" t="str">
        <f t="shared" si="7"/>
        <v>N/A</v>
      </c>
      <c r="AW13" s="265" t="str">
        <f t="shared" si="3"/>
        <v>N/A</v>
      </c>
      <c r="AX13" s="265" t="str">
        <f t="shared" si="3"/>
        <v>N/A</v>
      </c>
      <c r="AY13" s="265" t="str">
        <f t="shared" si="3"/>
        <v>N/A</v>
      </c>
      <c r="AZ13" s="265" t="str">
        <f t="shared" si="3"/>
        <v>N/A</v>
      </c>
      <c r="BA13" s="236"/>
      <c r="BB13" s="236"/>
    </row>
    <row r="14" spans="1:54" x14ac:dyDescent="0.3">
      <c r="A14" s="236"/>
      <c r="B14" s="245">
        <v>9</v>
      </c>
      <c r="C14" s="257" t="str">
        <f t="shared" si="4"/>
        <v>N/A</v>
      </c>
      <c r="D14" s="257" t="str">
        <f t="shared" si="0"/>
        <v>N/A</v>
      </c>
      <c r="E14" s="257" t="str">
        <f t="shared" si="0"/>
        <v>N/A</v>
      </c>
      <c r="F14" s="257" t="str">
        <f t="shared" si="0"/>
        <v>N/A</v>
      </c>
      <c r="G14" s="257" t="str">
        <f t="shared" si="0"/>
        <v>N/A</v>
      </c>
      <c r="H14" s="253">
        <v>9</v>
      </c>
      <c r="I14" s="257" t="str">
        <f t="shared" si="5"/>
        <v>N/A</v>
      </c>
      <c r="J14" s="257" t="str">
        <f t="shared" si="1"/>
        <v>N/A</v>
      </c>
      <c r="K14" s="257" t="str">
        <f t="shared" si="1"/>
        <v>N/A</v>
      </c>
      <c r="L14" s="257" t="str">
        <f t="shared" si="1"/>
        <v>N/A</v>
      </c>
      <c r="M14" s="257" t="str">
        <f t="shared" si="1"/>
        <v>N/A</v>
      </c>
      <c r="N14" s="260"/>
      <c r="O14" s="236" t="s">
        <v>336</v>
      </c>
      <c r="P14" s="245">
        <v>11</v>
      </c>
      <c r="Q14" s="246" t="s">
        <v>336</v>
      </c>
      <c r="R14" s="246" t="s">
        <v>336</v>
      </c>
      <c r="S14" s="246" t="s">
        <v>336</v>
      </c>
      <c r="T14" s="246" t="s">
        <v>336</v>
      </c>
      <c r="U14" s="246" t="s">
        <v>336</v>
      </c>
      <c r="V14" s="253">
        <v>11</v>
      </c>
      <c r="W14" s="246" t="s">
        <v>336</v>
      </c>
      <c r="X14" s="246" t="s">
        <v>336</v>
      </c>
      <c r="Y14" s="246" t="s">
        <v>336</v>
      </c>
      <c r="Z14" s="246" t="s">
        <v>336</v>
      </c>
      <c r="AA14" s="246" t="s">
        <v>336</v>
      </c>
      <c r="AB14" s="236" t="s">
        <v>336</v>
      </c>
      <c r="AC14" s="664">
        <v>11</v>
      </c>
      <c r="AD14" s="246" t="s">
        <v>336</v>
      </c>
      <c r="AE14" s="246" t="s">
        <v>336</v>
      </c>
      <c r="AF14" s="246" t="s">
        <v>336</v>
      </c>
      <c r="AG14" s="246" t="s">
        <v>336</v>
      </c>
      <c r="AH14" s="246" t="s">
        <v>336</v>
      </c>
      <c r="AI14" s="663">
        <v>11</v>
      </c>
      <c r="AJ14" s="246" t="s">
        <v>336</v>
      </c>
      <c r="AK14" s="246" t="s">
        <v>336</v>
      </c>
      <c r="AL14" s="246" t="s">
        <v>336</v>
      </c>
      <c r="AM14" s="246" t="s">
        <v>336</v>
      </c>
      <c r="AN14" s="246" t="s">
        <v>336</v>
      </c>
      <c r="AO14" s="660">
        <v>9</v>
      </c>
      <c r="AP14" s="257" t="str">
        <f>AD12</f>
        <v>N/A</v>
      </c>
      <c r="AQ14" s="257" t="str">
        <f t="shared" ref="AQ14:AT29" si="8">AE12</f>
        <v>N/A</v>
      </c>
      <c r="AR14" s="257" t="str">
        <f t="shared" si="8"/>
        <v>N/A</v>
      </c>
      <c r="AS14" s="257" t="str">
        <f t="shared" si="8"/>
        <v>N/A</v>
      </c>
      <c r="AT14" s="257" t="str">
        <f t="shared" si="8"/>
        <v>N/A</v>
      </c>
      <c r="AU14" s="663">
        <v>9</v>
      </c>
      <c r="AV14" s="257" t="str">
        <f t="shared" si="7"/>
        <v>N/A</v>
      </c>
      <c r="AW14" s="257" t="str">
        <f t="shared" si="3"/>
        <v>N/A</v>
      </c>
      <c r="AX14" s="257" t="str">
        <f t="shared" si="3"/>
        <v>N/A</v>
      </c>
      <c r="AY14" s="257" t="str">
        <f t="shared" si="3"/>
        <v>N/A</v>
      </c>
      <c r="AZ14" s="257" t="str">
        <f t="shared" si="3"/>
        <v>N/A</v>
      </c>
      <c r="BA14" s="236"/>
      <c r="BB14" s="236"/>
    </row>
    <row r="15" spans="1:54" x14ac:dyDescent="0.3">
      <c r="A15" s="236"/>
      <c r="B15" s="245">
        <v>10</v>
      </c>
      <c r="C15" s="265" t="str">
        <f t="shared" si="4"/>
        <v>N/A</v>
      </c>
      <c r="D15" s="265" t="str">
        <f t="shared" si="0"/>
        <v>N/A</v>
      </c>
      <c r="E15" s="265" t="str">
        <f t="shared" si="0"/>
        <v>N/A</v>
      </c>
      <c r="F15" s="265" t="str">
        <f t="shared" si="0"/>
        <v>N/A</v>
      </c>
      <c r="G15" s="265" t="str">
        <f t="shared" si="0"/>
        <v>N/A</v>
      </c>
      <c r="H15" s="253">
        <v>10</v>
      </c>
      <c r="I15" s="265" t="str">
        <f t="shared" si="5"/>
        <v>N/A</v>
      </c>
      <c r="J15" s="265" t="str">
        <f t="shared" si="1"/>
        <v>N/A</v>
      </c>
      <c r="K15" s="265" t="str">
        <f t="shared" si="1"/>
        <v>N/A</v>
      </c>
      <c r="L15" s="265" t="str">
        <f t="shared" si="1"/>
        <v>N/A</v>
      </c>
      <c r="M15" s="265" t="str">
        <f t="shared" si="1"/>
        <v>N/A</v>
      </c>
      <c r="N15" s="260"/>
      <c r="O15" s="236" t="s">
        <v>336</v>
      </c>
      <c r="P15" s="245">
        <v>12</v>
      </c>
      <c r="Q15" s="254" t="s">
        <v>336</v>
      </c>
      <c r="R15" s="254" t="s">
        <v>336</v>
      </c>
      <c r="S15" s="254" t="s">
        <v>336</v>
      </c>
      <c r="T15" s="254" t="s">
        <v>336</v>
      </c>
      <c r="U15" s="254" t="s">
        <v>336</v>
      </c>
      <c r="V15" s="253">
        <v>12</v>
      </c>
      <c r="W15" s="254" t="s">
        <v>336</v>
      </c>
      <c r="X15" s="254" t="s">
        <v>336</v>
      </c>
      <c r="Y15" s="254" t="s">
        <v>336</v>
      </c>
      <c r="Z15" s="254" t="s">
        <v>336</v>
      </c>
      <c r="AA15" s="254" t="s">
        <v>336</v>
      </c>
      <c r="AB15" s="236" t="s">
        <v>336</v>
      </c>
      <c r="AC15" s="664">
        <v>12</v>
      </c>
      <c r="AD15" s="254" t="s">
        <v>336</v>
      </c>
      <c r="AE15" s="254" t="s">
        <v>336</v>
      </c>
      <c r="AF15" s="254" t="s">
        <v>336</v>
      </c>
      <c r="AG15" s="254" t="s">
        <v>336</v>
      </c>
      <c r="AH15" s="254" t="s">
        <v>336</v>
      </c>
      <c r="AI15" s="663">
        <v>12</v>
      </c>
      <c r="AJ15" s="254" t="s">
        <v>336</v>
      </c>
      <c r="AK15" s="254" t="s">
        <v>336</v>
      </c>
      <c r="AL15" s="254" t="s">
        <v>336</v>
      </c>
      <c r="AM15" s="254" t="s">
        <v>336</v>
      </c>
      <c r="AN15" s="254" t="s">
        <v>336</v>
      </c>
      <c r="AO15" s="660">
        <v>10</v>
      </c>
      <c r="AP15" s="265" t="str">
        <f t="shared" si="6"/>
        <v>N/A</v>
      </c>
      <c r="AQ15" s="265" t="str">
        <f t="shared" si="8"/>
        <v>N/A</v>
      </c>
      <c r="AR15" s="265" t="str">
        <f t="shared" si="8"/>
        <v>N/A</v>
      </c>
      <c r="AS15" s="265" t="str">
        <f t="shared" si="8"/>
        <v>N/A</v>
      </c>
      <c r="AT15" s="265" t="str">
        <f t="shared" si="8"/>
        <v>N/A</v>
      </c>
      <c r="AU15" s="663">
        <v>10</v>
      </c>
      <c r="AV15" s="265" t="str">
        <f t="shared" si="7"/>
        <v>N/A</v>
      </c>
      <c r="AW15" s="265" t="str">
        <f t="shared" si="3"/>
        <v>N/A</v>
      </c>
      <c r="AX15" s="265" t="str">
        <f t="shared" si="3"/>
        <v>N/A</v>
      </c>
      <c r="AY15" s="265" t="str">
        <f t="shared" si="3"/>
        <v>N/A</v>
      </c>
      <c r="AZ15" s="265" t="str">
        <f t="shared" si="3"/>
        <v>N/A</v>
      </c>
      <c r="BA15" s="236"/>
      <c r="BB15" s="236"/>
    </row>
    <row r="16" spans="1:54" x14ac:dyDescent="0.3">
      <c r="A16" s="236"/>
      <c r="B16" s="245">
        <v>11</v>
      </c>
      <c r="C16" s="257" t="str">
        <f t="shared" si="4"/>
        <v>N/A</v>
      </c>
      <c r="D16" s="257" t="str">
        <f t="shared" si="0"/>
        <v>N/A</v>
      </c>
      <c r="E16" s="257" t="str">
        <f t="shared" si="0"/>
        <v>N/A</v>
      </c>
      <c r="F16" s="257" t="str">
        <f t="shared" si="0"/>
        <v>N/A</v>
      </c>
      <c r="G16" s="257" t="str">
        <f t="shared" si="0"/>
        <v>N/A</v>
      </c>
      <c r="H16" s="253">
        <v>11</v>
      </c>
      <c r="I16" s="257" t="str">
        <f t="shared" si="5"/>
        <v>N/A</v>
      </c>
      <c r="J16" s="257" t="str">
        <f t="shared" si="1"/>
        <v>N/A</v>
      </c>
      <c r="K16" s="257" t="str">
        <f t="shared" si="1"/>
        <v>N/A</v>
      </c>
      <c r="L16" s="257" t="str">
        <f t="shared" si="1"/>
        <v>N/A</v>
      </c>
      <c r="M16" s="257" t="str">
        <f t="shared" si="1"/>
        <v>N/A</v>
      </c>
      <c r="N16" s="260"/>
      <c r="O16" s="236" t="s">
        <v>336</v>
      </c>
      <c r="P16" s="245">
        <v>13</v>
      </c>
      <c r="Q16" s="246" t="s">
        <v>336</v>
      </c>
      <c r="R16" s="246" t="s">
        <v>336</v>
      </c>
      <c r="S16" s="246" t="s">
        <v>336</v>
      </c>
      <c r="T16" s="246" t="s">
        <v>336</v>
      </c>
      <c r="U16" s="246" t="s">
        <v>336</v>
      </c>
      <c r="V16" s="253">
        <v>13</v>
      </c>
      <c r="W16" s="246" t="s">
        <v>336</v>
      </c>
      <c r="X16" s="246" t="s">
        <v>336</v>
      </c>
      <c r="Y16" s="246" t="s">
        <v>336</v>
      </c>
      <c r="Z16" s="246" t="s">
        <v>336</v>
      </c>
      <c r="AA16" s="246" t="s">
        <v>336</v>
      </c>
      <c r="AB16" s="236" t="s">
        <v>336</v>
      </c>
      <c r="AC16" s="664">
        <v>13</v>
      </c>
      <c r="AD16" s="246" t="s">
        <v>336</v>
      </c>
      <c r="AE16" s="246" t="s">
        <v>336</v>
      </c>
      <c r="AF16" s="246" t="s">
        <v>336</v>
      </c>
      <c r="AG16" s="246" t="s">
        <v>336</v>
      </c>
      <c r="AH16" s="246" t="s">
        <v>336</v>
      </c>
      <c r="AI16" s="663">
        <v>13</v>
      </c>
      <c r="AJ16" s="246" t="s">
        <v>336</v>
      </c>
      <c r="AK16" s="246" t="s">
        <v>336</v>
      </c>
      <c r="AL16" s="246" t="s">
        <v>336</v>
      </c>
      <c r="AM16" s="246" t="s">
        <v>336</v>
      </c>
      <c r="AN16" s="246" t="s">
        <v>336</v>
      </c>
      <c r="AO16" s="660">
        <v>11</v>
      </c>
      <c r="AP16" s="257" t="str">
        <f t="shared" si="6"/>
        <v>N/A</v>
      </c>
      <c r="AQ16" s="257" t="str">
        <f t="shared" si="8"/>
        <v>N/A</v>
      </c>
      <c r="AR16" s="257" t="str">
        <f t="shared" si="8"/>
        <v>N/A</v>
      </c>
      <c r="AS16" s="257" t="str">
        <f t="shared" si="8"/>
        <v>N/A</v>
      </c>
      <c r="AT16" s="257" t="str">
        <f t="shared" si="8"/>
        <v>N/A</v>
      </c>
      <c r="AU16" s="663">
        <v>11</v>
      </c>
      <c r="AV16" s="257" t="str">
        <f t="shared" si="7"/>
        <v>N/A</v>
      </c>
      <c r="AW16" s="257" t="str">
        <f t="shared" si="3"/>
        <v>N/A</v>
      </c>
      <c r="AX16" s="257" t="str">
        <f t="shared" si="3"/>
        <v>N/A</v>
      </c>
      <c r="AY16" s="257" t="str">
        <f t="shared" si="3"/>
        <v>N/A</v>
      </c>
      <c r="AZ16" s="257" t="str">
        <f t="shared" si="3"/>
        <v>N/A</v>
      </c>
      <c r="BA16" s="236"/>
      <c r="BB16" s="236"/>
    </row>
    <row r="17" spans="1:54" x14ac:dyDescent="0.3">
      <c r="A17" s="236"/>
      <c r="B17" s="245">
        <v>12</v>
      </c>
      <c r="C17" s="271" t="str">
        <f t="shared" si="4"/>
        <v>N/A</v>
      </c>
      <c r="D17" s="271" t="str">
        <f t="shared" si="0"/>
        <v>N/A</v>
      </c>
      <c r="E17" s="271" t="str">
        <f t="shared" si="0"/>
        <v>N/A</v>
      </c>
      <c r="F17" s="271" t="str">
        <f t="shared" si="0"/>
        <v>N/A</v>
      </c>
      <c r="G17" s="271" t="str">
        <f t="shared" si="0"/>
        <v>N/A</v>
      </c>
      <c r="H17" s="253">
        <v>12</v>
      </c>
      <c r="I17" s="271" t="str">
        <f t="shared" si="5"/>
        <v>N/A</v>
      </c>
      <c r="J17" s="271" t="str">
        <f t="shared" si="1"/>
        <v>N/A</v>
      </c>
      <c r="K17" s="271" t="str">
        <f t="shared" si="1"/>
        <v>N/A</v>
      </c>
      <c r="L17" s="271" t="str">
        <f t="shared" si="1"/>
        <v>N/A</v>
      </c>
      <c r="M17" s="271" t="str">
        <f t="shared" si="1"/>
        <v>N/A</v>
      </c>
      <c r="N17" s="260"/>
      <c r="O17" s="236" t="s">
        <v>336</v>
      </c>
      <c r="P17" s="245">
        <v>14</v>
      </c>
      <c r="Q17" s="254" t="s">
        <v>336</v>
      </c>
      <c r="R17" s="254" t="s">
        <v>336</v>
      </c>
      <c r="S17" s="254" t="s">
        <v>336</v>
      </c>
      <c r="T17" s="254" t="s">
        <v>336</v>
      </c>
      <c r="U17" s="254" t="s">
        <v>336</v>
      </c>
      <c r="V17" s="253">
        <v>14</v>
      </c>
      <c r="W17" s="254" t="s">
        <v>336</v>
      </c>
      <c r="X17" s="254" t="s">
        <v>336</v>
      </c>
      <c r="Y17" s="254" t="s">
        <v>336</v>
      </c>
      <c r="Z17" s="254" t="s">
        <v>336</v>
      </c>
      <c r="AA17" s="254" t="s">
        <v>336</v>
      </c>
      <c r="AB17" s="236" t="s">
        <v>336</v>
      </c>
      <c r="AC17" s="664">
        <v>14</v>
      </c>
      <c r="AD17" s="254" t="s">
        <v>336</v>
      </c>
      <c r="AE17" s="254" t="s">
        <v>336</v>
      </c>
      <c r="AF17" s="254" t="s">
        <v>336</v>
      </c>
      <c r="AG17" s="254" t="s">
        <v>336</v>
      </c>
      <c r="AH17" s="254" t="s">
        <v>336</v>
      </c>
      <c r="AI17" s="663">
        <v>14</v>
      </c>
      <c r="AJ17" s="254" t="s">
        <v>336</v>
      </c>
      <c r="AK17" s="254" t="s">
        <v>336</v>
      </c>
      <c r="AL17" s="254" t="s">
        <v>336</v>
      </c>
      <c r="AM17" s="254" t="s">
        <v>336</v>
      </c>
      <c r="AN17" s="254" t="s">
        <v>336</v>
      </c>
      <c r="AO17" s="660">
        <v>12</v>
      </c>
      <c r="AP17" s="271" t="str">
        <f t="shared" si="6"/>
        <v>N/A</v>
      </c>
      <c r="AQ17" s="271" t="str">
        <f t="shared" si="8"/>
        <v>N/A</v>
      </c>
      <c r="AR17" s="271" t="str">
        <f t="shared" si="8"/>
        <v>N/A</v>
      </c>
      <c r="AS17" s="271" t="str">
        <f t="shared" si="8"/>
        <v>N/A</v>
      </c>
      <c r="AT17" s="271" t="str">
        <f t="shared" si="8"/>
        <v>N/A</v>
      </c>
      <c r="AU17" s="663">
        <v>12</v>
      </c>
      <c r="AV17" s="271" t="str">
        <f t="shared" si="7"/>
        <v>N/A</v>
      </c>
      <c r="AW17" s="271" t="str">
        <f t="shared" si="3"/>
        <v>N/A</v>
      </c>
      <c r="AX17" s="271" t="str">
        <f t="shared" si="3"/>
        <v>N/A</v>
      </c>
      <c r="AY17" s="271" t="str">
        <f t="shared" si="3"/>
        <v>N/A</v>
      </c>
      <c r="AZ17" s="271" t="str">
        <f t="shared" si="3"/>
        <v>N/A</v>
      </c>
      <c r="BA17" s="236"/>
      <c r="BB17" s="236"/>
    </row>
    <row r="18" spans="1:54" x14ac:dyDescent="0.3">
      <c r="A18" s="236"/>
      <c r="B18" s="245">
        <v>13</v>
      </c>
      <c r="C18" s="257" t="str">
        <f t="shared" si="4"/>
        <v>N/A</v>
      </c>
      <c r="D18" s="257" t="str">
        <f t="shared" si="0"/>
        <v>N/A</v>
      </c>
      <c r="E18" s="257" t="str">
        <f t="shared" si="0"/>
        <v>N/A</v>
      </c>
      <c r="F18" s="257" t="str">
        <f t="shared" si="0"/>
        <v>N/A</v>
      </c>
      <c r="G18" s="257" t="str">
        <f t="shared" si="0"/>
        <v>N/A</v>
      </c>
      <c r="H18" s="253">
        <v>13</v>
      </c>
      <c r="I18" s="257" t="str">
        <f t="shared" si="5"/>
        <v>N/A</v>
      </c>
      <c r="J18" s="257" t="str">
        <f t="shared" si="1"/>
        <v>N/A</v>
      </c>
      <c r="K18" s="257" t="str">
        <f t="shared" si="1"/>
        <v>N/A</v>
      </c>
      <c r="L18" s="257" t="str">
        <f t="shared" si="1"/>
        <v>N/A</v>
      </c>
      <c r="M18" s="257" t="str">
        <f t="shared" si="1"/>
        <v>N/A</v>
      </c>
      <c r="N18" s="168"/>
      <c r="O18" s="236" t="s">
        <v>336</v>
      </c>
      <c r="P18" s="245">
        <v>15</v>
      </c>
      <c r="Q18" s="246" t="s">
        <v>336</v>
      </c>
      <c r="R18" s="246" t="s">
        <v>336</v>
      </c>
      <c r="S18" s="246" t="s">
        <v>336</v>
      </c>
      <c r="T18" s="246" t="s">
        <v>336</v>
      </c>
      <c r="U18" s="246" t="s">
        <v>336</v>
      </c>
      <c r="V18" s="253">
        <v>15</v>
      </c>
      <c r="W18" s="246" t="s">
        <v>336</v>
      </c>
      <c r="X18" s="246" t="s">
        <v>336</v>
      </c>
      <c r="Y18" s="246" t="s">
        <v>336</v>
      </c>
      <c r="Z18" s="246" t="s">
        <v>336</v>
      </c>
      <c r="AA18" s="246" t="s">
        <v>336</v>
      </c>
      <c r="AB18" s="236" t="s">
        <v>336</v>
      </c>
      <c r="AC18" s="664">
        <v>15</v>
      </c>
      <c r="AD18" s="246" t="s">
        <v>336</v>
      </c>
      <c r="AE18" s="246" t="s">
        <v>336</v>
      </c>
      <c r="AF18" s="246" t="s">
        <v>336</v>
      </c>
      <c r="AG18" s="246" t="s">
        <v>336</v>
      </c>
      <c r="AH18" s="246" t="s">
        <v>336</v>
      </c>
      <c r="AI18" s="663">
        <v>15</v>
      </c>
      <c r="AJ18" s="246" t="s">
        <v>336</v>
      </c>
      <c r="AK18" s="246" t="s">
        <v>336</v>
      </c>
      <c r="AL18" s="246" t="s">
        <v>336</v>
      </c>
      <c r="AM18" s="246" t="s">
        <v>336</v>
      </c>
      <c r="AN18" s="246" t="s">
        <v>336</v>
      </c>
      <c r="AO18" s="660">
        <v>13</v>
      </c>
      <c r="AP18" s="257" t="str">
        <f t="shared" si="6"/>
        <v>N/A</v>
      </c>
      <c r="AQ18" s="257" t="str">
        <f t="shared" si="8"/>
        <v>N/A</v>
      </c>
      <c r="AR18" s="257" t="str">
        <f t="shared" si="8"/>
        <v>N/A</v>
      </c>
      <c r="AS18" s="257" t="str">
        <f t="shared" si="8"/>
        <v>N/A</v>
      </c>
      <c r="AT18" s="257" t="str">
        <f t="shared" si="8"/>
        <v>N/A</v>
      </c>
      <c r="AU18" s="663">
        <v>13</v>
      </c>
      <c r="AV18" s="257" t="str">
        <f t="shared" si="7"/>
        <v>N/A</v>
      </c>
      <c r="AW18" s="257" t="str">
        <f t="shared" si="3"/>
        <v>N/A</v>
      </c>
      <c r="AX18" s="257" t="str">
        <f t="shared" si="3"/>
        <v>N/A</v>
      </c>
      <c r="AY18" s="257" t="str">
        <f t="shared" si="3"/>
        <v>N/A</v>
      </c>
      <c r="AZ18" s="257" t="str">
        <f t="shared" si="3"/>
        <v>N/A</v>
      </c>
      <c r="BA18" s="236"/>
      <c r="BB18" s="236"/>
    </row>
    <row r="19" spans="1:54" x14ac:dyDescent="0.3">
      <c r="A19" s="236"/>
      <c r="B19" s="245">
        <v>14</v>
      </c>
      <c r="C19" s="265" t="str">
        <f t="shared" si="4"/>
        <v>N/A</v>
      </c>
      <c r="D19" s="265" t="str">
        <f t="shared" si="0"/>
        <v>N/A</v>
      </c>
      <c r="E19" s="265" t="str">
        <f t="shared" si="0"/>
        <v>N/A</v>
      </c>
      <c r="F19" s="265" t="str">
        <f t="shared" si="0"/>
        <v>N/A</v>
      </c>
      <c r="G19" s="265" t="str">
        <f t="shared" si="0"/>
        <v>N/A</v>
      </c>
      <c r="H19" s="253">
        <v>14</v>
      </c>
      <c r="I19" s="265" t="str">
        <f t="shared" si="5"/>
        <v>N/A</v>
      </c>
      <c r="J19" s="265" t="str">
        <f t="shared" si="1"/>
        <v>N/A</v>
      </c>
      <c r="K19" s="265" t="str">
        <f t="shared" si="1"/>
        <v>N/A</v>
      </c>
      <c r="L19" s="265" t="str">
        <f t="shared" si="1"/>
        <v>N/A</v>
      </c>
      <c r="M19" s="265" t="str">
        <f t="shared" si="1"/>
        <v>N/A</v>
      </c>
      <c r="N19" s="275"/>
      <c r="O19" s="236" t="s">
        <v>336</v>
      </c>
      <c r="P19" s="245">
        <v>16</v>
      </c>
      <c r="Q19" s="254" t="s">
        <v>336</v>
      </c>
      <c r="R19" s="254" t="s">
        <v>336</v>
      </c>
      <c r="S19" s="254" t="s">
        <v>336</v>
      </c>
      <c r="T19" s="254" t="s">
        <v>336</v>
      </c>
      <c r="U19" s="254" t="s">
        <v>336</v>
      </c>
      <c r="V19" s="253">
        <v>16</v>
      </c>
      <c r="W19" s="254" t="s">
        <v>336</v>
      </c>
      <c r="X19" s="254" t="s">
        <v>336</v>
      </c>
      <c r="Y19" s="254" t="s">
        <v>336</v>
      </c>
      <c r="Z19" s="254" t="s">
        <v>336</v>
      </c>
      <c r="AA19" s="254" t="s">
        <v>336</v>
      </c>
      <c r="AB19" s="236" t="s">
        <v>336</v>
      </c>
      <c r="AC19" s="664">
        <v>16</v>
      </c>
      <c r="AD19" s="254" t="s">
        <v>336</v>
      </c>
      <c r="AE19" s="254" t="s">
        <v>336</v>
      </c>
      <c r="AF19" s="254" t="s">
        <v>336</v>
      </c>
      <c r="AG19" s="254" t="s">
        <v>336</v>
      </c>
      <c r="AH19" s="254" t="s">
        <v>336</v>
      </c>
      <c r="AI19" s="663">
        <v>16</v>
      </c>
      <c r="AJ19" s="254" t="s">
        <v>336</v>
      </c>
      <c r="AK19" s="254" t="s">
        <v>336</v>
      </c>
      <c r="AL19" s="254" t="s">
        <v>336</v>
      </c>
      <c r="AM19" s="254" t="s">
        <v>336</v>
      </c>
      <c r="AN19" s="254" t="s">
        <v>336</v>
      </c>
      <c r="AO19" s="660">
        <v>14</v>
      </c>
      <c r="AP19" s="265" t="str">
        <f t="shared" si="6"/>
        <v>N/A</v>
      </c>
      <c r="AQ19" s="265" t="str">
        <f t="shared" si="8"/>
        <v>N/A</v>
      </c>
      <c r="AR19" s="265" t="str">
        <f t="shared" si="8"/>
        <v>N/A</v>
      </c>
      <c r="AS19" s="265" t="str">
        <f t="shared" si="8"/>
        <v>N/A</v>
      </c>
      <c r="AT19" s="265" t="str">
        <f t="shared" si="8"/>
        <v>N/A</v>
      </c>
      <c r="AU19" s="663">
        <v>14</v>
      </c>
      <c r="AV19" s="265" t="str">
        <f t="shared" si="7"/>
        <v>N/A</v>
      </c>
      <c r="AW19" s="265" t="str">
        <f t="shared" si="3"/>
        <v>N/A</v>
      </c>
      <c r="AX19" s="265" t="str">
        <f t="shared" si="3"/>
        <v>N/A</v>
      </c>
      <c r="AY19" s="265" t="str">
        <f t="shared" si="3"/>
        <v>N/A</v>
      </c>
      <c r="AZ19" s="265" t="str">
        <f t="shared" si="3"/>
        <v>N/A</v>
      </c>
      <c r="BA19" s="236"/>
      <c r="BB19" s="236"/>
    </row>
    <row r="20" spans="1:54" x14ac:dyDescent="0.3">
      <c r="A20" s="236"/>
      <c r="B20" s="245">
        <v>15</v>
      </c>
      <c r="C20" s="257" t="str">
        <f t="shared" si="4"/>
        <v>N/A</v>
      </c>
      <c r="D20" s="257" t="str">
        <f t="shared" si="0"/>
        <v>N/A</v>
      </c>
      <c r="E20" s="257" t="str">
        <f t="shared" si="0"/>
        <v>N/A</v>
      </c>
      <c r="F20" s="257" t="str">
        <f t="shared" si="0"/>
        <v>N/A</v>
      </c>
      <c r="G20" s="257" t="str">
        <f t="shared" si="0"/>
        <v>N/A</v>
      </c>
      <c r="H20" s="253">
        <v>15</v>
      </c>
      <c r="I20" s="257" t="str">
        <f t="shared" si="5"/>
        <v>N/A</v>
      </c>
      <c r="J20" s="257" t="str">
        <f t="shared" si="1"/>
        <v>N/A</v>
      </c>
      <c r="K20" s="257" t="str">
        <f t="shared" si="1"/>
        <v>N/A</v>
      </c>
      <c r="L20" s="257" t="str">
        <f t="shared" si="1"/>
        <v>N/A</v>
      </c>
      <c r="M20" s="257" t="str">
        <f t="shared" si="1"/>
        <v>N/A</v>
      </c>
      <c r="N20" s="238"/>
      <c r="O20" s="236" t="s">
        <v>336</v>
      </c>
      <c r="P20" s="245">
        <v>17</v>
      </c>
      <c r="Q20" s="246" t="s">
        <v>336</v>
      </c>
      <c r="R20" s="246" t="s">
        <v>336</v>
      </c>
      <c r="S20" s="246" t="s">
        <v>336</v>
      </c>
      <c r="T20" s="246" t="s">
        <v>336</v>
      </c>
      <c r="U20" s="246" t="s">
        <v>336</v>
      </c>
      <c r="V20" s="253">
        <v>17</v>
      </c>
      <c r="W20" s="246" t="s">
        <v>336</v>
      </c>
      <c r="X20" s="246" t="s">
        <v>336</v>
      </c>
      <c r="Y20" s="246" t="s">
        <v>336</v>
      </c>
      <c r="Z20" s="246" t="s">
        <v>336</v>
      </c>
      <c r="AA20" s="246" t="s">
        <v>336</v>
      </c>
      <c r="AB20" s="236" t="s">
        <v>336</v>
      </c>
      <c r="AC20" s="664">
        <v>17</v>
      </c>
      <c r="AD20" s="246" t="s">
        <v>336</v>
      </c>
      <c r="AE20" s="246" t="s">
        <v>336</v>
      </c>
      <c r="AF20" s="246" t="s">
        <v>336</v>
      </c>
      <c r="AG20" s="246" t="s">
        <v>336</v>
      </c>
      <c r="AH20" s="246" t="s">
        <v>336</v>
      </c>
      <c r="AI20" s="663">
        <v>17</v>
      </c>
      <c r="AJ20" s="246" t="s">
        <v>336</v>
      </c>
      <c r="AK20" s="246" t="s">
        <v>336</v>
      </c>
      <c r="AL20" s="246" t="s">
        <v>336</v>
      </c>
      <c r="AM20" s="246" t="s">
        <v>336</v>
      </c>
      <c r="AN20" s="246" t="s">
        <v>336</v>
      </c>
      <c r="AO20" s="660">
        <v>15</v>
      </c>
      <c r="AP20" s="257" t="str">
        <f t="shared" si="6"/>
        <v>N/A</v>
      </c>
      <c r="AQ20" s="257" t="str">
        <f t="shared" si="8"/>
        <v>N/A</v>
      </c>
      <c r="AR20" s="257" t="str">
        <f t="shared" si="8"/>
        <v>N/A</v>
      </c>
      <c r="AS20" s="257" t="str">
        <f t="shared" si="8"/>
        <v>N/A</v>
      </c>
      <c r="AT20" s="257" t="str">
        <f t="shared" si="8"/>
        <v>N/A</v>
      </c>
      <c r="AU20" s="663">
        <v>15</v>
      </c>
      <c r="AV20" s="257" t="str">
        <f t="shared" si="7"/>
        <v>N/A</v>
      </c>
      <c r="AW20" s="257" t="str">
        <f t="shared" si="3"/>
        <v>N/A</v>
      </c>
      <c r="AX20" s="257" t="str">
        <f t="shared" si="3"/>
        <v>N/A</v>
      </c>
      <c r="AY20" s="257" t="str">
        <f t="shared" si="3"/>
        <v>N/A</v>
      </c>
      <c r="AZ20" s="257" t="str">
        <f t="shared" si="3"/>
        <v>N/A</v>
      </c>
      <c r="BA20" s="236"/>
      <c r="BB20" s="236"/>
    </row>
    <row r="21" spans="1:54" x14ac:dyDescent="0.3">
      <c r="A21" s="236"/>
      <c r="B21" s="245">
        <v>16</v>
      </c>
      <c r="C21" s="265" t="str">
        <f t="shared" si="4"/>
        <v>N/A</v>
      </c>
      <c r="D21" s="265" t="str">
        <f t="shared" si="0"/>
        <v>N/A</v>
      </c>
      <c r="E21" s="265" t="str">
        <f t="shared" si="0"/>
        <v>N/A</v>
      </c>
      <c r="F21" s="265" t="str">
        <f t="shared" si="0"/>
        <v>N/A</v>
      </c>
      <c r="G21" s="265" t="str">
        <f t="shared" si="0"/>
        <v>N/A</v>
      </c>
      <c r="H21" s="253">
        <v>16</v>
      </c>
      <c r="I21" s="265" t="str">
        <f t="shared" si="5"/>
        <v>N/A</v>
      </c>
      <c r="J21" s="265" t="str">
        <f t="shared" si="1"/>
        <v>N/A</v>
      </c>
      <c r="K21" s="265" t="str">
        <f t="shared" si="1"/>
        <v>N/A</v>
      </c>
      <c r="L21" s="265" t="str">
        <f t="shared" si="1"/>
        <v>N/A</v>
      </c>
      <c r="M21" s="265" t="str">
        <f t="shared" si="1"/>
        <v>N/A</v>
      </c>
      <c r="N21" s="249"/>
      <c r="O21" s="236" t="s">
        <v>336</v>
      </c>
      <c r="P21" s="245">
        <v>18</v>
      </c>
      <c r="Q21" s="254" t="s">
        <v>336</v>
      </c>
      <c r="R21" s="254" t="s">
        <v>336</v>
      </c>
      <c r="S21" s="254" t="s">
        <v>336</v>
      </c>
      <c r="T21" s="254" t="s">
        <v>336</v>
      </c>
      <c r="U21" s="254" t="s">
        <v>336</v>
      </c>
      <c r="V21" s="253">
        <v>18</v>
      </c>
      <c r="W21" s="254" t="s">
        <v>336</v>
      </c>
      <c r="X21" s="254" t="s">
        <v>336</v>
      </c>
      <c r="Y21" s="254" t="s">
        <v>336</v>
      </c>
      <c r="Z21" s="254" t="s">
        <v>336</v>
      </c>
      <c r="AA21" s="254" t="s">
        <v>336</v>
      </c>
      <c r="AB21" s="236" t="s">
        <v>336</v>
      </c>
      <c r="AC21" s="664">
        <v>18</v>
      </c>
      <c r="AD21" s="254" t="s">
        <v>336</v>
      </c>
      <c r="AE21" s="254" t="s">
        <v>336</v>
      </c>
      <c r="AF21" s="254" t="s">
        <v>336</v>
      </c>
      <c r="AG21" s="254" t="s">
        <v>336</v>
      </c>
      <c r="AH21" s="254" t="s">
        <v>336</v>
      </c>
      <c r="AI21" s="663">
        <v>18</v>
      </c>
      <c r="AJ21" s="254" t="s">
        <v>336</v>
      </c>
      <c r="AK21" s="254" t="s">
        <v>336</v>
      </c>
      <c r="AL21" s="254" t="s">
        <v>336</v>
      </c>
      <c r="AM21" s="254" t="s">
        <v>336</v>
      </c>
      <c r="AN21" s="254" t="s">
        <v>336</v>
      </c>
      <c r="AO21" s="660">
        <v>16</v>
      </c>
      <c r="AP21" s="265" t="str">
        <f t="shared" si="6"/>
        <v>N/A</v>
      </c>
      <c r="AQ21" s="265" t="str">
        <f t="shared" si="8"/>
        <v>N/A</v>
      </c>
      <c r="AR21" s="265" t="str">
        <f t="shared" si="8"/>
        <v>N/A</v>
      </c>
      <c r="AS21" s="265" t="str">
        <f t="shared" si="8"/>
        <v>N/A</v>
      </c>
      <c r="AT21" s="265" t="str">
        <f t="shared" si="8"/>
        <v>N/A</v>
      </c>
      <c r="AU21" s="663">
        <v>16</v>
      </c>
      <c r="AV21" s="265" t="str">
        <f t="shared" si="7"/>
        <v>N/A</v>
      </c>
      <c r="AW21" s="265" t="str">
        <f t="shared" si="3"/>
        <v>N/A</v>
      </c>
      <c r="AX21" s="265" t="str">
        <f t="shared" si="3"/>
        <v>N/A</v>
      </c>
      <c r="AY21" s="265" t="str">
        <f t="shared" si="3"/>
        <v>N/A</v>
      </c>
      <c r="AZ21" s="265" t="str">
        <f t="shared" si="3"/>
        <v>N/A</v>
      </c>
      <c r="BA21" s="236"/>
      <c r="BB21" s="236"/>
    </row>
    <row r="22" spans="1:54" x14ac:dyDescent="0.3">
      <c r="A22" s="236"/>
      <c r="B22" s="245">
        <v>17</v>
      </c>
      <c r="C22" s="257" t="str">
        <f t="shared" si="4"/>
        <v>N/A</v>
      </c>
      <c r="D22" s="257" t="str">
        <f t="shared" ref="D22:D29" si="9">R20</f>
        <v>N/A</v>
      </c>
      <c r="E22" s="257" t="str">
        <f t="shared" ref="E22:E29" si="10">S20</f>
        <v>N/A</v>
      </c>
      <c r="F22" s="257" t="str">
        <f t="shared" ref="F22:F29" si="11">T20</f>
        <v>N/A</v>
      </c>
      <c r="G22" s="257" t="str">
        <f t="shared" ref="G22:G29" si="12">U20</f>
        <v>N/A</v>
      </c>
      <c r="H22" s="253">
        <v>17</v>
      </c>
      <c r="I22" s="257" t="str">
        <f t="shared" si="5"/>
        <v>N/A</v>
      </c>
      <c r="J22" s="257" t="str">
        <f t="shared" ref="J22:J29" si="13">X20</f>
        <v>N/A</v>
      </c>
      <c r="K22" s="257" t="str">
        <f t="shared" ref="K22:K29" si="14">Y20</f>
        <v>N/A</v>
      </c>
      <c r="L22" s="257" t="str">
        <f t="shared" ref="L22:L29" si="15">Z20</f>
        <v>N/A</v>
      </c>
      <c r="M22" s="257" t="str">
        <f t="shared" ref="M22:M29" si="16">AA20</f>
        <v>N/A</v>
      </c>
      <c r="N22" s="260"/>
      <c r="O22" s="236" t="s">
        <v>336</v>
      </c>
      <c r="P22" s="245">
        <v>19</v>
      </c>
      <c r="Q22" s="246" t="s">
        <v>336</v>
      </c>
      <c r="R22" s="246" t="s">
        <v>336</v>
      </c>
      <c r="S22" s="246" t="s">
        <v>336</v>
      </c>
      <c r="T22" s="246" t="s">
        <v>336</v>
      </c>
      <c r="U22" s="246" t="s">
        <v>336</v>
      </c>
      <c r="V22" s="253">
        <v>19</v>
      </c>
      <c r="W22" s="246" t="s">
        <v>336</v>
      </c>
      <c r="X22" s="246" t="s">
        <v>336</v>
      </c>
      <c r="Y22" s="246" t="s">
        <v>336</v>
      </c>
      <c r="Z22" s="246" t="s">
        <v>336</v>
      </c>
      <c r="AA22" s="246" t="s">
        <v>336</v>
      </c>
      <c r="AB22" s="236" t="s">
        <v>336</v>
      </c>
      <c r="AC22" s="664">
        <v>19</v>
      </c>
      <c r="AD22" s="246" t="s">
        <v>336</v>
      </c>
      <c r="AE22" s="246" t="s">
        <v>336</v>
      </c>
      <c r="AF22" s="246" t="s">
        <v>336</v>
      </c>
      <c r="AG22" s="246" t="s">
        <v>336</v>
      </c>
      <c r="AH22" s="246" t="s">
        <v>336</v>
      </c>
      <c r="AI22" s="663">
        <v>19</v>
      </c>
      <c r="AJ22" s="246" t="s">
        <v>336</v>
      </c>
      <c r="AK22" s="246" t="s">
        <v>336</v>
      </c>
      <c r="AL22" s="246" t="s">
        <v>336</v>
      </c>
      <c r="AM22" s="246" t="s">
        <v>336</v>
      </c>
      <c r="AN22" s="246" t="s">
        <v>336</v>
      </c>
      <c r="AO22" s="660">
        <v>17</v>
      </c>
      <c r="AP22" s="257" t="str">
        <f t="shared" si="6"/>
        <v>N/A</v>
      </c>
      <c r="AQ22" s="257" t="str">
        <f t="shared" si="8"/>
        <v>N/A</v>
      </c>
      <c r="AR22" s="257" t="str">
        <f t="shared" si="8"/>
        <v>N/A</v>
      </c>
      <c r="AS22" s="257" t="str">
        <f t="shared" si="8"/>
        <v>N/A</v>
      </c>
      <c r="AT22" s="257" t="str">
        <f t="shared" si="8"/>
        <v>N/A</v>
      </c>
      <c r="AU22" s="663">
        <v>17</v>
      </c>
      <c r="AV22" s="257" t="str">
        <f t="shared" si="7"/>
        <v>N/A</v>
      </c>
      <c r="AW22" s="257" t="str">
        <f t="shared" ref="AW22:AW29" si="17">AK20</f>
        <v>N/A</v>
      </c>
      <c r="AX22" s="257" t="str">
        <f t="shared" ref="AX22:AX29" si="18">AL20</f>
        <v>N/A</v>
      </c>
      <c r="AY22" s="257" t="str">
        <f t="shared" ref="AY22:AY29" si="19">AM20</f>
        <v>N/A</v>
      </c>
      <c r="AZ22" s="257" t="str">
        <f t="shared" ref="AZ22:AZ29" si="20">AN20</f>
        <v>N/A</v>
      </c>
      <c r="BA22" s="236"/>
      <c r="BB22" s="236"/>
    </row>
    <row r="23" spans="1:54" x14ac:dyDescent="0.3">
      <c r="A23" s="236"/>
      <c r="B23" s="245">
        <v>18</v>
      </c>
      <c r="C23" s="265" t="str">
        <f t="shared" si="4"/>
        <v>N/A</v>
      </c>
      <c r="D23" s="265" t="str">
        <f t="shared" si="9"/>
        <v>N/A</v>
      </c>
      <c r="E23" s="265" t="str">
        <f t="shared" si="10"/>
        <v>N/A</v>
      </c>
      <c r="F23" s="265" t="str">
        <f t="shared" si="11"/>
        <v>N/A</v>
      </c>
      <c r="G23" s="265" t="str">
        <f t="shared" si="12"/>
        <v>N/A</v>
      </c>
      <c r="H23" s="253">
        <v>18</v>
      </c>
      <c r="I23" s="265" t="str">
        <f t="shared" si="5"/>
        <v>N/A</v>
      </c>
      <c r="J23" s="265" t="str">
        <f t="shared" si="13"/>
        <v>N/A</v>
      </c>
      <c r="K23" s="265" t="str">
        <f t="shared" si="14"/>
        <v>N/A</v>
      </c>
      <c r="L23" s="265" t="str">
        <f t="shared" si="15"/>
        <v>N/A</v>
      </c>
      <c r="M23" s="265" t="str">
        <f t="shared" si="16"/>
        <v>N/A</v>
      </c>
      <c r="N23" s="260"/>
      <c r="O23" s="236" t="s">
        <v>336</v>
      </c>
      <c r="P23" s="245">
        <v>20</v>
      </c>
      <c r="Q23" s="254" t="s">
        <v>336</v>
      </c>
      <c r="R23" s="254" t="s">
        <v>336</v>
      </c>
      <c r="S23" s="254" t="s">
        <v>336</v>
      </c>
      <c r="T23" s="254" t="s">
        <v>336</v>
      </c>
      <c r="U23" s="254" t="s">
        <v>336</v>
      </c>
      <c r="V23" s="253">
        <v>20</v>
      </c>
      <c r="W23" s="254" t="s">
        <v>336</v>
      </c>
      <c r="X23" s="254" t="s">
        <v>336</v>
      </c>
      <c r="Y23" s="254" t="s">
        <v>336</v>
      </c>
      <c r="Z23" s="254" t="s">
        <v>336</v>
      </c>
      <c r="AA23" s="254" t="s">
        <v>336</v>
      </c>
      <c r="AB23" s="236" t="s">
        <v>336</v>
      </c>
      <c r="AC23" s="664">
        <v>20</v>
      </c>
      <c r="AD23" s="254" t="s">
        <v>336</v>
      </c>
      <c r="AE23" s="254" t="s">
        <v>336</v>
      </c>
      <c r="AF23" s="254" t="s">
        <v>336</v>
      </c>
      <c r="AG23" s="254" t="s">
        <v>336</v>
      </c>
      <c r="AH23" s="254" t="s">
        <v>336</v>
      </c>
      <c r="AI23" s="663">
        <v>20</v>
      </c>
      <c r="AJ23" s="254" t="s">
        <v>336</v>
      </c>
      <c r="AK23" s="254" t="s">
        <v>336</v>
      </c>
      <c r="AL23" s="254" t="s">
        <v>336</v>
      </c>
      <c r="AM23" s="254" t="s">
        <v>336</v>
      </c>
      <c r="AN23" s="254" t="s">
        <v>336</v>
      </c>
      <c r="AO23" s="660">
        <v>18</v>
      </c>
      <c r="AP23" s="265" t="str">
        <f t="shared" si="6"/>
        <v>N/A</v>
      </c>
      <c r="AQ23" s="265" t="str">
        <f t="shared" si="8"/>
        <v>N/A</v>
      </c>
      <c r="AR23" s="265" t="str">
        <f t="shared" si="8"/>
        <v>N/A</v>
      </c>
      <c r="AS23" s="265" t="str">
        <f t="shared" si="8"/>
        <v>N/A</v>
      </c>
      <c r="AT23" s="265" t="str">
        <f t="shared" si="8"/>
        <v>N/A</v>
      </c>
      <c r="AU23" s="663">
        <v>18</v>
      </c>
      <c r="AV23" s="265" t="str">
        <f t="shared" si="7"/>
        <v>N/A</v>
      </c>
      <c r="AW23" s="265" t="str">
        <f t="shared" si="17"/>
        <v>N/A</v>
      </c>
      <c r="AX23" s="265" t="str">
        <f t="shared" si="18"/>
        <v>N/A</v>
      </c>
      <c r="AY23" s="265" t="str">
        <f t="shared" si="19"/>
        <v>N/A</v>
      </c>
      <c r="AZ23" s="265" t="str">
        <f t="shared" si="20"/>
        <v>N/A</v>
      </c>
      <c r="BA23" s="236"/>
      <c r="BB23" s="236"/>
    </row>
    <row r="24" spans="1:54" x14ac:dyDescent="0.3">
      <c r="A24" s="236"/>
      <c r="B24" s="245">
        <v>19</v>
      </c>
      <c r="C24" s="257" t="str">
        <f t="shared" si="4"/>
        <v>N/A</v>
      </c>
      <c r="D24" s="257" t="str">
        <f t="shared" si="9"/>
        <v>N/A</v>
      </c>
      <c r="E24" s="257" t="str">
        <f t="shared" si="10"/>
        <v>N/A</v>
      </c>
      <c r="F24" s="257" t="str">
        <f t="shared" si="11"/>
        <v>N/A</v>
      </c>
      <c r="G24" s="257" t="str">
        <f t="shared" si="12"/>
        <v>N/A</v>
      </c>
      <c r="H24" s="253">
        <v>19</v>
      </c>
      <c r="I24" s="257" t="str">
        <f t="shared" si="5"/>
        <v>N/A</v>
      </c>
      <c r="J24" s="257" t="str">
        <f t="shared" si="13"/>
        <v>N/A</v>
      </c>
      <c r="K24" s="257" t="str">
        <f t="shared" si="14"/>
        <v>N/A</v>
      </c>
      <c r="L24" s="257" t="str">
        <f t="shared" si="15"/>
        <v>N/A</v>
      </c>
      <c r="M24" s="257" t="str">
        <f t="shared" si="16"/>
        <v>N/A</v>
      </c>
      <c r="N24" s="260"/>
      <c r="O24" s="236" t="s">
        <v>336</v>
      </c>
      <c r="P24" s="245">
        <v>21</v>
      </c>
      <c r="Q24" s="246" t="s">
        <v>336</v>
      </c>
      <c r="R24" s="246" t="s">
        <v>336</v>
      </c>
      <c r="S24" s="246" t="s">
        <v>336</v>
      </c>
      <c r="T24" s="246" t="s">
        <v>336</v>
      </c>
      <c r="U24" s="246" t="s">
        <v>336</v>
      </c>
      <c r="V24" s="253">
        <v>21</v>
      </c>
      <c r="W24" s="246" t="s">
        <v>336</v>
      </c>
      <c r="X24" s="246" t="s">
        <v>336</v>
      </c>
      <c r="Y24" s="246" t="s">
        <v>336</v>
      </c>
      <c r="Z24" s="246" t="s">
        <v>336</v>
      </c>
      <c r="AA24" s="246" t="s">
        <v>336</v>
      </c>
      <c r="AB24" s="236" t="s">
        <v>336</v>
      </c>
      <c r="AC24" s="664">
        <v>21</v>
      </c>
      <c r="AD24" s="246" t="s">
        <v>336</v>
      </c>
      <c r="AE24" s="246" t="s">
        <v>336</v>
      </c>
      <c r="AF24" s="246" t="s">
        <v>336</v>
      </c>
      <c r="AG24" s="246" t="s">
        <v>336</v>
      </c>
      <c r="AH24" s="246" t="s">
        <v>336</v>
      </c>
      <c r="AI24" s="663">
        <v>21</v>
      </c>
      <c r="AJ24" s="246" t="s">
        <v>336</v>
      </c>
      <c r="AK24" s="246" t="s">
        <v>336</v>
      </c>
      <c r="AL24" s="246" t="s">
        <v>336</v>
      </c>
      <c r="AM24" s="246" t="s">
        <v>336</v>
      </c>
      <c r="AN24" s="246" t="s">
        <v>336</v>
      </c>
      <c r="AO24" s="660">
        <v>19</v>
      </c>
      <c r="AP24" s="257" t="str">
        <f t="shared" si="6"/>
        <v>N/A</v>
      </c>
      <c r="AQ24" s="257" t="str">
        <f t="shared" si="8"/>
        <v>N/A</v>
      </c>
      <c r="AR24" s="257" t="str">
        <f t="shared" si="8"/>
        <v>N/A</v>
      </c>
      <c r="AS24" s="257" t="str">
        <f t="shared" si="8"/>
        <v>N/A</v>
      </c>
      <c r="AT24" s="257" t="str">
        <f t="shared" si="8"/>
        <v>N/A</v>
      </c>
      <c r="AU24" s="663">
        <v>19</v>
      </c>
      <c r="AV24" s="257" t="str">
        <f t="shared" si="7"/>
        <v>N/A</v>
      </c>
      <c r="AW24" s="257" t="str">
        <f t="shared" si="17"/>
        <v>N/A</v>
      </c>
      <c r="AX24" s="257" t="str">
        <f t="shared" si="18"/>
        <v>N/A</v>
      </c>
      <c r="AY24" s="257" t="str">
        <f t="shared" si="19"/>
        <v>N/A</v>
      </c>
      <c r="AZ24" s="257" t="str">
        <f t="shared" si="20"/>
        <v>N/A</v>
      </c>
      <c r="BA24" s="236"/>
      <c r="BB24" s="236"/>
    </row>
    <row r="25" spans="1:54" x14ac:dyDescent="0.3">
      <c r="A25" s="236"/>
      <c r="B25" s="245">
        <v>20</v>
      </c>
      <c r="C25" s="265" t="str">
        <f t="shared" si="4"/>
        <v>N/A</v>
      </c>
      <c r="D25" s="265" t="str">
        <f t="shared" si="9"/>
        <v>N/A</v>
      </c>
      <c r="E25" s="265" t="str">
        <f t="shared" si="10"/>
        <v>N/A</v>
      </c>
      <c r="F25" s="265" t="str">
        <f t="shared" si="11"/>
        <v>N/A</v>
      </c>
      <c r="G25" s="265" t="str">
        <f t="shared" si="12"/>
        <v>N/A</v>
      </c>
      <c r="H25" s="253">
        <v>20</v>
      </c>
      <c r="I25" s="265" t="str">
        <f t="shared" si="5"/>
        <v>N/A</v>
      </c>
      <c r="J25" s="265" t="str">
        <f t="shared" si="13"/>
        <v>N/A</v>
      </c>
      <c r="K25" s="265" t="str">
        <f t="shared" si="14"/>
        <v>N/A</v>
      </c>
      <c r="L25" s="265" t="str">
        <f t="shared" si="15"/>
        <v>N/A</v>
      </c>
      <c r="M25" s="265" t="str">
        <f t="shared" si="16"/>
        <v>N/A</v>
      </c>
      <c r="N25" s="260"/>
      <c r="O25" s="236" t="s">
        <v>336</v>
      </c>
      <c r="P25" s="245">
        <v>22</v>
      </c>
      <c r="Q25" s="254" t="s">
        <v>336</v>
      </c>
      <c r="R25" s="254" t="s">
        <v>336</v>
      </c>
      <c r="S25" s="254" t="s">
        <v>336</v>
      </c>
      <c r="T25" s="254" t="s">
        <v>336</v>
      </c>
      <c r="U25" s="254" t="s">
        <v>336</v>
      </c>
      <c r="V25" s="253">
        <v>22</v>
      </c>
      <c r="W25" s="254" t="s">
        <v>336</v>
      </c>
      <c r="X25" s="254" t="s">
        <v>336</v>
      </c>
      <c r="Y25" s="254" t="s">
        <v>336</v>
      </c>
      <c r="Z25" s="254" t="s">
        <v>336</v>
      </c>
      <c r="AA25" s="254" t="s">
        <v>336</v>
      </c>
      <c r="AB25" s="236" t="s">
        <v>336</v>
      </c>
      <c r="AC25" s="664">
        <v>22</v>
      </c>
      <c r="AD25" s="254" t="s">
        <v>336</v>
      </c>
      <c r="AE25" s="254" t="s">
        <v>336</v>
      </c>
      <c r="AF25" s="254" t="s">
        <v>336</v>
      </c>
      <c r="AG25" s="254" t="s">
        <v>336</v>
      </c>
      <c r="AH25" s="254" t="s">
        <v>336</v>
      </c>
      <c r="AI25" s="663">
        <v>22</v>
      </c>
      <c r="AJ25" s="254" t="s">
        <v>336</v>
      </c>
      <c r="AK25" s="254" t="s">
        <v>336</v>
      </c>
      <c r="AL25" s="254" t="s">
        <v>336</v>
      </c>
      <c r="AM25" s="254" t="s">
        <v>336</v>
      </c>
      <c r="AN25" s="254" t="s">
        <v>336</v>
      </c>
      <c r="AO25" s="660">
        <v>20</v>
      </c>
      <c r="AP25" s="265" t="str">
        <f t="shared" si="6"/>
        <v>N/A</v>
      </c>
      <c r="AQ25" s="265" t="str">
        <f t="shared" si="8"/>
        <v>N/A</v>
      </c>
      <c r="AR25" s="265" t="str">
        <f t="shared" si="8"/>
        <v>N/A</v>
      </c>
      <c r="AS25" s="265" t="str">
        <f t="shared" si="8"/>
        <v>N/A</v>
      </c>
      <c r="AT25" s="265" t="str">
        <f t="shared" si="8"/>
        <v>N/A</v>
      </c>
      <c r="AU25" s="663">
        <v>20</v>
      </c>
      <c r="AV25" s="265" t="str">
        <f t="shared" si="7"/>
        <v>N/A</v>
      </c>
      <c r="AW25" s="265" t="str">
        <f t="shared" si="17"/>
        <v>N/A</v>
      </c>
      <c r="AX25" s="265" t="str">
        <f t="shared" si="18"/>
        <v>N/A</v>
      </c>
      <c r="AY25" s="265" t="str">
        <f t="shared" si="19"/>
        <v>N/A</v>
      </c>
      <c r="AZ25" s="265" t="str">
        <f t="shared" si="20"/>
        <v>N/A</v>
      </c>
      <c r="BA25" s="236"/>
      <c r="BB25" s="236"/>
    </row>
    <row r="26" spans="1:54" x14ac:dyDescent="0.3">
      <c r="A26" s="236"/>
      <c r="B26" s="245">
        <v>21</v>
      </c>
      <c r="C26" s="257" t="str">
        <f t="shared" si="4"/>
        <v>N/A</v>
      </c>
      <c r="D26" s="257" t="str">
        <f t="shared" si="9"/>
        <v>N/A</v>
      </c>
      <c r="E26" s="257" t="str">
        <f t="shared" si="10"/>
        <v>N/A</v>
      </c>
      <c r="F26" s="257" t="str">
        <f t="shared" si="11"/>
        <v>N/A</v>
      </c>
      <c r="G26" s="257" t="str">
        <f t="shared" si="12"/>
        <v>N/A</v>
      </c>
      <c r="H26" s="253">
        <v>21</v>
      </c>
      <c r="I26" s="257" t="str">
        <f t="shared" si="5"/>
        <v>N/A</v>
      </c>
      <c r="J26" s="257" t="str">
        <f t="shared" si="13"/>
        <v>N/A</v>
      </c>
      <c r="K26" s="257" t="str">
        <f t="shared" si="14"/>
        <v>N/A</v>
      </c>
      <c r="L26" s="257" t="str">
        <f t="shared" si="15"/>
        <v>N/A</v>
      </c>
      <c r="M26" s="257" t="str">
        <f t="shared" si="16"/>
        <v>N/A</v>
      </c>
      <c r="N26" s="260"/>
      <c r="O26" s="236" t="s">
        <v>336</v>
      </c>
      <c r="P26" s="245">
        <v>23</v>
      </c>
      <c r="Q26" s="246" t="s">
        <v>336</v>
      </c>
      <c r="R26" s="246" t="s">
        <v>336</v>
      </c>
      <c r="S26" s="246" t="s">
        <v>336</v>
      </c>
      <c r="T26" s="246" t="s">
        <v>336</v>
      </c>
      <c r="U26" s="246" t="s">
        <v>336</v>
      </c>
      <c r="V26" s="253">
        <v>23</v>
      </c>
      <c r="W26" s="246" t="s">
        <v>336</v>
      </c>
      <c r="X26" s="246" t="s">
        <v>336</v>
      </c>
      <c r="Y26" s="246" t="s">
        <v>336</v>
      </c>
      <c r="Z26" s="246" t="s">
        <v>336</v>
      </c>
      <c r="AA26" s="246" t="s">
        <v>336</v>
      </c>
      <c r="AB26" s="236" t="s">
        <v>336</v>
      </c>
      <c r="AC26" s="664">
        <v>23</v>
      </c>
      <c r="AD26" s="246" t="s">
        <v>336</v>
      </c>
      <c r="AE26" s="246" t="s">
        <v>336</v>
      </c>
      <c r="AF26" s="246" t="s">
        <v>336</v>
      </c>
      <c r="AG26" s="246" t="s">
        <v>336</v>
      </c>
      <c r="AH26" s="246" t="s">
        <v>336</v>
      </c>
      <c r="AI26" s="663">
        <v>23</v>
      </c>
      <c r="AJ26" s="246" t="s">
        <v>336</v>
      </c>
      <c r="AK26" s="246" t="s">
        <v>336</v>
      </c>
      <c r="AL26" s="246" t="s">
        <v>336</v>
      </c>
      <c r="AM26" s="246" t="s">
        <v>336</v>
      </c>
      <c r="AN26" s="246" t="s">
        <v>336</v>
      </c>
      <c r="AO26" s="660">
        <v>21</v>
      </c>
      <c r="AP26" s="257" t="str">
        <f t="shared" si="6"/>
        <v>N/A</v>
      </c>
      <c r="AQ26" s="257" t="str">
        <f t="shared" si="8"/>
        <v>N/A</v>
      </c>
      <c r="AR26" s="257" t="str">
        <f t="shared" si="8"/>
        <v>N/A</v>
      </c>
      <c r="AS26" s="257" t="str">
        <f t="shared" si="8"/>
        <v>N/A</v>
      </c>
      <c r="AT26" s="257" t="str">
        <f t="shared" si="8"/>
        <v>N/A</v>
      </c>
      <c r="AU26" s="663">
        <v>21</v>
      </c>
      <c r="AV26" s="257" t="str">
        <f t="shared" si="7"/>
        <v>N/A</v>
      </c>
      <c r="AW26" s="257" t="str">
        <f t="shared" si="17"/>
        <v>N/A</v>
      </c>
      <c r="AX26" s="257" t="str">
        <f t="shared" si="18"/>
        <v>N/A</v>
      </c>
      <c r="AY26" s="257" t="str">
        <f t="shared" si="19"/>
        <v>N/A</v>
      </c>
      <c r="AZ26" s="257" t="str">
        <f t="shared" si="20"/>
        <v>N/A</v>
      </c>
      <c r="BA26" s="236"/>
      <c r="BB26" s="236"/>
    </row>
    <row r="27" spans="1:54" x14ac:dyDescent="0.3">
      <c r="A27" s="236"/>
      <c r="B27" s="245">
        <v>22</v>
      </c>
      <c r="C27" s="265" t="str">
        <f t="shared" si="4"/>
        <v>N/A</v>
      </c>
      <c r="D27" s="265" t="str">
        <f t="shared" si="9"/>
        <v>N/A</v>
      </c>
      <c r="E27" s="265" t="str">
        <f t="shared" si="10"/>
        <v>N/A</v>
      </c>
      <c r="F27" s="265" t="str">
        <f t="shared" si="11"/>
        <v>N/A</v>
      </c>
      <c r="G27" s="265" t="str">
        <f t="shared" si="12"/>
        <v>N/A</v>
      </c>
      <c r="H27" s="253">
        <v>22</v>
      </c>
      <c r="I27" s="265" t="str">
        <f t="shared" si="5"/>
        <v>N/A</v>
      </c>
      <c r="J27" s="265" t="str">
        <f t="shared" si="13"/>
        <v>N/A</v>
      </c>
      <c r="K27" s="265" t="str">
        <f t="shared" si="14"/>
        <v>N/A</v>
      </c>
      <c r="L27" s="265" t="str">
        <f t="shared" si="15"/>
        <v>N/A</v>
      </c>
      <c r="M27" s="265" t="str">
        <f t="shared" si="16"/>
        <v>N/A</v>
      </c>
      <c r="N27" s="260"/>
      <c r="O27" s="236" t="s">
        <v>336</v>
      </c>
      <c r="P27" s="245">
        <v>24</v>
      </c>
      <c r="Q27" s="254" t="s">
        <v>336</v>
      </c>
      <c r="R27" s="254" t="s">
        <v>336</v>
      </c>
      <c r="S27" s="254" t="s">
        <v>336</v>
      </c>
      <c r="T27" s="254" t="s">
        <v>336</v>
      </c>
      <c r="U27" s="254" t="s">
        <v>336</v>
      </c>
      <c r="V27" s="253">
        <v>24</v>
      </c>
      <c r="W27" s="254" t="s">
        <v>336</v>
      </c>
      <c r="X27" s="254" t="s">
        <v>336</v>
      </c>
      <c r="Y27" s="254" t="s">
        <v>336</v>
      </c>
      <c r="Z27" s="254" t="s">
        <v>336</v>
      </c>
      <c r="AA27" s="254" t="s">
        <v>336</v>
      </c>
      <c r="AB27" s="236" t="s">
        <v>336</v>
      </c>
      <c r="AC27" s="664">
        <v>24</v>
      </c>
      <c r="AD27" s="254" t="s">
        <v>336</v>
      </c>
      <c r="AE27" s="254" t="s">
        <v>336</v>
      </c>
      <c r="AF27" s="254" t="s">
        <v>336</v>
      </c>
      <c r="AG27" s="254" t="s">
        <v>336</v>
      </c>
      <c r="AH27" s="254" t="s">
        <v>336</v>
      </c>
      <c r="AI27" s="663">
        <v>24</v>
      </c>
      <c r="AJ27" s="254" t="s">
        <v>336</v>
      </c>
      <c r="AK27" s="254" t="s">
        <v>336</v>
      </c>
      <c r="AL27" s="254" t="s">
        <v>336</v>
      </c>
      <c r="AM27" s="254" t="s">
        <v>336</v>
      </c>
      <c r="AN27" s="254" t="s">
        <v>336</v>
      </c>
      <c r="AO27" s="660">
        <v>22</v>
      </c>
      <c r="AP27" s="265" t="str">
        <f t="shared" si="6"/>
        <v>N/A</v>
      </c>
      <c r="AQ27" s="265" t="str">
        <f t="shared" si="8"/>
        <v>N/A</v>
      </c>
      <c r="AR27" s="265" t="str">
        <f t="shared" si="8"/>
        <v>N/A</v>
      </c>
      <c r="AS27" s="265" t="str">
        <f t="shared" si="8"/>
        <v>N/A</v>
      </c>
      <c r="AT27" s="265" t="str">
        <f t="shared" si="8"/>
        <v>N/A</v>
      </c>
      <c r="AU27" s="663">
        <v>22</v>
      </c>
      <c r="AV27" s="265" t="str">
        <f t="shared" si="7"/>
        <v>N/A</v>
      </c>
      <c r="AW27" s="265" t="str">
        <f t="shared" si="17"/>
        <v>N/A</v>
      </c>
      <c r="AX27" s="265" t="str">
        <f t="shared" si="18"/>
        <v>N/A</v>
      </c>
      <c r="AY27" s="265" t="str">
        <f t="shared" si="19"/>
        <v>N/A</v>
      </c>
      <c r="AZ27" s="265" t="str">
        <f t="shared" si="20"/>
        <v>N/A</v>
      </c>
      <c r="BA27" s="236"/>
      <c r="BB27" s="236"/>
    </row>
    <row r="28" spans="1:54" x14ac:dyDescent="0.3">
      <c r="A28" s="236"/>
      <c r="B28" s="245">
        <v>23</v>
      </c>
      <c r="C28" s="257" t="str">
        <f t="shared" si="4"/>
        <v>N/A</v>
      </c>
      <c r="D28" s="257" t="str">
        <f t="shared" si="9"/>
        <v>N/A</v>
      </c>
      <c r="E28" s="257" t="str">
        <f t="shared" si="10"/>
        <v>N/A</v>
      </c>
      <c r="F28" s="257" t="str">
        <f t="shared" si="11"/>
        <v>N/A</v>
      </c>
      <c r="G28" s="257" t="str">
        <f t="shared" si="12"/>
        <v>N/A</v>
      </c>
      <c r="H28" s="253">
        <v>23</v>
      </c>
      <c r="I28" s="257" t="str">
        <f t="shared" si="5"/>
        <v>N/A</v>
      </c>
      <c r="J28" s="257" t="str">
        <f t="shared" si="13"/>
        <v>N/A</v>
      </c>
      <c r="K28" s="257" t="str">
        <f t="shared" si="14"/>
        <v>N/A</v>
      </c>
      <c r="L28" s="257" t="str">
        <f t="shared" si="15"/>
        <v>N/A</v>
      </c>
      <c r="M28" s="257" t="str">
        <f t="shared" si="16"/>
        <v>N/A</v>
      </c>
      <c r="N28" s="260"/>
      <c r="O28" s="236" t="s">
        <v>336</v>
      </c>
      <c r="P28" s="656">
        <v>25</v>
      </c>
      <c r="Q28" s="246" t="s">
        <v>336</v>
      </c>
      <c r="R28" s="246" t="s">
        <v>336</v>
      </c>
      <c r="S28" s="246" t="s">
        <v>336</v>
      </c>
      <c r="T28" s="246" t="s">
        <v>336</v>
      </c>
      <c r="U28" s="246" t="s">
        <v>336</v>
      </c>
      <c r="V28" s="658">
        <v>25</v>
      </c>
      <c r="W28" s="246" t="s">
        <v>336</v>
      </c>
      <c r="X28" s="246" t="s">
        <v>336</v>
      </c>
      <c r="Y28" s="246" t="s">
        <v>336</v>
      </c>
      <c r="Z28" s="246" t="s">
        <v>336</v>
      </c>
      <c r="AA28" s="246" t="s">
        <v>336</v>
      </c>
      <c r="AB28" s="236" t="s">
        <v>336</v>
      </c>
      <c r="AC28" s="665">
        <v>25</v>
      </c>
      <c r="AD28" s="246" t="s">
        <v>336</v>
      </c>
      <c r="AE28" s="246" t="s">
        <v>336</v>
      </c>
      <c r="AF28" s="246" t="s">
        <v>336</v>
      </c>
      <c r="AG28" s="246" t="s">
        <v>336</v>
      </c>
      <c r="AH28" s="246" t="s">
        <v>336</v>
      </c>
      <c r="AI28" s="388">
        <v>25</v>
      </c>
      <c r="AJ28" s="246" t="s">
        <v>336</v>
      </c>
      <c r="AK28" s="246" t="s">
        <v>336</v>
      </c>
      <c r="AL28" s="246" t="s">
        <v>336</v>
      </c>
      <c r="AM28" s="246" t="s">
        <v>336</v>
      </c>
      <c r="AN28" s="246" t="s">
        <v>336</v>
      </c>
      <c r="AO28" s="660">
        <v>23</v>
      </c>
      <c r="AP28" s="257" t="str">
        <f t="shared" si="6"/>
        <v>N/A</v>
      </c>
      <c r="AQ28" s="257" t="str">
        <f t="shared" si="8"/>
        <v>N/A</v>
      </c>
      <c r="AR28" s="257" t="str">
        <f t="shared" si="8"/>
        <v>N/A</v>
      </c>
      <c r="AS28" s="257" t="str">
        <f t="shared" si="8"/>
        <v>N/A</v>
      </c>
      <c r="AT28" s="257" t="str">
        <f t="shared" si="8"/>
        <v>N/A</v>
      </c>
      <c r="AU28" s="663">
        <v>23</v>
      </c>
      <c r="AV28" s="257" t="str">
        <f t="shared" si="7"/>
        <v>N/A</v>
      </c>
      <c r="AW28" s="257" t="str">
        <f t="shared" si="17"/>
        <v>N/A</v>
      </c>
      <c r="AX28" s="257" t="str">
        <f t="shared" si="18"/>
        <v>N/A</v>
      </c>
      <c r="AY28" s="257" t="str">
        <f t="shared" si="19"/>
        <v>N/A</v>
      </c>
      <c r="AZ28" s="257" t="str">
        <f t="shared" si="20"/>
        <v>N/A</v>
      </c>
      <c r="BA28" s="236"/>
      <c r="BB28" s="236"/>
    </row>
    <row r="29" spans="1:54" ht="15" thickBot="1" x14ac:dyDescent="0.35">
      <c r="A29" s="236"/>
      <c r="B29" s="245">
        <v>24</v>
      </c>
      <c r="C29" s="271" t="str">
        <f t="shared" si="4"/>
        <v>N/A</v>
      </c>
      <c r="D29" s="271" t="str">
        <f t="shared" si="9"/>
        <v>N/A</v>
      </c>
      <c r="E29" s="271" t="str">
        <f t="shared" si="10"/>
        <v>N/A</v>
      </c>
      <c r="F29" s="271" t="str">
        <f t="shared" si="11"/>
        <v>N/A</v>
      </c>
      <c r="G29" s="271" t="str">
        <f t="shared" si="12"/>
        <v>N/A</v>
      </c>
      <c r="H29" s="253">
        <v>24</v>
      </c>
      <c r="I29" s="271" t="str">
        <f t="shared" si="5"/>
        <v>N/A</v>
      </c>
      <c r="J29" s="271" t="str">
        <f t="shared" si="13"/>
        <v>N/A</v>
      </c>
      <c r="K29" s="271" t="str">
        <f t="shared" si="14"/>
        <v>N/A</v>
      </c>
      <c r="L29" s="271" t="str">
        <f t="shared" si="15"/>
        <v>N/A</v>
      </c>
      <c r="M29" s="271" t="str">
        <f t="shared" si="16"/>
        <v>N/A</v>
      </c>
      <c r="N29" s="260"/>
      <c r="O29" s="236" t="s">
        <v>336</v>
      </c>
      <c r="P29" s="656">
        <v>26</v>
      </c>
      <c r="Q29" s="254" t="s">
        <v>336</v>
      </c>
      <c r="R29" s="254" t="s">
        <v>336</v>
      </c>
      <c r="S29" s="254" t="s">
        <v>336</v>
      </c>
      <c r="T29" s="254" t="s">
        <v>336</v>
      </c>
      <c r="U29" s="254" t="s">
        <v>336</v>
      </c>
      <c r="V29" s="658">
        <v>26</v>
      </c>
      <c r="W29" s="254" t="s">
        <v>336</v>
      </c>
      <c r="X29" s="254" t="s">
        <v>336</v>
      </c>
      <c r="Y29" s="254" t="s">
        <v>336</v>
      </c>
      <c r="Z29" s="254" t="s">
        <v>336</v>
      </c>
      <c r="AA29" s="254" t="s">
        <v>336</v>
      </c>
      <c r="AB29" s="236" t="s">
        <v>336</v>
      </c>
      <c r="AC29" s="665">
        <v>26</v>
      </c>
      <c r="AD29" s="254" t="s">
        <v>336</v>
      </c>
      <c r="AE29" s="254" t="s">
        <v>336</v>
      </c>
      <c r="AF29" s="254" t="s">
        <v>336</v>
      </c>
      <c r="AG29" s="254" t="s">
        <v>336</v>
      </c>
      <c r="AH29" s="254" t="s">
        <v>336</v>
      </c>
      <c r="AI29" s="388">
        <v>26</v>
      </c>
      <c r="AJ29" s="254" t="s">
        <v>336</v>
      </c>
      <c r="AK29" s="254" t="s">
        <v>336</v>
      </c>
      <c r="AL29" s="254" t="s">
        <v>336</v>
      </c>
      <c r="AM29" s="254" t="s">
        <v>336</v>
      </c>
      <c r="AN29" s="254" t="s">
        <v>336</v>
      </c>
      <c r="AO29" s="660">
        <v>24</v>
      </c>
      <c r="AP29" s="271" t="str">
        <f t="shared" si="6"/>
        <v>N/A</v>
      </c>
      <c r="AQ29" s="271" t="str">
        <f t="shared" si="8"/>
        <v>N/A</v>
      </c>
      <c r="AR29" s="271" t="str">
        <f t="shared" si="8"/>
        <v>N/A</v>
      </c>
      <c r="AS29" s="271" t="str">
        <f t="shared" si="8"/>
        <v>N/A</v>
      </c>
      <c r="AT29" s="271" t="str">
        <f t="shared" si="8"/>
        <v>N/A</v>
      </c>
      <c r="AU29" s="663">
        <v>24</v>
      </c>
      <c r="AV29" s="271" t="str">
        <f t="shared" si="7"/>
        <v>N/A</v>
      </c>
      <c r="AW29" s="271" t="str">
        <f t="shared" si="17"/>
        <v>N/A</v>
      </c>
      <c r="AX29" s="271" t="str">
        <f t="shared" si="18"/>
        <v>N/A</v>
      </c>
      <c r="AY29" s="271" t="str">
        <f t="shared" si="19"/>
        <v>N/A</v>
      </c>
      <c r="AZ29" s="271" t="str">
        <f t="shared" si="20"/>
        <v>N/A</v>
      </c>
      <c r="BA29" s="236"/>
      <c r="BB29" s="236"/>
    </row>
    <row r="30" spans="1:54" x14ac:dyDescent="0.3">
      <c r="A30" s="236"/>
      <c r="B30" s="272" t="s">
        <v>221</v>
      </c>
      <c r="C30" s="168">
        <f>SUM(C6:C29)</f>
        <v>0</v>
      </c>
      <c r="D30" s="168">
        <f t="shared" ref="D30:G30" si="21">SUM(D6:D29)</f>
        <v>0</v>
      </c>
      <c r="E30" s="168">
        <f t="shared" si="21"/>
        <v>0</v>
      </c>
      <c r="F30" s="168">
        <f t="shared" si="21"/>
        <v>0</v>
      </c>
      <c r="G30" s="168">
        <f t="shared" si="21"/>
        <v>0</v>
      </c>
      <c r="H30" s="272" t="s">
        <v>221</v>
      </c>
      <c r="I30" s="168">
        <f>SUM(I6:I29)</f>
        <v>0</v>
      </c>
      <c r="J30" s="168">
        <f t="shared" ref="J30:M30" si="22">SUM(J6:J29)</f>
        <v>0</v>
      </c>
      <c r="K30" s="168">
        <f t="shared" si="22"/>
        <v>0</v>
      </c>
      <c r="L30" s="168">
        <f t="shared" si="22"/>
        <v>0</v>
      </c>
      <c r="M30" s="168">
        <f t="shared" si="22"/>
        <v>0</v>
      </c>
      <c r="N30" s="260"/>
      <c r="O30" s="236" t="s">
        <v>336</v>
      </c>
      <c r="P30" s="656">
        <v>27</v>
      </c>
      <c r="Q30" s="246" t="s">
        <v>336</v>
      </c>
      <c r="R30" s="246" t="s">
        <v>336</v>
      </c>
      <c r="S30" s="246" t="s">
        <v>336</v>
      </c>
      <c r="T30" s="246" t="s">
        <v>336</v>
      </c>
      <c r="U30" s="246" t="s">
        <v>336</v>
      </c>
      <c r="V30" s="658">
        <v>27</v>
      </c>
      <c r="W30" s="246" t="s">
        <v>336</v>
      </c>
      <c r="X30" s="246" t="s">
        <v>336</v>
      </c>
      <c r="Y30" s="246" t="s">
        <v>336</v>
      </c>
      <c r="Z30" s="246" t="s">
        <v>336</v>
      </c>
      <c r="AA30" s="246" t="s">
        <v>336</v>
      </c>
      <c r="AB30" s="236" t="s">
        <v>336</v>
      </c>
      <c r="AC30" s="665">
        <v>27</v>
      </c>
      <c r="AD30" s="246" t="s">
        <v>336</v>
      </c>
      <c r="AE30" s="246" t="s">
        <v>336</v>
      </c>
      <c r="AF30" s="246" t="s">
        <v>336</v>
      </c>
      <c r="AG30" s="246" t="s">
        <v>336</v>
      </c>
      <c r="AH30" s="246" t="s">
        <v>336</v>
      </c>
      <c r="AI30" s="388">
        <v>27</v>
      </c>
      <c r="AJ30" s="246" t="s">
        <v>336</v>
      </c>
      <c r="AK30" s="246" t="s">
        <v>336</v>
      </c>
      <c r="AL30" s="246" t="s">
        <v>336</v>
      </c>
      <c r="AM30" s="246" t="s">
        <v>336</v>
      </c>
      <c r="AN30" s="246" t="s">
        <v>336</v>
      </c>
      <c r="AO30" s="272" t="s">
        <v>221</v>
      </c>
      <c r="AP30" s="168">
        <f>SUM(AP6:AP29)</f>
        <v>0</v>
      </c>
      <c r="AQ30" s="168">
        <f t="shared" ref="AQ30:AT30" si="23">SUM(AQ6:AQ29)</f>
        <v>0</v>
      </c>
      <c r="AR30" s="168">
        <f t="shared" si="23"/>
        <v>0</v>
      </c>
      <c r="AS30" s="168">
        <f t="shared" si="23"/>
        <v>0</v>
      </c>
      <c r="AT30" s="168">
        <f t="shared" si="23"/>
        <v>0</v>
      </c>
      <c r="AU30" s="272" t="s">
        <v>221</v>
      </c>
      <c r="AV30" s="168">
        <f>SUM(AV6:AV29)</f>
        <v>0</v>
      </c>
      <c r="AW30" s="168">
        <f t="shared" ref="AW30:AZ30" si="24">SUM(AW6:AW29)</f>
        <v>0</v>
      </c>
      <c r="AX30" s="168">
        <f t="shared" si="24"/>
        <v>0</v>
      </c>
      <c r="AY30" s="168">
        <f t="shared" si="24"/>
        <v>0</v>
      </c>
      <c r="AZ30" s="168">
        <f t="shared" si="24"/>
        <v>0</v>
      </c>
      <c r="BA30" s="236"/>
      <c r="BB30" s="236"/>
    </row>
    <row r="31" spans="1:54" x14ac:dyDescent="0.3">
      <c r="A31" s="236"/>
      <c r="B31" s="863" t="s">
        <v>222</v>
      </c>
      <c r="C31" s="861"/>
      <c r="D31" s="861"/>
      <c r="E31" s="861"/>
      <c r="F31" s="861"/>
      <c r="G31" s="862"/>
      <c r="H31" s="863" t="s">
        <v>223</v>
      </c>
      <c r="I31" s="861"/>
      <c r="J31" s="861"/>
      <c r="K31" s="861"/>
      <c r="L31" s="861"/>
      <c r="M31" s="862"/>
      <c r="N31" s="260"/>
      <c r="O31" s="236" t="s">
        <v>336</v>
      </c>
      <c r="P31" s="656">
        <v>28</v>
      </c>
      <c r="Q31" s="254" t="s">
        <v>336</v>
      </c>
      <c r="R31" s="254" t="s">
        <v>336</v>
      </c>
      <c r="S31" s="254" t="s">
        <v>336</v>
      </c>
      <c r="T31" s="254" t="s">
        <v>336</v>
      </c>
      <c r="U31" s="254" t="s">
        <v>336</v>
      </c>
      <c r="V31" s="658">
        <v>28</v>
      </c>
      <c r="W31" s="254" t="s">
        <v>336</v>
      </c>
      <c r="X31" s="254" t="s">
        <v>336</v>
      </c>
      <c r="Y31" s="254" t="s">
        <v>336</v>
      </c>
      <c r="Z31" s="254" t="s">
        <v>336</v>
      </c>
      <c r="AA31" s="254" t="s">
        <v>336</v>
      </c>
      <c r="AB31" s="236" t="s">
        <v>336</v>
      </c>
      <c r="AC31" s="665">
        <v>28</v>
      </c>
      <c r="AD31" s="254" t="s">
        <v>336</v>
      </c>
      <c r="AE31" s="254" t="s">
        <v>336</v>
      </c>
      <c r="AF31" s="254" t="s">
        <v>336</v>
      </c>
      <c r="AG31" s="254" t="s">
        <v>336</v>
      </c>
      <c r="AH31" s="254" t="s">
        <v>336</v>
      </c>
      <c r="AI31" s="388">
        <v>28</v>
      </c>
      <c r="AJ31" s="254" t="s">
        <v>336</v>
      </c>
      <c r="AK31" s="254" t="s">
        <v>336</v>
      </c>
      <c r="AL31" s="254" t="s">
        <v>336</v>
      </c>
      <c r="AM31" s="254" t="s">
        <v>336</v>
      </c>
      <c r="AN31" s="254" t="s">
        <v>336</v>
      </c>
      <c r="AO31" s="863" t="s">
        <v>222</v>
      </c>
      <c r="AP31" s="861"/>
      <c r="AQ31" s="861"/>
      <c r="AR31" s="861"/>
      <c r="AS31" s="861"/>
      <c r="AT31" s="862"/>
      <c r="AU31" s="863" t="s">
        <v>223</v>
      </c>
      <c r="AV31" s="861"/>
      <c r="AW31" s="861"/>
      <c r="AX31" s="861"/>
      <c r="AY31" s="861"/>
      <c r="AZ31" s="862"/>
      <c r="BA31" s="236"/>
      <c r="BB31" s="236"/>
    </row>
    <row r="32" spans="1:54" ht="15" thickBot="1" x14ac:dyDescent="0.35">
      <c r="A32" s="236"/>
      <c r="B32" s="863"/>
      <c r="C32" s="861"/>
      <c r="D32" s="861"/>
      <c r="E32" s="861"/>
      <c r="F32" s="861"/>
      <c r="G32" s="862"/>
      <c r="H32" s="863"/>
      <c r="I32" s="861"/>
      <c r="J32" s="861"/>
      <c r="K32" s="861"/>
      <c r="L32" s="861"/>
      <c r="M32" s="862"/>
      <c r="N32" s="168"/>
      <c r="O32" s="236" t="s">
        <v>336</v>
      </c>
      <c r="P32" s="656">
        <v>29</v>
      </c>
      <c r="Q32" s="246" t="s">
        <v>336</v>
      </c>
      <c r="R32" s="246" t="s">
        <v>336</v>
      </c>
      <c r="S32" s="246" t="s">
        <v>336</v>
      </c>
      <c r="T32" s="246" t="s">
        <v>336</v>
      </c>
      <c r="U32" s="246" t="s">
        <v>336</v>
      </c>
      <c r="V32" s="658">
        <v>29</v>
      </c>
      <c r="W32" s="246" t="s">
        <v>336</v>
      </c>
      <c r="X32" s="246" t="s">
        <v>336</v>
      </c>
      <c r="Y32" s="246" t="s">
        <v>336</v>
      </c>
      <c r="Z32" s="246" t="s">
        <v>336</v>
      </c>
      <c r="AA32" s="246" t="s">
        <v>336</v>
      </c>
      <c r="AB32" s="236" t="s">
        <v>336</v>
      </c>
      <c r="AC32" s="665">
        <v>29</v>
      </c>
      <c r="AD32" s="246" t="s">
        <v>336</v>
      </c>
      <c r="AE32" s="246" t="s">
        <v>336</v>
      </c>
      <c r="AF32" s="246" t="s">
        <v>336</v>
      </c>
      <c r="AG32" s="246" t="s">
        <v>336</v>
      </c>
      <c r="AH32" s="246" t="s">
        <v>336</v>
      </c>
      <c r="AI32" s="388">
        <v>29</v>
      </c>
      <c r="AJ32" s="246" t="s">
        <v>336</v>
      </c>
      <c r="AK32" s="246" t="s">
        <v>336</v>
      </c>
      <c r="AL32" s="246" t="s">
        <v>336</v>
      </c>
      <c r="AM32" s="246" t="s">
        <v>336</v>
      </c>
      <c r="AN32" s="246" t="s">
        <v>336</v>
      </c>
      <c r="AO32" s="863"/>
      <c r="AP32" s="861"/>
      <c r="AQ32" s="861"/>
      <c r="AR32" s="861"/>
      <c r="AS32" s="861"/>
      <c r="AT32" s="862"/>
      <c r="AU32" s="863"/>
      <c r="AV32" s="861"/>
      <c r="AW32" s="861"/>
      <c r="AX32" s="861"/>
      <c r="AY32" s="861"/>
      <c r="AZ32" s="862"/>
      <c r="BA32" s="236"/>
      <c r="BB32" s="236"/>
    </row>
    <row r="33" spans="1:54" x14ac:dyDescent="0.3">
      <c r="A33" s="236"/>
      <c r="B33" s="247" t="s">
        <v>192</v>
      </c>
      <c r="C33" s="248" t="s">
        <v>219</v>
      </c>
      <c r="D33" s="249" t="s">
        <v>220</v>
      </c>
      <c r="E33" s="249" t="s">
        <v>332</v>
      </c>
      <c r="F33" s="249" t="s">
        <v>333</v>
      </c>
      <c r="G33" s="249" t="s">
        <v>535</v>
      </c>
      <c r="H33" s="247" t="s">
        <v>192</v>
      </c>
      <c r="I33" s="248" t="s">
        <v>219</v>
      </c>
      <c r="J33" s="249" t="s">
        <v>220</v>
      </c>
      <c r="K33" s="249" t="s">
        <v>332</v>
      </c>
      <c r="L33" s="249" t="s">
        <v>333</v>
      </c>
      <c r="M33" s="249" t="s">
        <v>535</v>
      </c>
      <c r="N33" s="236"/>
      <c r="O33" s="236" t="s">
        <v>336</v>
      </c>
      <c r="P33" s="656">
        <v>30</v>
      </c>
      <c r="Q33" s="254" t="s">
        <v>336</v>
      </c>
      <c r="R33" s="254" t="s">
        <v>336</v>
      </c>
      <c r="S33" s="254" t="s">
        <v>336</v>
      </c>
      <c r="T33" s="254" t="s">
        <v>336</v>
      </c>
      <c r="U33" s="254" t="s">
        <v>336</v>
      </c>
      <c r="V33" s="658">
        <v>30</v>
      </c>
      <c r="W33" s="254" t="s">
        <v>336</v>
      </c>
      <c r="X33" s="254" t="s">
        <v>336</v>
      </c>
      <c r="Y33" s="254" t="s">
        <v>336</v>
      </c>
      <c r="Z33" s="254" t="s">
        <v>336</v>
      </c>
      <c r="AA33" s="254" t="s">
        <v>336</v>
      </c>
      <c r="AB33" s="236" t="s">
        <v>336</v>
      </c>
      <c r="AC33" s="665">
        <v>30</v>
      </c>
      <c r="AD33" s="254" t="s">
        <v>336</v>
      </c>
      <c r="AE33" s="254" t="s">
        <v>336</v>
      </c>
      <c r="AF33" s="254" t="s">
        <v>336</v>
      </c>
      <c r="AG33" s="254" t="s">
        <v>336</v>
      </c>
      <c r="AH33" s="254" t="s">
        <v>336</v>
      </c>
      <c r="AI33" s="388">
        <v>30</v>
      </c>
      <c r="AJ33" s="254" t="s">
        <v>336</v>
      </c>
      <c r="AK33" s="254" t="s">
        <v>336</v>
      </c>
      <c r="AL33" s="254" t="s">
        <v>336</v>
      </c>
      <c r="AM33" s="254" t="s">
        <v>336</v>
      </c>
      <c r="AN33" s="254" t="s">
        <v>336</v>
      </c>
      <c r="AO33" s="247" t="s">
        <v>192</v>
      </c>
      <c r="AP33" s="248" t="s">
        <v>219</v>
      </c>
      <c r="AQ33" s="249" t="s">
        <v>220</v>
      </c>
      <c r="AR33" s="249" t="s">
        <v>332</v>
      </c>
      <c r="AS33" s="249" t="s">
        <v>333</v>
      </c>
      <c r="AT33" s="249" t="s">
        <v>535</v>
      </c>
      <c r="AU33" s="247" t="s">
        <v>192</v>
      </c>
      <c r="AV33" s="248" t="s">
        <v>219</v>
      </c>
      <c r="AW33" s="249" t="s">
        <v>220</v>
      </c>
      <c r="AX33" s="249" t="s">
        <v>332</v>
      </c>
      <c r="AY33" s="249" t="s">
        <v>333</v>
      </c>
      <c r="AZ33" s="249" t="s">
        <v>535</v>
      </c>
      <c r="BA33" s="236"/>
      <c r="BB33" s="236"/>
    </row>
    <row r="34" spans="1:54" x14ac:dyDescent="0.3">
      <c r="A34" s="236"/>
      <c r="B34" s="656">
        <v>25</v>
      </c>
      <c r="C34" s="257" t="str">
        <f t="shared" ref="C34:C49" si="25">Q28</f>
        <v>N/A</v>
      </c>
      <c r="D34" s="257" t="str">
        <f t="shared" ref="D34:D53" si="26">R28</f>
        <v>N/A</v>
      </c>
      <c r="E34" s="257" t="str">
        <f t="shared" ref="E34:E53" si="27">S28</f>
        <v>N/A</v>
      </c>
      <c r="F34" s="257" t="str">
        <f t="shared" ref="F34:F53" si="28">T28</f>
        <v>N/A</v>
      </c>
      <c r="G34" s="257" t="str">
        <f t="shared" ref="G34:G53" si="29">U28</f>
        <v>N/A</v>
      </c>
      <c r="H34" s="658">
        <v>25</v>
      </c>
      <c r="I34" s="257" t="str">
        <f t="shared" ref="I34:I49" si="30">W28</f>
        <v>N/A</v>
      </c>
      <c r="J34" s="257" t="str">
        <f t="shared" ref="J34:J53" si="31">X28</f>
        <v>N/A</v>
      </c>
      <c r="K34" s="257" t="str">
        <f t="shared" ref="K34:K53" si="32">Y28</f>
        <v>N/A</v>
      </c>
      <c r="L34" s="257" t="str">
        <f t="shared" ref="L34:L53" si="33">Z28</f>
        <v>N/A</v>
      </c>
      <c r="M34" s="257" t="str">
        <f t="shared" ref="M34:M53" si="34">AA28</f>
        <v>N/A</v>
      </c>
      <c r="N34" s="236"/>
      <c r="O34" s="236" t="s">
        <v>336</v>
      </c>
      <c r="P34" s="656">
        <v>31</v>
      </c>
      <c r="Q34" s="246" t="s">
        <v>336</v>
      </c>
      <c r="R34" s="246" t="s">
        <v>336</v>
      </c>
      <c r="S34" s="246" t="s">
        <v>336</v>
      </c>
      <c r="T34" s="246" t="s">
        <v>336</v>
      </c>
      <c r="U34" s="246" t="s">
        <v>336</v>
      </c>
      <c r="V34" s="658">
        <v>31</v>
      </c>
      <c r="W34" s="246" t="s">
        <v>336</v>
      </c>
      <c r="X34" s="246" t="s">
        <v>336</v>
      </c>
      <c r="Y34" s="246" t="s">
        <v>336</v>
      </c>
      <c r="Z34" s="246" t="s">
        <v>336</v>
      </c>
      <c r="AA34" s="246" t="s">
        <v>336</v>
      </c>
      <c r="AB34" s="236" t="s">
        <v>336</v>
      </c>
      <c r="AC34" s="665">
        <v>31</v>
      </c>
      <c r="AD34" s="246" t="s">
        <v>336</v>
      </c>
      <c r="AE34" s="246" t="s">
        <v>336</v>
      </c>
      <c r="AF34" s="246" t="s">
        <v>336</v>
      </c>
      <c r="AG34" s="246" t="s">
        <v>336</v>
      </c>
      <c r="AH34" s="246" t="s">
        <v>336</v>
      </c>
      <c r="AI34" s="388">
        <v>31</v>
      </c>
      <c r="AJ34" s="246" t="s">
        <v>336</v>
      </c>
      <c r="AK34" s="246" t="s">
        <v>336</v>
      </c>
      <c r="AL34" s="246" t="s">
        <v>336</v>
      </c>
      <c r="AM34" s="246" t="s">
        <v>336</v>
      </c>
      <c r="AN34" s="246" t="s">
        <v>336</v>
      </c>
      <c r="AO34" s="661">
        <v>25</v>
      </c>
      <c r="AP34" s="257" t="str">
        <f t="shared" ref="AP34:AP49" si="35">AD28</f>
        <v>N/A</v>
      </c>
      <c r="AQ34" s="257" t="str">
        <f t="shared" ref="AQ34:AQ53" si="36">AE28</f>
        <v>N/A</v>
      </c>
      <c r="AR34" s="257" t="str">
        <f t="shared" ref="AR34:AR53" si="37">AF28</f>
        <v>N/A</v>
      </c>
      <c r="AS34" s="257" t="str">
        <f t="shared" ref="AS34:AS53" si="38">AG28</f>
        <v>N/A</v>
      </c>
      <c r="AT34" s="257" t="str">
        <f t="shared" ref="AT34:AT53" si="39">AH28</f>
        <v>N/A</v>
      </c>
      <c r="AU34" s="388">
        <v>25</v>
      </c>
      <c r="AV34" s="257" t="str">
        <f t="shared" ref="AV34:AV49" si="40">AJ28</f>
        <v>N/A</v>
      </c>
      <c r="AW34" s="257" t="str">
        <f t="shared" ref="AW34:AW53" si="41">AK28</f>
        <v>N/A</v>
      </c>
      <c r="AX34" s="257" t="str">
        <f t="shared" ref="AX34:AX53" si="42">AL28</f>
        <v>N/A</v>
      </c>
      <c r="AY34" s="257" t="str">
        <f t="shared" ref="AY34:AY53" si="43">AM28</f>
        <v>N/A</v>
      </c>
      <c r="AZ34" s="257" t="str">
        <f t="shared" ref="AZ34:AZ53" si="44">AN28</f>
        <v>N/A</v>
      </c>
      <c r="BA34" s="236"/>
      <c r="BB34" s="236"/>
    </row>
    <row r="35" spans="1:54" x14ac:dyDescent="0.3">
      <c r="A35" s="236"/>
      <c r="B35" s="656">
        <v>26</v>
      </c>
      <c r="C35" s="265" t="str">
        <f t="shared" si="25"/>
        <v>N/A</v>
      </c>
      <c r="D35" s="265" t="str">
        <f t="shared" si="26"/>
        <v>N/A</v>
      </c>
      <c r="E35" s="265" t="str">
        <f t="shared" si="27"/>
        <v>N/A</v>
      </c>
      <c r="F35" s="265" t="str">
        <f t="shared" si="28"/>
        <v>N/A</v>
      </c>
      <c r="G35" s="265" t="str">
        <f t="shared" si="29"/>
        <v>N/A</v>
      </c>
      <c r="H35" s="658">
        <v>26</v>
      </c>
      <c r="I35" s="265" t="str">
        <f t="shared" si="30"/>
        <v>N/A</v>
      </c>
      <c r="J35" s="265" t="str">
        <f t="shared" si="31"/>
        <v>N/A</v>
      </c>
      <c r="K35" s="265" t="str">
        <f t="shared" si="32"/>
        <v>N/A</v>
      </c>
      <c r="L35" s="265" t="str">
        <f t="shared" si="33"/>
        <v>N/A</v>
      </c>
      <c r="M35" s="265" t="str">
        <f t="shared" si="34"/>
        <v>N/A</v>
      </c>
      <c r="N35" s="236"/>
      <c r="O35" s="236" t="s">
        <v>336</v>
      </c>
      <c r="P35" s="656">
        <v>32</v>
      </c>
      <c r="Q35" s="254" t="s">
        <v>336</v>
      </c>
      <c r="R35" s="254" t="s">
        <v>336</v>
      </c>
      <c r="S35" s="254" t="s">
        <v>336</v>
      </c>
      <c r="T35" s="254" t="s">
        <v>336</v>
      </c>
      <c r="U35" s="254" t="s">
        <v>336</v>
      </c>
      <c r="V35" s="658">
        <v>32</v>
      </c>
      <c r="W35" s="254" t="s">
        <v>336</v>
      </c>
      <c r="X35" s="254" t="s">
        <v>336</v>
      </c>
      <c r="Y35" s="254" t="s">
        <v>336</v>
      </c>
      <c r="Z35" s="254" t="s">
        <v>336</v>
      </c>
      <c r="AA35" s="254" t="s">
        <v>336</v>
      </c>
      <c r="AB35" s="236" t="s">
        <v>336</v>
      </c>
      <c r="AC35" s="665">
        <v>32</v>
      </c>
      <c r="AD35" s="254" t="s">
        <v>336</v>
      </c>
      <c r="AE35" s="254" t="s">
        <v>336</v>
      </c>
      <c r="AF35" s="254" t="s">
        <v>336</v>
      </c>
      <c r="AG35" s="254" t="s">
        <v>336</v>
      </c>
      <c r="AH35" s="254" t="s">
        <v>336</v>
      </c>
      <c r="AI35" s="388">
        <v>32</v>
      </c>
      <c r="AJ35" s="254" t="s">
        <v>336</v>
      </c>
      <c r="AK35" s="254" t="s">
        <v>336</v>
      </c>
      <c r="AL35" s="254" t="s">
        <v>336</v>
      </c>
      <c r="AM35" s="254" t="s">
        <v>336</v>
      </c>
      <c r="AN35" s="254" t="s">
        <v>336</v>
      </c>
      <c r="AO35" s="661">
        <v>26</v>
      </c>
      <c r="AP35" s="265" t="str">
        <f t="shared" si="35"/>
        <v>N/A</v>
      </c>
      <c r="AQ35" s="265" t="str">
        <f t="shared" si="36"/>
        <v>N/A</v>
      </c>
      <c r="AR35" s="265" t="str">
        <f t="shared" si="37"/>
        <v>N/A</v>
      </c>
      <c r="AS35" s="265" t="str">
        <f t="shared" si="38"/>
        <v>N/A</v>
      </c>
      <c r="AT35" s="265" t="str">
        <f t="shared" si="39"/>
        <v>N/A</v>
      </c>
      <c r="AU35" s="388">
        <v>26</v>
      </c>
      <c r="AV35" s="265" t="str">
        <f t="shared" si="40"/>
        <v>N/A</v>
      </c>
      <c r="AW35" s="265" t="str">
        <f t="shared" si="41"/>
        <v>N/A</v>
      </c>
      <c r="AX35" s="265" t="str">
        <f t="shared" si="42"/>
        <v>N/A</v>
      </c>
      <c r="AY35" s="265" t="str">
        <f t="shared" si="43"/>
        <v>N/A</v>
      </c>
      <c r="AZ35" s="265" t="str">
        <f t="shared" si="44"/>
        <v>N/A</v>
      </c>
      <c r="BA35" s="236"/>
      <c r="BB35" s="236"/>
    </row>
    <row r="36" spans="1:54" x14ac:dyDescent="0.3">
      <c r="A36" s="236"/>
      <c r="B36" s="656">
        <v>27</v>
      </c>
      <c r="C36" s="257" t="str">
        <f t="shared" si="25"/>
        <v>N/A</v>
      </c>
      <c r="D36" s="257" t="str">
        <f t="shared" si="26"/>
        <v>N/A</v>
      </c>
      <c r="E36" s="257" t="str">
        <f t="shared" si="27"/>
        <v>N/A</v>
      </c>
      <c r="F36" s="257" t="str">
        <f t="shared" si="28"/>
        <v>N/A</v>
      </c>
      <c r="G36" s="257" t="str">
        <f t="shared" si="29"/>
        <v>N/A</v>
      </c>
      <c r="H36" s="658">
        <v>27</v>
      </c>
      <c r="I36" s="257" t="str">
        <f t="shared" si="30"/>
        <v>N/A</v>
      </c>
      <c r="J36" s="257" t="str">
        <f t="shared" si="31"/>
        <v>N/A</v>
      </c>
      <c r="K36" s="257" t="str">
        <f t="shared" si="32"/>
        <v>N/A</v>
      </c>
      <c r="L36" s="257" t="str">
        <f t="shared" si="33"/>
        <v>N/A</v>
      </c>
      <c r="M36" s="257" t="str">
        <f t="shared" si="34"/>
        <v>N/A</v>
      </c>
      <c r="N36" s="236"/>
      <c r="O36" s="236" t="s">
        <v>336</v>
      </c>
      <c r="P36" s="656">
        <v>33</v>
      </c>
      <c r="Q36" s="246" t="s">
        <v>336</v>
      </c>
      <c r="R36" s="246" t="s">
        <v>336</v>
      </c>
      <c r="S36" s="246" t="s">
        <v>336</v>
      </c>
      <c r="T36" s="246" t="s">
        <v>336</v>
      </c>
      <c r="U36" s="246" t="s">
        <v>336</v>
      </c>
      <c r="V36" s="658">
        <v>33</v>
      </c>
      <c r="W36" s="246" t="s">
        <v>336</v>
      </c>
      <c r="X36" s="246" t="s">
        <v>336</v>
      </c>
      <c r="Y36" s="246" t="s">
        <v>336</v>
      </c>
      <c r="Z36" s="246" t="s">
        <v>336</v>
      </c>
      <c r="AA36" s="246" t="s">
        <v>336</v>
      </c>
      <c r="AB36" s="236" t="s">
        <v>336</v>
      </c>
      <c r="AC36" s="665">
        <v>33</v>
      </c>
      <c r="AD36" s="246" t="s">
        <v>336</v>
      </c>
      <c r="AE36" s="246" t="s">
        <v>336</v>
      </c>
      <c r="AF36" s="246" t="s">
        <v>336</v>
      </c>
      <c r="AG36" s="246" t="s">
        <v>336</v>
      </c>
      <c r="AH36" s="246" t="s">
        <v>336</v>
      </c>
      <c r="AI36" s="388">
        <v>33</v>
      </c>
      <c r="AJ36" s="246" t="s">
        <v>336</v>
      </c>
      <c r="AK36" s="246" t="s">
        <v>336</v>
      </c>
      <c r="AL36" s="246" t="s">
        <v>336</v>
      </c>
      <c r="AM36" s="246" t="s">
        <v>336</v>
      </c>
      <c r="AN36" s="246" t="s">
        <v>336</v>
      </c>
      <c r="AO36" s="661">
        <v>27</v>
      </c>
      <c r="AP36" s="257" t="str">
        <f t="shared" si="35"/>
        <v>N/A</v>
      </c>
      <c r="AQ36" s="257" t="str">
        <f t="shared" si="36"/>
        <v>N/A</v>
      </c>
      <c r="AR36" s="257" t="str">
        <f t="shared" si="37"/>
        <v>N/A</v>
      </c>
      <c r="AS36" s="257" t="str">
        <f t="shared" si="38"/>
        <v>N/A</v>
      </c>
      <c r="AT36" s="257" t="str">
        <f t="shared" si="39"/>
        <v>N/A</v>
      </c>
      <c r="AU36" s="388">
        <v>27</v>
      </c>
      <c r="AV36" s="257" t="str">
        <f t="shared" si="40"/>
        <v>N/A</v>
      </c>
      <c r="AW36" s="257" t="str">
        <f t="shared" si="41"/>
        <v>N/A</v>
      </c>
      <c r="AX36" s="257" t="str">
        <f t="shared" si="42"/>
        <v>N/A</v>
      </c>
      <c r="AY36" s="257" t="str">
        <f t="shared" si="43"/>
        <v>N/A</v>
      </c>
      <c r="AZ36" s="257" t="str">
        <f t="shared" si="44"/>
        <v>N/A</v>
      </c>
      <c r="BA36" s="236"/>
      <c r="BB36" s="236"/>
    </row>
    <row r="37" spans="1:54" x14ac:dyDescent="0.3">
      <c r="A37" s="236"/>
      <c r="B37" s="656">
        <v>28</v>
      </c>
      <c r="C37" s="265" t="str">
        <f t="shared" si="25"/>
        <v>N/A</v>
      </c>
      <c r="D37" s="265" t="str">
        <f t="shared" si="26"/>
        <v>N/A</v>
      </c>
      <c r="E37" s="265" t="str">
        <f t="shared" si="27"/>
        <v>N/A</v>
      </c>
      <c r="F37" s="265" t="str">
        <f t="shared" si="28"/>
        <v>N/A</v>
      </c>
      <c r="G37" s="265" t="str">
        <f t="shared" si="29"/>
        <v>N/A</v>
      </c>
      <c r="H37" s="658">
        <v>28</v>
      </c>
      <c r="I37" s="265" t="str">
        <f t="shared" si="30"/>
        <v>N/A</v>
      </c>
      <c r="J37" s="265" t="str">
        <f t="shared" si="31"/>
        <v>N/A</v>
      </c>
      <c r="K37" s="265" t="str">
        <f t="shared" si="32"/>
        <v>N/A</v>
      </c>
      <c r="L37" s="265" t="str">
        <f t="shared" si="33"/>
        <v>N/A</v>
      </c>
      <c r="M37" s="265" t="str">
        <f t="shared" si="34"/>
        <v>N/A</v>
      </c>
      <c r="N37" s="236"/>
      <c r="O37" s="236" t="s">
        <v>336</v>
      </c>
      <c r="P37" s="656">
        <v>34</v>
      </c>
      <c r="Q37" s="254" t="s">
        <v>336</v>
      </c>
      <c r="R37" s="254" t="s">
        <v>336</v>
      </c>
      <c r="S37" s="254" t="s">
        <v>336</v>
      </c>
      <c r="T37" s="254" t="s">
        <v>336</v>
      </c>
      <c r="U37" s="254" t="s">
        <v>336</v>
      </c>
      <c r="V37" s="658">
        <v>34</v>
      </c>
      <c r="W37" s="254" t="s">
        <v>336</v>
      </c>
      <c r="X37" s="254" t="s">
        <v>336</v>
      </c>
      <c r="Y37" s="254" t="s">
        <v>336</v>
      </c>
      <c r="Z37" s="254" t="s">
        <v>336</v>
      </c>
      <c r="AA37" s="254" t="s">
        <v>336</v>
      </c>
      <c r="AB37" s="236" t="s">
        <v>336</v>
      </c>
      <c r="AC37" s="665">
        <v>34</v>
      </c>
      <c r="AD37" s="254" t="s">
        <v>336</v>
      </c>
      <c r="AE37" s="254" t="s">
        <v>336</v>
      </c>
      <c r="AF37" s="254" t="s">
        <v>336</v>
      </c>
      <c r="AG37" s="254" t="s">
        <v>336</v>
      </c>
      <c r="AH37" s="254" t="s">
        <v>336</v>
      </c>
      <c r="AI37" s="388">
        <v>34</v>
      </c>
      <c r="AJ37" s="254" t="s">
        <v>336</v>
      </c>
      <c r="AK37" s="254" t="s">
        <v>336</v>
      </c>
      <c r="AL37" s="254" t="s">
        <v>336</v>
      </c>
      <c r="AM37" s="254" t="s">
        <v>336</v>
      </c>
      <c r="AN37" s="254" t="s">
        <v>336</v>
      </c>
      <c r="AO37" s="661">
        <v>28</v>
      </c>
      <c r="AP37" s="265" t="str">
        <f t="shared" si="35"/>
        <v>N/A</v>
      </c>
      <c r="AQ37" s="265" t="str">
        <f t="shared" si="36"/>
        <v>N/A</v>
      </c>
      <c r="AR37" s="265" t="str">
        <f t="shared" si="37"/>
        <v>N/A</v>
      </c>
      <c r="AS37" s="265" t="str">
        <f t="shared" si="38"/>
        <v>N/A</v>
      </c>
      <c r="AT37" s="265" t="str">
        <f t="shared" si="39"/>
        <v>N/A</v>
      </c>
      <c r="AU37" s="388">
        <v>28</v>
      </c>
      <c r="AV37" s="265" t="str">
        <f t="shared" si="40"/>
        <v>N/A</v>
      </c>
      <c r="AW37" s="265" t="str">
        <f t="shared" si="41"/>
        <v>N/A</v>
      </c>
      <c r="AX37" s="265" t="str">
        <f t="shared" si="42"/>
        <v>N/A</v>
      </c>
      <c r="AY37" s="265" t="str">
        <f t="shared" si="43"/>
        <v>N/A</v>
      </c>
      <c r="AZ37" s="265" t="str">
        <f t="shared" si="44"/>
        <v>N/A</v>
      </c>
      <c r="BA37" s="236"/>
      <c r="BB37" s="236"/>
    </row>
    <row r="38" spans="1:54" x14ac:dyDescent="0.3">
      <c r="A38" s="236"/>
      <c r="B38" s="656">
        <v>29</v>
      </c>
      <c r="C38" s="257" t="str">
        <f t="shared" si="25"/>
        <v>N/A</v>
      </c>
      <c r="D38" s="257" t="str">
        <f t="shared" si="26"/>
        <v>N/A</v>
      </c>
      <c r="E38" s="257" t="str">
        <f t="shared" si="27"/>
        <v>N/A</v>
      </c>
      <c r="F38" s="257" t="str">
        <f t="shared" si="28"/>
        <v>N/A</v>
      </c>
      <c r="G38" s="257" t="str">
        <f t="shared" si="29"/>
        <v>N/A</v>
      </c>
      <c r="H38" s="658">
        <v>29</v>
      </c>
      <c r="I38" s="257" t="str">
        <f t="shared" si="30"/>
        <v>N/A</v>
      </c>
      <c r="J38" s="257" t="str">
        <f t="shared" si="31"/>
        <v>N/A</v>
      </c>
      <c r="K38" s="257" t="str">
        <f t="shared" si="32"/>
        <v>N/A</v>
      </c>
      <c r="L38" s="257" t="str">
        <f t="shared" si="33"/>
        <v>N/A</v>
      </c>
      <c r="M38" s="257" t="str">
        <f t="shared" si="34"/>
        <v>N/A</v>
      </c>
      <c r="N38" s="236"/>
      <c r="O38" s="236" t="s">
        <v>336</v>
      </c>
      <c r="P38" s="656">
        <v>35</v>
      </c>
      <c r="Q38" s="246" t="s">
        <v>336</v>
      </c>
      <c r="R38" s="246" t="s">
        <v>336</v>
      </c>
      <c r="S38" s="246" t="s">
        <v>336</v>
      </c>
      <c r="T38" s="246" t="s">
        <v>336</v>
      </c>
      <c r="U38" s="246" t="s">
        <v>336</v>
      </c>
      <c r="V38" s="658">
        <v>35</v>
      </c>
      <c r="W38" s="246" t="s">
        <v>336</v>
      </c>
      <c r="X38" s="246" t="s">
        <v>336</v>
      </c>
      <c r="Y38" s="246" t="s">
        <v>336</v>
      </c>
      <c r="Z38" s="246" t="s">
        <v>336</v>
      </c>
      <c r="AA38" s="246" t="s">
        <v>336</v>
      </c>
      <c r="AB38" s="236" t="s">
        <v>336</v>
      </c>
      <c r="AC38" s="665">
        <v>35</v>
      </c>
      <c r="AD38" s="246" t="s">
        <v>336</v>
      </c>
      <c r="AE38" s="246" t="s">
        <v>336</v>
      </c>
      <c r="AF38" s="246" t="s">
        <v>336</v>
      </c>
      <c r="AG38" s="246" t="s">
        <v>336</v>
      </c>
      <c r="AH38" s="246" t="s">
        <v>336</v>
      </c>
      <c r="AI38" s="388">
        <v>35</v>
      </c>
      <c r="AJ38" s="246" t="s">
        <v>336</v>
      </c>
      <c r="AK38" s="246" t="s">
        <v>336</v>
      </c>
      <c r="AL38" s="246" t="s">
        <v>336</v>
      </c>
      <c r="AM38" s="246" t="s">
        <v>336</v>
      </c>
      <c r="AN38" s="246" t="s">
        <v>336</v>
      </c>
      <c r="AO38" s="661">
        <v>29</v>
      </c>
      <c r="AP38" s="257" t="str">
        <f t="shared" si="35"/>
        <v>N/A</v>
      </c>
      <c r="AQ38" s="257" t="str">
        <f t="shared" si="36"/>
        <v>N/A</v>
      </c>
      <c r="AR38" s="257" t="str">
        <f t="shared" si="37"/>
        <v>N/A</v>
      </c>
      <c r="AS38" s="257" t="str">
        <f t="shared" si="38"/>
        <v>N/A</v>
      </c>
      <c r="AT38" s="257" t="str">
        <f t="shared" si="39"/>
        <v>N/A</v>
      </c>
      <c r="AU38" s="388">
        <v>29</v>
      </c>
      <c r="AV38" s="257" t="str">
        <f t="shared" si="40"/>
        <v>N/A</v>
      </c>
      <c r="AW38" s="257" t="str">
        <f t="shared" si="41"/>
        <v>N/A</v>
      </c>
      <c r="AX38" s="257" t="str">
        <f t="shared" si="42"/>
        <v>N/A</v>
      </c>
      <c r="AY38" s="257" t="str">
        <f t="shared" si="43"/>
        <v>N/A</v>
      </c>
      <c r="AZ38" s="257" t="str">
        <f t="shared" si="44"/>
        <v>N/A</v>
      </c>
      <c r="BA38" s="236"/>
      <c r="BB38" s="236"/>
    </row>
    <row r="39" spans="1:54" x14ac:dyDescent="0.3">
      <c r="A39" s="236"/>
      <c r="B39" s="656">
        <v>30</v>
      </c>
      <c r="C39" s="265" t="str">
        <f t="shared" si="25"/>
        <v>N/A</v>
      </c>
      <c r="D39" s="265" t="str">
        <f t="shared" si="26"/>
        <v>N/A</v>
      </c>
      <c r="E39" s="265" t="str">
        <f t="shared" si="27"/>
        <v>N/A</v>
      </c>
      <c r="F39" s="265" t="str">
        <f t="shared" si="28"/>
        <v>N/A</v>
      </c>
      <c r="G39" s="265" t="str">
        <f t="shared" si="29"/>
        <v>N/A</v>
      </c>
      <c r="H39" s="658">
        <v>30</v>
      </c>
      <c r="I39" s="265" t="str">
        <f t="shared" si="30"/>
        <v>N/A</v>
      </c>
      <c r="J39" s="265" t="str">
        <f t="shared" si="31"/>
        <v>N/A</v>
      </c>
      <c r="K39" s="265" t="str">
        <f t="shared" si="32"/>
        <v>N/A</v>
      </c>
      <c r="L39" s="265" t="str">
        <f t="shared" si="33"/>
        <v>N/A</v>
      </c>
      <c r="M39" s="265" t="str">
        <f t="shared" si="34"/>
        <v>N/A</v>
      </c>
      <c r="N39" s="236"/>
      <c r="O39" s="236" t="s">
        <v>336</v>
      </c>
      <c r="P39" s="656">
        <v>36</v>
      </c>
      <c r="Q39" s="254" t="s">
        <v>336</v>
      </c>
      <c r="R39" s="254" t="s">
        <v>336</v>
      </c>
      <c r="S39" s="254" t="s">
        <v>336</v>
      </c>
      <c r="T39" s="254" t="s">
        <v>336</v>
      </c>
      <c r="U39" s="254" t="s">
        <v>336</v>
      </c>
      <c r="V39" s="658">
        <v>36</v>
      </c>
      <c r="W39" s="254" t="s">
        <v>336</v>
      </c>
      <c r="X39" s="254" t="s">
        <v>336</v>
      </c>
      <c r="Y39" s="254" t="s">
        <v>336</v>
      </c>
      <c r="Z39" s="254" t="s">
        <v>336</v>
      </c>
      <c r="AA39" s="254" t="s">
        <v>336</v>
      </c>
      <c r="AB39" s="236" t="s">
        <v>336</v>
      </c>
      <c r="AC39" s="665">
        <v>36</v>
      </c>
      <c r="AD39" s="254" t="s">
        <v>336</v>
      </c>
      <c r="AE39" s="254" t="s">
        <v>336</v>
      </c>
      <c r="AF39" s="254" t="s">
        <v>336</v>
      </c>
      <c r="AG39" s="254" t="s">
        <v>336</v>
      </c>
      <c r="AH39" s="254" t="s">
        <v>336</v>
      </c>
      <c r="AI39" s="388">
        <v>36</v>
      </c>
      <c r="AJ39" s="254" t="s">
        <v>336</v>
      </c>
      <c r="AK39" s="254" t="s">
        <v>336</v>
      </c>
      <c r="AL39" s="254" t="s">
        <v>336</v>
      </c>
      <c r="AM39" s="254" t="s">
        <v>336</v>
      </c>
      <c r="AN39" s="254" t="s">
        <v>336</v>
      </c>
      <c r="AO39" s="661">
        <v>30</v>
      </c>
      <c r="AP39" s="265" t="str">
        <f t="shared" si="35"/>
        <v>N/A</v>
      </c>
      <c r="AQ39" s="265" t="str">
        <f t="shared" si="36"/>
        <v>N/A</v>
      </c>
      <c r="AR39" s="265" t="str">
        <f t="shared" si="37"/>
        <v>N/A</v>
      </c>
      <c r="AS39" s="265" t="str">
        <f t="shared" si="38"/>
        <v>N/A</v>
      </c>
      <c r="AT39" s="265" t="str">
        <f t="shared" si="39"/>
        <v>N/A</v>
      </c>
      <c r="AU39" s="388">
        <v>30</v>
      </c>
      <c r="AV39" s="265" t="str">
        <f t="shared" si="40"/>
        <v>N/A</v>
      </c>
      <c r="AW39" s="265" t="str">
        <f t="shared" si="41"/>
        <v>N/A</v>
      </c>
      <c r="AX39" s="265" t="str">
        <f t="shared" si="42"/>
        <v>N/A</v>
      </c>
      <c r="AY39" s="265" t="str">
        <f t="shared" si="43"/>
        <v>N/A</v>
      </c>
      <c r="AZ39" s="265" t="str">
        <f t="shared" si="44"/>
        <v>N/A</v>
      </c>
      <c r="BA39" s="236"/>
      <c r="BB39" s="236"/>
    </row>
    <row r="40" spans="1:54" x14ac:dyDescent="0.3">
      <c r="A40" s="236"/>
      <c r="B40" s="656">
        <v>31</v>
      </c>
      <c r="C40" s="257" t="str">
        <f t="shared" si="25"/>
        <v>N/A</v>
      </c>
      <c r="D40" s="257" t="str">
        <f t="shared" si="26"/>
        <v>N/A</v>
      </c>
      <c r="E40" s="257" t="str">
        <f t="shared" si="27"/>
        <v>N/A</v>
      </c>
      <c r="F40" s="257" t="str">
        <f t="shared" si="28"/>
        <v>N/A</v>
      </c>
      <c r="G40" s="257" t="str">
        <f t="shared" si="29"/>
        <v>N/A</v>
      </c>
      <c r="H40" s="658">
        <v>31</v>
      </c>
      <c r="I40" s="257" t="str">
        <f t="shared" si="30"/>
        <v>N/A</v>
      </c>
      <c r="J40" s="257" t="str">
        <f t="shared" si="31"/>
        <v>N/A</v>
      </c>
      <c r="K40" s="257" t="str">
        <f t="shared" si="32"/>
        <v>N/A</v>
      </c>
      <c r="L40" s="257" t="str">
        <f t="shared" si="33"/>
        <v>N/A</v>
      </c>
      <c r="M40" s="257" t="str">
        <f t="shared" si="34"/>
        <v>N/A</v>
      </c>
      <c r="N40" s="236"/>
      <c r="O40" s="236" t="s">
        <v>336</v>
      </c>
      <c r="P40" s="656">
        <v>37</v>
      </c>
      <c r="Q40" s="246" t="s">
        <v>336</v>
      </c>
      <c r="R40" s="246" t="s">
        <v>336</v>
      </c>
      <c r="S40" s="246" t="s">
        <v>336</v>
      </c>
      <c r="T40" s="246" t="s">
        <v>336</v>
      </c>
      <c r="U40" s="246" t="s">
        <v>336</v>
      </c>
      <c r="V40" s="658">
        <v>37</v>
      </c>
      <c r="W40" s="246" t="s">
        <v>336</v>
      </c>
      <c r="X40" s="246" t="s">
        <v>336</v>
      </c>
      <c r="Y40" s="246" t="s">
        <v>336</v>
      </c>
      <c r="Z40" s="246" t="s">
        <v>336</v>
      </c>
      <c r="AA40" s="246" t="s">
        <v>336</v>
      </c>
      <c r="AB40" s="236" t="s">
        <v>336</v>
      </c>
      <c r="AC40" s="665">
        <v>37</v>
      </c>
      <c r="AD40" s="246" t="s">
        <v>336</v>
      </c>
      <c r="AE40" s="246" t="s">
        <v>336</v>
      </c>
      <c r="AF40" s="246" t="s">
        <v>336</v>
      </c>
      <c r="AG40" s="246" t="s">
        <v>336</v>
      </c>
      <c r="AH40" s="246" t="s">
        <v>336</v>
      </c>
      <c r="AI40" s="388">
        <v>37</v>
      </c>
      <c r="AJ40" s="246" t="s">
        <v>336</v>
      </c>
      <c r="AK40" s="246" t="s">
        <v>336</v>
      </c>
      <c r="AL40" s="246" t="s">
        <v>336</v>
      </c>
      <c r="AM40" s="246" t="s">
        <v>336</v>
      </c>
      <c r="AN40" s="246" t="s">
        <v>336</v>
      </c>
      <c r="AO40" s="661">
        <v>31</v>
      </c>
      <c r="AP40" s="257" t="str">
        <f t="shared" si="35"/>
        <v>N/A</v>
      </c>
      <c r="AQ40" s="257" t="str">
        <f t="shared" si="36"/>
        <v>N/A</v>
      </c>
      <c r="AR40" s="257" t="str">
        <f t="shared" si="37"/>
        <v>N/A</v>
      </c>
      <c r="AS40" s="257" t="str">
        <f t="shared" si="38"/>
        <v>N/A</v>
      </c>
      <c r="AT40" s="257" t="str">
        <f t="shared" si="39"/>
        <v>N/A</v>
      </c>
      <c r="AU40" s="388">
        <v>31</v>
      </c>
      <c r="AV40" s="257" t="str">
        <f t="shared" si="40"/>
        <v>N/A</v>
      </c>
      <c r="AW40" s="257" t="str">
        <f t="shared" si="41"/>
        <v>N/A</v>
      </c>
      <c r="AX40" s="257" t="str">
        <f t="shared" si="42"/>
        <v>N/A</v>
      </c>
      <c r="AY40" s="257" t="str">
        <f t="shared" si="43"/>
        <v>N/A</v>
      </c>
      <c r="AZ40" s="257" t="str">
        <f t="shared" si="44"/>
        <v>N/A</v>
      </c>
      <c r="BA40" s="236"/>
      <c r="BB40" s="236"/>
    </row>
    <row r="41" spans="1:54" x14ac:dyDescent="0.3">
      <c r="A41" s="236"/>
      <c r="B41" s="656">
        <v>32</v>
      </c>
      <c r="C41" s="265" t="str">
        <f t="shared" si="25"/>
        <v>N/A</v>
      </c>
      <c r="D41" s="265" t="str">
        <f t="shared" si="26"/>
        <v>N/A</v>
      </c>
      <c r="E41" s="265" t="str">
        <f t="shared" si="27"/>
        <v>N/A</v>
      </c>
      <c r="F41" s="265" t="str">
        <f t="shared" si="28"/>
        <v>N/A</v>
      </c>
      <c r="G41" s="265" t="str">
        <f t="shared" si="29"/>
        <v>N/A</v>
      </c>
      <c r="H41" s="658">
        <v>32</v>
      </c>
      <c r="I41" s="265" t="str">
        <f t="shared" si="30"/>
        <v>N/A</v>
      </c>
      <c r="J41" s="265" t="str">
        <f t="shared" si="31"/>
        <v>N/A</v>
      </c>
      <c r="K41" s="265" t="str">
        <f t="shared" si="32"/>
        <v>N/A</v>
      </c>
      <c r="L41" s="265" t="str">
        <f t="shared" si="33"/>
        <v>N/A</v>
      </c>
      <c r="M41" s="265" t="str">
        <f t="shared" si="34"/>
        <v>N/A</v>
      </c>
      <c r="N41" s="236"/>
      <c r="O41" s="236" t="s">
        <v>336</v>
      </c>
      <c r="P41" s="656">
        <v>38</v>
      </c>
      <c r="Q41" s="254" t="s">
        <v>336</v>
      </c>
      <c r="R41" s="254" t="s">
        <v>336</v>
      </c>
      <c r="S41" s="254" t="s">
        <v>336</v>
      </c>
      <c r="T41" s="254" t="s">
        <v>336</v>
      </c>
      <c r="U41" s="254" t="s">
        <v>336</v>
      </c>
      <c r="V41" s="658">
        <v>38</v>
      </c>
      <c r="W41" s="254" t="s">
        <v>336</v>
      </c>
      <c r="X41" s="254" t="s">
        <v>336</v>
      </c>
      <c r="Y41" s="254" t="s">
        <v>336</v>
      </c>
      <c r="Z41" s="254" t="s">
        <v>336</v>
      </c>
      <c r="AA41" s="254" t="s">
        <v>336</v>
      </c>
      <c r="AB41" s="236" t="s">
        <v>336</v>
      </c>
      <c r="AC41" s="665">
        <v>38</v>
      </c>
      <c r="AD41" s="254" t="s">
        <v>336</v>
      </c>
      <c r="AE41" s="254" t="s">
        <v>336</v>
      </c>
      <c r="AF41" s="254" t="s">
        <v>336</v>
      </c>
      <c r="AG41" s="254" t="s">
        <v>336</v>
      </c>
      <c r="AH41" s="254" t="s">
        <v>336</v>
      </c>
      <c r="AI41" s="388">
        <v>38</v>
      </c>
      <c r="AJ41" s="254" t="s">
        <v>336</v>
      </c>
      <c r="AK41" s="254" t="s">
        <v>336</v>
      </c>
      <c r="AL41" s="254" t="s">
        <v>336</v>
      </c>
      <c r="AM41" s="254" t="s">
        <v>336</v>
      </c>
      <c r="AN41" s="254" t="s">
        <v>336</v>
      </c>
      <c r="AO41" s="661">
        <v>32</v>
      </c>
      <c r="AP41" s="265" t="str">
        <f t="shared" si="35"/>
        <v>N/A</v>
      </c>
      <c r="AQ41" s="265" t="str">
        <f t="shared" si="36"/>
        <v>N/A</v>
      </c>
      <c r="AR41" s="265" t="str">
        <f t="shared" si="37"/>
        <v>N/A</v>
      </c>
      <c r="AS41" s="265" t="str">
        <f t="shared" si="38"/>
        <v>N/A</v>
      </c>
      <c r="AT41" s="265" t="str">
        <f t="shared" si="39"/>
        <v>N/A</v>
      </c>
      <c r="AU41" s="388">
        <v>32</v>
      </c>
      <c r="AV41" s="265" t="str">
        <f t="shared" si="40"/>
        <v>N/A</v>
      </c>
      <c r="AW41" s="265" t="str">
        <f t="shared" si="41"/>
        <v>N/A</v>
      </c>
      <c r="AX41" s="265" t="str">
        <f t="shared" si="42"/>
        <v>N/A</v>
      </c>
      <c r="AY41" s="265" t="str">
        <f t="shared" si="43"/>
        <v>N/A</v>
      </c>
      <c r="AZ41" s="265" t="str">
        <f t="shared" si="44"/>
        <v>N/A</v>
      </c>
      <c r="BA41" s="236"/>
      <c r="BB41" s="236"/>
    </row>
    <row r="42" spans="1:54" x14ac:dyDescent="0.3">
      <c r="A42" s="236"/>
      <c r="B42" s="656">
        <v>33</v>
      </c>
      <c r="C42" s="257" t="str">
        <f t="shared" si="25"/>
        <v>N/A</v>
      </c>
      <c r="D42" s="257" t="str">
        <f t="shared" si="26"/>
        <v>N/A</v>
      </c>
      <c r="E42" s="257" t="str">
        <f t="shared" si="27"/>
        <v>N/A</v>
      </c>
      <c r="F42" s="257" t="str">
        <f t="shared" si="28"/>
        <v>N/A</v>
      </c>
      <c r="G42" s="257" t="str">
        <f t="shared" si="29"/>
        <v>N/A</v>
      </c>
      <c r="H42" s="658">
        <v>33</v>
      </c>
      <c r="I42" s="257" t="str">
        <f t="shared" si="30"/>
        <v>N/A</v>
      </c>
      <c r="J42" s="257" t="str">
        <f t="shared" si="31"/>
        <v>N/A</v>
      </c>
      <c r="K42" s="257" t="str">
        <f t="shared" si="32"/>
        <v>N/A</v>
      </c>
      <c r="L42" s="257" t="str">
        <f t="shared" si="33"/>
        <v>N/A</v>
      </c>
      <c r="M42" s="257" t="str">
        <f t="shared" si="34"/>
        <v>N/A</v>
      </c>
      <c r="N42" s="236"/>
      <c r="O42" s="236" t="s">
        <v>336</v>
      </c>
      <c r="P42" s="656">
        <v>39</v>
      </c>
      <c r="Q42" s="246" t="s">
        <v>336</v>
      </c>
      <c r="R42" s="246" t="s">
        <v>336</v>
      </c>
      <c r="S42" s="246" t="s">
        <v>336</v>
      </c>
      <c r="T42" s="246" t="s">
        <v>336</v>
      </c>
      <c r="U42" s="246" t="s">
        <v>336</v>
      </c>
      <c r="V42" s="658">
        <v>39</v>
      </c>
      <c r="W42" s="246" t="s">
        <v>336</v>
      </c>
      <c r="X42" s="246" t="s">
        <v>336</v>
      </c>
      <c r="Y42" s="246" t="s">
        <v>336</v>
      </c>
      <c r="Z42" s="246" t="s">
        <v>336</v>
      </c>
      <c r="AA42" s="246" t="s">
        <v>336</v>
      </c>
      <c r="AB42" s="236" t="s">
        <v>336</v>
      </c>
      <c r="AC42" s="665">
        <v>39</v>
      </c>
      <c r="AD42" s="246" t="s">
        <v>336</v>
      </c>
      <c r="AE42" s="246" t="s">
        <v>336</v>
      </c>
      <c r="AF42" s="246" t="s">
        <v>336</v>
      </c>
      <c r="AG42" s="246" t="s">
        <v>336</v>
      </c>
      <c r="AH42" s="246" t="s">
        <v>336</v>
      </c>
      <c r="AI42" s="388">
        <v>39</v>
      </c>
      <c r="AJ42" s="246" t="s">
        <v>336</v>
      </c>
      <c r="AK42" s="246" t="s">
        <v>336</v>
      </c>
      <c r="AL42" s="246" t="s">
        <v>336</v>
      </c>
      <c r="AM42" s="246" t="s">
        <v>336</v>
      </c>
      <c r="AN42" s="246" t="s">
        <v>336</v>
      </c>
      <c r="AO42" s="661">
        <v>33</v>
      </c>
      <c r="AP42" s="257" t="str">
        <f t="shared" si="35"/>
        <v>N/A</v>
      </c>
      <c r="AQ42" s="257" t="str">
        <f t="shared" si="36"/>
        <v>N/A</v>
      </c>
      <c r="AR42" s="257" t="str">
        <f t="shared" si="37"/>
        <v>N/A</v>
      </c>
      <c r="AS42" s="257" t="str">
        <f t="shared" si="38"/>
        <v>N/A</v>
      </c>
      <c r="AT42" s="257" t="str">
        <f t="shared" si="39"/>
        <v>N/A</v>
      </c>
      <c r="AU42" s="388">
        <v>33</v>
      </c>
      <c r="AV42" s="257" t="str">
        <f t="shared" si="40"/>
        <v>N/A</v>
      </c>
      <c r="AW42" s="257" t="str">
        <f t="shared" si="41"/>
        <v>N/A</v>
      </c>
      <c r="AX42" s="257" t="str">
        <f t="shared" si="42"/>
        <v>N/A</v>
      </c>
      <c r="AY42" s="257" t="str">
        <f t="shared" si="43"/>
        <v>N/A</v>
      </c>
      <c r="AZ42" s="257" t="str">
        <f t="shared" si="44"/>
        <v>N/A</v>
      </c>
      <c r="BA42" s="236"/>
      <c r="BB42" s="236"/>
    </row>
    <row r="43" spans="1:54" x14ac:dyDescent="0.3">
      <c r="A43" s="236"/>
      <c r="B43" s="656">
        <v>34</v>
      </c>
      <c r="C43" s="265" t="str">
        <f t="shared" si="25"/>
        <v>N/A</v>
      </c>
      <c r="D43" s="265" t="str">
        <f t="shared" si="26"/>
        <v>N/A</v>
      </c>
      <c r="E43" s="265" t="str">
        <f t="shared" si="27"/>
        <v>N/A</v>
      </c>
      <c r="F43" s="265" t="str">
        <f t="shared" si="28"/>
        <v>N/A</v>
      </c>
      <c r="G43" s="265" t="str">
        <f t="shared" si="29"/>
        <v>N/A</v>
      </c>
      <c r="H43" s="658">
        <v>34</v>
      </c>
      <c r="I43" s="265" t="str">
        <f t="shared" si="30"/>
        <v>N/A</v>
      </c>
      <c r="J43" s="265" t="str">
        <f t="shared" si="31"/>
        <v>N/A</v>
      </c>
      <c r="K43" s="265" t="str">
        <f t="shared" si="32"/>
        <v>N/A</v>
      </c>
      <c r="L43" s="265" t="str">
        <f t="shared" si="33"/>
        <v>N/A</v>
      </c>
      <c r="M43" s="265" t="str">
        <f t="shared" si="34"/>
        <v>N/A</v>
      </c>
      <c r="N43" s="236"/>
      <c r="O43" s="236" t="s">
        <v>336</v>
      </c>
      <c r="P43" s="656">
        <v>40</v>
      </c>
      <c r="Q43" s="254" t="s">
        <v>336</v>
      </c>
      <c r="R43" s="254" t="s">
        <v>336</v>
      </c>
      <c r="S43" s="254" t="s">
        <v>336</v>
      </c>
      <c r="T43" s="254" t="s">
        <v>336</v>
      </c>
      <c r="U43" s="254" t="s">
        <v>336</v>
      </c>
      <c r="V43" s="658">
        <v>40</v>
      </c>
      <c r="W43" s="254" t="s">
        <v>336</v>
      </c>
      <c r="X43" s="254" t="s">
        <v>336</v>
      </c>
      <c r="Y43" s="254" t="s">
        <v>336</v>
      </c>
      <c r="Z43" s="254" t="s">
        <v>336</v>
      </c>
      <c r="AA43" s="254" t="s">
        <v>336</v>
      </c>
      <c r="AB43" s="236" t="s">
        <v>336</v>
      </c>
      <c r="AC43" s="665">
        <v>40</v>
      </c>
      <c r="AD43" s="254" t="s">
        <v>336</v>
      </c>
      <c r="AE43" s="254" t="s">
        <v>336</v>
      </c>
      <c r="AF43" s="254" t="s">
        <v>336</v>
      </c>
      <c r="AG43" s="254" t="s">
        <v>336</v>
      </c>
      <c r="AH43" s="254" t="s">
        <v>336</v>
      </c>
      <c r="AI43" s="388">
        <v>40</v>
      </c>
      <c r="AJ43" s="254" t="s">
        <v>336</v>
      </c>
      <c r="AK43" s="254" t="s">
        <v>336</v>
      </c>
      <c r="AL43" s="254" t="s">
        <v>336</v>
      </c>
      <c r="AM43" s="254" t="s">
        <v>336</v>
      </c>
      <c r="AN43" s="254" t="s">
        <v>336</v>
      </c>
      <c r="AO43" s="661">
        <v>34</v>
      </c>
      <c r="AP43" s="265" t="str">
        <f t="shared" si="35"/>
        <v>N/A</v>
      </c>
      <c r="AQ43" s="265" t="str">
        <f t="shared" si="36"/>
        <v>N/A</v>
      </c>
      <c r="AR43" s="265" t="str">
        <f t="shared" si="37"/>
        <v>N/A</v>
      </c>
      <c r="AS43" s="265" t="str">
        <f t="shared" si="38"/>
        <v>N/A</v>
      </c>
      <c r="AT43" s="265" t="str">
        <f t="shared" si="39"/>
        <v>N/A</v>
      </c>
      <c r="AU43" s="388">
        <v>34</v>
      </c>
      <c r="AV43" s="265" t="str">
        <f t="shared" si="40"/>
        <v>N/A</v>
      </c>
      <c r="AW43" s="265" t="str">
        <f t="shared" si="41"/>
        <v>N/A</v>
      </c>
      <c r="AX43" s="265" t="str">
        <f t="shared" si="42"/>
        <v>N/A</v>
      </c>
      <c r="AY43" s="265" t="str">
        <f t="shared" si="43"/>
        <v>N/A</v>
      </c>
      <c r="AZ43" s="265" t="str">
        <f t="shared" si="44"/>
        <v>N/A</v>
      </c>
      <c r="BA43" s="236"/>
      <c r="BB43" s="236"/>
    </row>
    <row r="44" spans="1:54" x14ac:dyDescent="0.3">
      <c r="A44" s="236"/>
      <c r="B44" s="656">
        <v>35</v>
      </c>
      <c r="C44" s="257" t="str">
        <f t="shared" si="25"/>
        <v>N/A</v>
      </c>
      <c r="D44" s="257" t="str">
        <f t="shared" si="26"/>
        <v>N/A</v>
      </c>
      <c r="E44" s="257" t="str">
        <f t="shared" si="27"/>
        <v>N/A</v>
      </c>
      <c r="F44" s="257" t="str">
        <f t="shared" si="28"/>
        <v>N/A</v>
      </c>
      <c r="G44" s="257" t="str">
        <f t="shared" si="29"/>
        <v>N/A</v>
      </c>
      <c r="H44" s="658">
        <v>35</v>
      </c>
      <c r="I44" s="257" t="str">
        <f t="shared" si="30"/>
        <v>N/A</v>
      </c>
      <c r="J44" s="257" t="str">
        <f t="shared" si="31"/>
        <v>N/A</v>
      </c>
      <c r="K44" s="257" t="str">
        <f t="shared" si="32"/>
        <v>N/A</v>
      </c>
      <c r="L44" s="257" t="str">
        <f t="shared" si="33"/>
        <v>N/A</v>
      </c>
      <c r="M44" s="257" t="str">
        <f t="shared" si="34"/>
        <v>N/A</v>
      </c>
      <c r="N44" s="236"/>
      <c r="O44" s="236" t="s">
        <v>336</v>
      </c>
      <c r="P44" s="656">
        <v>41</v>
      </c>
      <c r="Q44" s="246" t="s">
        <v>336</v>
      </c>
      <c r="R44" s="246" t="s">
        <v>336</v>
      </c>
      <c r="S44" s="246" t="s">
        <v>336</v>
      </c>
      <c r="T44" s="246" t="s">
        <v>336</v>
      </c>
      <c r="U44" s="246" t="s">
        <v>336</v>
      </c>
      <c r="V44" s="658">
        <v>41</v>
      </c>
      <c r="W44" s="246" t="s">
        <v>336</v>
      </c>
      <c r="X44" s="246" t="s">
        <v>336</v>
      </c>
      <c r="Y44" s="246" t="s">
        <v>336</v>
      </c>
      <c r="Z44" s="246" t="s">
        <v>336</v>
      </c>
      <c r="AA44" s="246" t="s">
        <v>336</v>
      </c>
      <c r="AB44" s="236" t="s">
        <v>336</v>
      </c>
      <c r="AC44" s="665">
        <v>41</v>
      </c>
      <c r="AD44" s="246" t="s">
        <v>336</v>
      </c>
      <c r="AE44" s="246" t="s">
        <v>336</v>
      </c>
      <c r="AF44" s="246" t="s">
        <v>336</v>
      </c>
      <c r="AG44" s="246" t="s">
        <v>336</v>
      </c>
      <c r="AH44" s="246" t="s">
        <v>336</v>
      </c>
      <c r="AI44" s="388">
        <v>41</v>
      </c>
      <c r="AJ44" s="246" t="s">
        <v>336</v>
      </c>
      <c r="AK44" s="246" t="s">
        <v>336</v>
      </c>
      <c r="AL44" s="246" t="s">
        <v>336</v>
      </c>
      <c r="AM44" s="246" t="s">
        <v>336</v>
      </c>
      <c r="AN44" s="246" t="s">
        <v>336</v>
      </c>
      <c r="AO44" s="661">
        <v>35</v>
      </c>
      <c r="AP44" s="257" t="str">
        <f t="shared" si="35"/>
        <v>N/A</v>
      </c>
      <c r="AQ44" s="257" t="str">
        <f t="shared" si="36"/>
        <v>N/A</v>
      </c>
      <c r="AR44" s="257" t="str">
        <f t="shared" si="37"/>
        <v>N/A</v>
      </c>
      <c r="AS44" s="257" t="str">
        <f t="shared" si="38"/>
        <v>N/A</v>
      </c>
      <c r="AT44" s="257" t="str">
        <f t="shared" si="39"/>
        <v>N/A</v>
      </c>
      <c r="AU44" s="388">
        <v>35</v>
      </c>
      <c r="AV44" s="257" t="str">
        <f t="shared" si="40"/>
        <v>N/A</v>
      </c>
      <c r="AW44" s="257" t="str">
        <f t="shared" si="41"/>
        <v>N/A</v>
      </c>
      <c r="AX44" s="257" t="str">
        <f t="shared" si="42"/>
        <v>N/A</v>
      </c>
      <c r="AY44" s="257" t="str">
        <f t="shared" si="43"/>
        <v>N/A</v>
      </c>
      <c r="AZ44" s="257" t="str">
        <f t="shared" si="44"/>
        <v>N/A</v>
      </c>
      <c r="BA44" s="236"/>
      <c r="BB44" s="236"/>
    </row>
    <row r="45" spans="1:54" x14ac:dyDescent="0.3">
      <c r="A45" s="236"/>
      <c r="B45" s="656">
        <v>36</v>
      </c>
      <c r="C45" s="271" t="str">
        <f t="shared" si="25"/>
        <v>N/A</v>
      </c>
      <c r="D45" s="271" t="str">
        <f t="shared" si="26"/>
        <v>N/A</v>
      </c>
      <c r="E45" s="271" t="str">
        <f t="shared" si="27"/>
        <v>N/A</v>
      </c>
      <c r="F45" s="271" t="str">
        <f t="shared" si="28"/>
        <v>N/A</v>
      </c>
      <c r="G45" s="271" t="str">
        <f t="shared" si="29"/>
        <v>N/A</v>
      </c>
      <c r="H45" s="658">
        <v>36</v>
      </c>
      <c r="I45" s="271" t="str">
        <f t="shared" si="30"/>
        <v>N/A</v>
      </c>
      <c r="J45" s="271" t="str">
        <f t="shared" si="31"/>
        <v>N/A</v>
      </c>
      <c r="K45" s="271" t="str">
        <f t="shared" si="32"/>
        <v>N/A</v>
      </c>
      <c r="L45" s="271" t="str">
        <f t="shared" si="33"/>
        <v>N/A</v>
      </c>
      <c r="M45" s="271" t="str">
        <f t="shared" si="34"/>
        <v>N/A</v>
      </c>
      <c r="N45" s="236"/>
      <c r="O45" s="236" t="s">
        <v>336</v>
      </c>
      <c r="P45" s="656">
        <v>42</v>
      </c>
      <c r="Q45" s="254" t="s">
        <v>336</v>
      </c>
      <c r="R45" s="254" t="s">
        <v>336</v>
      </c>
      <c r="S45" s="254" t="s">
        <v>336</v>
      </c>
      <c r="T45" s="254" t="s">
        <v>336</v>
      </c>
      <c r="U45" s="254" t="s">
        <v>336</v>
      </c>
      <c r="V45" s="658">
        <v>42</v>
      </c>
      <c r="W45" s="254" t="s">
        <v>336</v>
      </c>
      <c r="X45" s="254" t="s">
        <v>336</v>
      </c>
      <c r="Y45" s="254" t="s">
        <v>336</v>
      </c>
      <c r="Z45" s="254" t="s">
        <v>336</v>
      </c>
      <c r="AA45" s="254" t="s">
        <v>336</v>
      </c>
      <c r="AB45" s="236" t="s">
        <v>336</v>
      </c>
      <c r="AC45" s="665">
        <v>42</v>
      </c>
      <c r="AD45" s="254" t="s">
        <v>336</v>
      </c>
      <c r="AE45" s="254" t="s">
        <v>336</v>
      </c>
      <c r="AF45" s="254" t="s">
        <v>336</v>
      </c>
      <c r="AG45" s="254" t="s">
        <v>336</v>
      </c>
      <c r="AH45" s="254" t="s">
        <v>336</v>
      </c>
      <c r="AI45" s="388">
        <v>42</v>
      </c>
      <c r="AJ45" s="254" t="s">
        <v>336</v>
      </c>
      <c r="AK45" s="254" t="s">
        <v>336</v>
      </c>
      <c r="AL45" s="254" t="s">
        <v>336</v>
      </c>
      <c r="AM45" s="254" t="s">
        <v>336</v>
      </c>
      <c r="AN45" s="254" t="s">
        <v>336</v>
      </c>
      <c r="AO45" s="661">
        <v>36</v>
      </c>
      <c r="AP45" s="271" t="str">
        <f t="shared" si="35"/>
        <v>N/A</v>
      </c>
      <c r="AQ45" s="271" t="str">
        <f t="shared" si="36"/>
        <v>N/A</v>
      </c>
      <c r="AR45" s="271" t="str">
        <f t="shared" si="37"/>
        <v>N/A</v>
      </c>
      <c r="AS45" s="271" t="str">
        <f t="shared" si="38"/>
        <v>N/A</v>
      </c>
      <c r="AT45" s="271" t="str">
        <f t="shared" si="39"/>
        <v>N/A</v>
      </c>
      <c r="AU45" s="388">
        <v>36</v>
      </c>
      <c r="AV45" s="271" t="str">
        <f t="shared" si="40"/>
        <v>N/A</v>
      </c>
      <c r="AW45" s="271" t="str">
        <f t="shared" si="41"/>
        <v>N/A</v>
      </c>
      <c r="AX45" s="271" t="str">
        <f t="shared" si="42"/>
        <v>N/A</v>
      </c>
      <c r="AY45" s="271" t="str">
        <f t="shared" si="43"/>
        <v>N/A</v>
      </c>
      <c r="AZ45" s="271" t="str">
        <f t="shared" si="44"/>
        <v>N/A</v>
      </c>
      <c r="BA45" s="236"/>
      <c r="BB45" s="236"/>
    </row>
    <row r="46" spans="1:54" x14ac:dyDescent="0.3">
      <c r="A46" s="236"/>
      <c r="B46" s="656">
        <v>37</v>
      </c>
      <c r="C46" s="257" t="str">
        <f t="shared" si="25"/>
        <v>N/A</v>
      </c>
      <c r="D46" s="257" t="str">
        <f t="shared" si="26"/>
        <v>N/A</v>
      </c>
      <c r="E46" s="257" t="str">
        <f t="shared" si="27"/>
        <v>N/A</v>
      </c>
      <c r="F46" s="257" t="str">
        <f t="shared" si="28"/>
        <v>N/A</v>
      </c>
      <c r="G46" s="257" t="str">
        <f t="shared" si="29"/>
        <v>N/A</v>
      </c>
      <c r="H46" s="658">
        <v>37</v>
      </c>
      <c r="I46" s="257" t="str">
        <f t="shared" si="30"/>
        <v>N/A</v>
      </c>
      <c r="J46" s="257" t="str">
        <f t="shared" si="31"/>
        <v>N/A</v>
      </c>
      <c r="K46" s="257" t="str">
        <f t="shared" si="32"/>
        <v>N/A</v>
      </c>
      <c r="L46" s="257" t="str">
        <f t="shared" si="33"/>
        <v>N/A</v>
      </c>
      <c r="M46" s="257" t="str">
        <f t="shared" si="34"/>
        <v>N/A</v>
      </c>
      <c r="N46" s="236"/>
      <c r="O46" s="236" t="s">
        <v>336</v>
      </c>
      <c r="P46" s="656">
        <v>43</v>
      </c>
      <c r="Q46" s="246" t="s">
        <v>336</v>
      </c>
      <c r="R46" s="246" t="s">
        <v>336</v>
      </c>
      <c r="S46" s="246" t="s">
        <v>336</v>
      </c>
      <c r="T46" s="246" t="s">
        <v>336</v>
      </c>
      <c r="U46" s="246" t="s">
        <v>336</v>
      </c>
      <c r="V46" s="658">
        <v>43</v>
      </c>
      <c r="W46" s="246" t="s">
        <v>336</v>
      </c>
      <c r="X46" s="246" t="s">
        <v>336</v>
      </c>
      <c r="Y46" s="246" t="s">
        <v>336</v>
      </c>
      <c r="Z46" s="246" t="s">
        <v>336</v>
      </c>
      <c r="AA46" s="246" t="s">
        <v>336</v>
      </c>
      <c r="AB46" s="236" t="s">
        <v>336</v>
      </c>
      <c r="AC46" s="665">
        <v>43</v>
      </c>
      <c r="AD46" s="246" t="s">
        <v>336</v>
      </c>
      <c r="AE46" s="246" t="s">
        <v>336</v>
      </c>
      <c r="AF46" s="246" t="s">
        <v>336</v>
      </c>
      <c r="AG46" s="246" t="s">
        <v>336</v>
      </c>
      <c r="AH46" s="246" t="s">
        <v>336</v>
      </c>
      <c r="AI46" s="388">
        <v>43</v>
      </c>
      <c r="AJ46" s="246" t="s">
        <v>336</v>
      </c>
      <c r="AK46" s="246" t="s">
        <v>336</v>
      </c>
      <c r="AL46" s="246" t="s">
        <v>336</v>
      </c>
      <c r="AM46" s="246" t="s">
        <v>336</v>
      </c>
      <c r="AN46" s="246" t="s">
        <v>336</v>
      </c>
      <c r="AO46" s="661">
        <v>37</v>
      </c>
      <c r="AP46" s="257" t="str">
        <f t="shared" si="35"/>
        <v>N/A</v>
      </c>
      <c r="AQ46" s="257" t="str">
        <f t="shared" si="36"/>
        <v>N/A</v>
      </c>
      <c r="AR46" s="257" t="str">
        <f t="shared" si="37"/>
        <v>N/A</v>
      </c>
      <c r="AS46" s="257" t="str">
        <f t="shared" si="38"/>
        <v>N/A</v>
      </c>
      <c r="AT46" s="257" t="str">
        <f t="shared" si="39"/>
        <v>N/A</v>
      </c>
      <c r="AU46" s="388">
        <v>37</v>
      </c>
      <c r="AV46" s="257" t="str">
        <f t="shared" si="40"/>
        <v>N/A</v>
      </c>
      <c r="AW46" s="257" t="str">
        <f t="shared" si="41"/>
        <v>N/A</v>
      </c>
      <c r="AX46" s="257" t="str">
        <f t="shared" si="42"/>
        <v>N/A</v>
      </c>
      <c r="AY46" s="257" t="str">
        <f t="shared" si="43"/>
        <v>N/A</v>
      </c>
      <c r="AZ46" s="257" t="str">
        <f t="shared" si="44"/>
        <v>N/A</v>
      </c>
      <c r="BA46" s="236"/>
      <c r="BB46" s="236"/>
    </row>
    <row r="47" spans="1:54" x14ac:dyDescent="0.3">
      <c r="A47" s="236"/>
      <c r="B47" s="656">
        <v>38</v>
      </c>
      <c r="C47" s="265" t="str">
        <f t="shared" si="25"/>
        <v>N/A</v>
      </c>
      <c r="D47" s="265" t="str">
        <f t="shared" si="26"/>
        <v>N/A</v>
      </c>
      <c r="E47" s="265" t="str">
        <f t="shared" si="27"/>
        <v>N/A</v>
      </c>
      <c r="F47" s="265" t="str">
        <f t="shared" si="28"/>
        <v>N/A</v>
      </c>
      <c r="G47" s="265" t="str">
        <f t="shared" si="29"/>
        <v>N/A</v>
      </c>
      <c r="H47" s="658">
        <v>38</v>
      </c>
      <c r="I47" s="265" t="str">
        <f t="shared" si="30"/>
        <v>N/A</v>
      </c>
      <c r="J47" s="265" t="str">
        <f t="shared" si="31"/>
        <v>N/A</v>
      </c>
      <c r="K47" s="265" t="str">
        <f t="shared" si="32"/>
        <v>N/A</v>
      </c>
      <c r="L47" s="265" t="str">
        <f t="shared" si="33"/>
        <v>N/A</v>
      </c>
      <c r="M47" s="265" t="str">
        <f t="shared" si="34"/>
        <v>N/A</v>
      </c>
      <c r="N47" s="236"/>
      <c r="O47" s="236" t="s">
        <v>336</v>
      </c>
      <c r="P47" s="657">
        <v>44</v>
      </c>
      <c r="Q47" s="293" t="s">
        <v>336</v>
      </c>
      <c r="R47" s="293" t="s">
        <v>336</v>
      </c>
      <c r="S47" s="293" t="s">
        <v>336</v>
      </c>
      <c r="T47" s="254" t="s">
        <v>336</v>
      </c>
      <c r="U47" s="254" t="s">
        <v>336</v>
      </c>
      <c r="V47" s="659">
        <v>44</v>
      </c>
      <c r="W47" s="293" t="s">
        <v>336</v>
      </c>
      <c r="X47" s="293" t="s">
        <v>336</v>
      </c>
      <c r="Y47" s="293" t="s">
        <v>336</v>
      </c>
      <c r="Z47" s="254" t="s">
        <v>336</v>
      </c>
      <c r="AA47" s="254" t="s">
        <v>336</v>
      </c>
      <c r="AB47" s="236" t="s">
        <v>336</v>
      </c>
      <c r="AC47" s="666">
        <v>44</v>
      </c>
      <c r="AD47" s="293" t="s">
        <v>336</v>
      </c>
      <c r="AE47" s="293" t="s">
        <v>336</v>
      </c>
      <c r="AF47" s="293" t="s">
        <v>336</v>
      </c>
      <c r="AG47" s="254" t="s">
        <v>336</v>
      </c>
      <c r="AH47" s="254" t="s">
        <v>336</v>
      </c>
      <c r="AI47" s="655">
        <v>44</v>
      </c>
      <c r="AJ47" s="293" t="s">
        <v>336</v>
      </c>
      <c r="AK47" s="293" t="s">
        <v>336</v>
      </c>
      <c r="AL47" s="293" t="s">
        <v>336</v>
      </c>
      <c r="AM47" s="254" t="s">
        <v>336</v>
      </c>
      <c r="AN47" s="254" t="s">
        <v>336</v>
      </c>
      <c r="AO47" s="661">
        <v>38</v>
      </c>
      <c r="AP47" s="265" t="str">
        <f t="shared" si="35"/>
        <v>N/A</v>
      </c>
      <c r="AQ47" s="265" t="str">
        <f t="shared" si="36"/>
        <v>N/A</v>
      </c>
      <c r="AR47" s="265" t="str">
        <f t="shared" si="37"/>
        <v>N/A</v>
      </c>
      <c r="AS47" s="265" t="str">
        <f t="shared" si="38"/>
        <v>N/A</v>
      </c>
      <c r="AT47" s="265" t="str">
        <f t="shared" si="39"/>
        <v>N/A</v>
      </c>
      <c r="AU47" s="388">
        <v>38</v>
      </c>
      <c r="AV47" s="265" t="str">
        <f t="shared" si="40"/>
        <v>N/A</v>
      </c>
      <c r="AW47" s="265" t="str">
        <f t="shared" si="41"/>
        <v>N/A</v>
      </c>
      <c r="AX47" s="265" t="str">
        <f t="shared" si="42"/>
        <v>N/A</v>
      </c>
      <c r="AY47" s="265" t="str">
        <f t="shared" si="43"/>
        <v>N/A</v>
      </c>
      <c r="AZ47" s="265" t="str">
        <f t="shared" si="44"/>
        <v>N/A</v>
      </c>
      <c r="BA47" s="236"/>
      <c r="BB47" s="236"/>
    </row>
    <row r="48" spans="1:54" x14ac:dyDescent="0.3">
      <c r="A48" s="236"/>
      <c r="B48" s="656">
        <v>39</v>
      </c>
      <c r="C48" s="257" t="str">
        <f t="shared" si="25"/>
        <v>N/A</v>
      </c>
      <c r="D48" s="257" t="str">
        <f t="shared" si="26"/>
        <v>N/A</v>
      </c>
      <c r="E48" s="257" t="str">
        <f t="shared" si="27"/>
        <v>N/A</v>
      </c>
      <c r="F48" s="257" t="str">
        <f t="shared" si="28"/>
        <v>N/A</v>
      </c>
      <c r="G48" s="257" t="str">
        <f t="shared" si="29"/>
        <v>N/A</v>
      </c>
      <c r="H48" s="658">
        <v>39</v>
      </c>
      <c r="I48" s="257" t="str">
        <f t="shared" si="30"/>
        <v>N/A</v>
      </c>
      <c r="J48" s="257" t="str">
        <f t="shared" si="31"/>
        <v>N/A</v>
      </c>
      <c r="K48" s="257" t="str">
        <f t="shared" si="32"/>
        <v>N/A</v>
      </c>
      <c r="L48" s="257" t="str">
        <f t="shared" si="33"/>
        <v>N/A</v>
      </c>
      <c r="M48" s="257" t="str">
        <f t="shared" si="34"/>
        <v>N/A</v>
      </c>
      <c r="N48" s="236"/>
      <c r="O48" s="236"/>
      <c r="P48" s="236"/>
      <c r="Q48" s="236" t="s">
        <v>336</v>
      </c>
      <c r="R48" s="236" t="s">
        <v>336</v>
      </c>
      <c r="S48" s="236" t="s">
        <v>336</v>
      </c>
      <c r="T48" s="236" t="s">
        <v>336</v>
      </c>
      <c r="U48" s="236" t="s">
        <v>336</v>
      </c>
      <c r="V48" s="49"/>
      <c r="W48" s="236" t="s">
        <v>336</v>
      </c>
      <c r="X48" s="236" t="s">
        <v>336</v>
      </c>
      <c r="Y48" s="236" t="s">
        <v>336</v>
      </c>
      <c r="Z48" s="236" t="s">
        <v>336</v>
      </c>
      <c r="AA48" s="236" t="s">
        <v>336</v>
      </c>
      <c r="AB48" s="236"/>
      <c r="AC48" s="522"/>
      <c r="AD48" s="236" t="s">
        <v>336</v>
      </c>
      <c r="AE48" s="236" t="s">
        <v>336</v>
      </c>
      <c r="AF48" s="236" t="s">
        <v>336</v>
      </c>
      <c r="AG48" s="236" t="s">
        <v>336</v>
      </c>
      <c r="AH48" s="236" t="s">
        <v>336</v>
      </c>
      <c r="AI48" s="236"/>
      <c r="AJ48" s="236" t="s">
        <v>336</v>
      </c>
      <c r="AK48" s="236" t="s">
        <v>336</v>
      </c>
      <c r="AL48" s="236" t="s">
        <v>336</v>
      </c>
      <c r="AM48" s="236" t="s">
        <v>336</v>
      </c>
      <c r="AN48" s="236" t="s">
        <v>336</v>
      </c>
      <c r="AO48" s="661">
        <v>39</v>
      </c>
      <c r="AP48" s="257" t="str">
        <f t="shared" si="35"/>
        <v>N/A</v>
      </c>
      <c r="AQ48" s="257" t="str">
        <f t="shared" si="36"/>
        <v>N/A</v>
      </c>
      <c r="AR48" s="257" t="str">
        <f t="shared" si="37"/>
        <v>N/A</v>
      </c>
      <c r="AS48" s="257" t="str">
        <f t="shared" si="38"/>
        <v>N/A</v>
      </c>
      <c r="AT48" s="257" t="str">
        <f t="shared" si="39"/>
        <v>N/A</v>
      </c>
      <c r="AU48" s="388">
        <v>39</v>
      </c>
      <c r="AV48" s="257" t="str">
        <f t="shared" si="40"/>
        <v>N/A</v>
      </c>
      <c r="AW48" s="257" t="str">
        <f t="shared" si="41"/>
        <v>N/A</v>
      </c>
      <c r="AX48" s="257" t="str">
        <f t="shared" si="42"/>
        <v>N/A</v>
      </c>
      <c r="AY48" s="257" t="str">
        <f t="shared" si="43"/>
        <v>N/A</v>
      </c>
      <c r="AZ48" s="257" t="str">
        <f t="shared" si="44"/>
        <v>N/A</v>
      </c>
      <c r="BA48" s="236"/>
      <c r="BB48" s="236"/>
    </row>
    <row r="49" spans="1:54" x14ac:dyDescent="0.3">
      <c r="A49" s="236"/>
      <c r="B49" s="656">
        <v>40</v>
      </c>
      <c r="C49" s="265" t="str">
        <f t="shared" si="25"/>
        <v>N/A</v>
      </c>
      <c r="D49" s="265" t="str">
        <f t="shared" si="26"/>
        <v>N/A</v>
      </c>
      <c r="E49" s="265" t="str">
        <f t="shared" si="27"/>
        <v>N/A</v>
      </c>
      <c r="F49" s="265" t="str">
        <f t="shared" si="28"/>
        <v>N/A</v>
      </c>
      <c r="G49" s="265" t="str">
        <f t="shared" si="29"/>
        <v>N/A</v>
      </c>
      <c r="H49" s="658">
        <v>40</v>
      </c>
      <c r="I49" s="265" t="str">
        <f t="shared" si="30"/>
        <v>N/A</v>
      </c>
      <c r="J49" s="265" t="str">
        <f t="shared" si="31"/>
        <v>N/A</v>
      </c>
      <c r="K49" s="265" t="str">
        <f t="shared" si="32"/>
        <v>N/A</v>
      </c>
      <c r="L49" s="265" t="str">
        <f t="shared" si="33"/>
        <v>N/A</v>
      </c>
      <c r="M49" s="265" t="str">
        <f t="shared" si="34"/>
        <v>N/A</v>
      </c>
      <c r="N49" s="236"/>
      <c r="O49" s="236"/>
      <c r="P49" s="236"/>
      <c r="Q49" s="236"/>
      <c r="R49" s="236"/>
      <c r="S49" s="236">
        <v>1.8333333333333333</v>
      </c>
      <c r="T49" s="236"/>
      <c r="U49" s="236"/>
      <c r="V49" s="49"/>
      <c r="W49" s="236"/>
      <c r="X49" s="236"/>
      <c r="Y49" s="236">
        <v>1.8333333333333333</v>
      </c>
      <c r="Z49" s="236"/>
      <c r="AA49" s="236"/>
      <c r="AB49" s="236"/>
      <c r="AC49" s="522"/>
      <c r="AD49" s="236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661">
        <v>40</v>
      </c>
      <c r="AP49" s="265" t="str">
        <f t="shared" si="35"/>
        <v>N/A</v>
      </c>
      <c r="AQ49" s="265" t="str">
        <f t="shared" si="36"/>
        <v>N/A</v>
      </c>
      <c r="AR49" s="265" t="str">
        <f t="shared" si="37"/>
        <v>N/A</v>
      </c>
      <c r="AS49" s="265" t="str">
        <f t="shared" si="38"/>
        <v>N/A</v>
      </c>
      <c r="AT49" s="265" t="str">
        <f t="shared" si="39"/>
        <v>N/A</v>
      </c>
      <c r="AU49" s="388">
        <v>40</v>
      </c>
      <c r="AV49" s="265" t="str">
        <f t="shared" si="40"/>
        <v>N/A</v>
      </c>
      <c r="AW49" s="265" t="str">
        <f t="shared" si="41"/>
        <v>N/A</v>
      </c>
      <c r="AX49" s="265" t="str">
        <f t="shared" si="42"/>
        <v>N/A</v>
      </c>
      <c r="AY49" s="265" t="str">
        <f t="shared" si="43"/>
        <v>N/A</v>
      </c>
      <c r="AZ49" s="265" t="str">
        <f t="shared" si="44"/>
        <v>N/A</v>
      </c>
      <c r="BA49" s="236"/>
      <c r="BB49" s="236"/>
    </row>
    <row r="50" spans="1:54" x14ac:dyDescent="0.3">
      <c r="A50" s="236"/>
      <c r="B50" s="656">
        <v>41</v>
      </c>
      <c r="C50" s="257" t="str">
        <f t="shared" ref="C50:C53" si="45">Q44</f>
        <v>N/A</v>
      </c>
      <c r="D50" s="257" t="str">
        <f t="shared" si="26"/>
        <v>N/A</v>
      </c>
      <c r="E50" s="257" t="str">
        <f t="shared" si="27"/>
        <v>N/A</v>
      </c>
      <c r="F50" s="257" t="str">
        <f t="shared" si="28"/>
        <v>N/A</v>
      </c>
      <c r="G50" s="257" t="str">
        <f t="shared" si="29"/>
        <v>N/A</v>
      </c>
      <c r="H50" s="658">
        <v>41</v>
      </c>
      <c r="I50" s="257" t="str">
        <f t="shared" ref="I50:I53" si="46">W44</f>
        <v>N/A</v>
      </c>
      <c r="J50" s="257" t="str">
        <f t="shared" si="31"/>
        <v>N/A</v>
      </c>
      <c r="K50" s="257" t="str">
        <f t="shared" si="32"/>
        <v>N/A</v>
      </c>
      <c r="L50" s="257" t="str">
        <f t="shared" si="33"/>
        <v>N/A</v>
      </c>
      <c r="M50" s="257" t="str">
        <f t="shared" si="34"/>
        <v>N/A</v>
      </c>
      <c r="N50" s="236"/>
      <c r="O50" s="236"/>
      <c r="P50" s="236"/>
      <c r="Q50" s="236"/>
      <c r="R50" s="236"/>
      <c r="S50" s="236"/>
      <c r="T50" s="236"/>
      <c r="U50" s="236"/>
      <c r="V50" s="49"/>
      <c r="W50" s="236"/>
      <c r="X50" s="236"/>
      <c r="Y50" s="236"/>
      <c r="Z50" s="236"/>
      <c r="AA50" s="236"/>
      <c r="AB50" s="236"/>
      <c r="AC50" s="522"/>
      <c r="AD50" s="236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661">
        <v>41</v>
      </c>
      <c r="AP50" s="257" t="str">
        <f t="shared" ref="AP50:AP53" si="47">AD44</f>
        <v>N/A</v>
      </c>
      <c r="AQ50" s="257" t="str">
        <f t="shared" si="36"/>
        <v>N/A</v>
      </c>
      <c r="AR50" s="257" t="str">
        <f t="shared" si="37"/>
        <v>N/A</v>
      </c>
      <c r="AS50" s="257" t="str">
        <f t="shared" si="38"/>
        <v>N/A</v>
      </c>
      <c r="AT50" s="257" t="str">
        <f t="shared" si="39"/>
        <v>N/A</v>
      </c>
      <c r="AU50" s="388">
        <v>41</v>
      </c>
      <c r="AV50" s="257" t="str">
        <f t="shared" ref="AV50:AV53" si="48">AJ44</f>
        <v>N/A</v>
      </c>
      <c r="AW50" s="257" t="str">
        <f t="shared" si="41"/>
        <v>N/A</v>
      </c>
      <c r="AX50" s="257" t="str">
        <f t="shared" si="42"/>
        <v>N/A</v>
      </c>
      <c r="AY50" s="257" t="str">
        <f t="shared" si="43"/>
        <v>N/A</v>
      </c>
      <c r="AZ50" s="257" t="str">
        <f t="shared" si="44"/>
        <v>N/A</v>
      </c>
      <c r="BA50" s="236"/>
      <c r="BB50" s="236"/>
    </row>
    <row r="51" spans="1:54" x14ac:dyDescent="0.3">
      <c r="A51" s="236"/>
      <c r="B51" s="656">
        <v>42</v>
      </c>
      <c r="C51" s="265" t="str">
        <f t="shared" si="45"/>
        <v>N/A</v>
      </c>
      <c r="D51" s="265" t="str">
        <f t="shared" si="26"/>
        <v>N/A</v>
      </c>
      <c r="E51" s="265" t="str">
        <f t="shared" si="27"/>
        <v>N/A</v>
      </c>
      <c r="F51" s="265" t="str">
        <f t="shared" si="28"/>
        <v>N/A</v>
      </c>
      <c r="G51" s="265" t="str">
        <f t="shared" si="29"/>
        <v>N/A</v>
      </c>
      <c r="H51" s="658">
        <v>42</v>
      </c>
      <c r="I51" s="265" t="str">
        <f t="shared" si="46"/>
        <v>N/A</v>
      </c>
      <c r="J51" s="265" t="str">
        <f t="shared" si="31"/>
        <v>N/A</v>
      </c>
      <c r="K51" s="265" t="str">
        <f t="shared" si="32"/>
        <v>N/A</v>
      </c>
      <c r="L51" s="265" t="str">
        <f t="shared" si="33"/>
        <v>N/A</v>
      </c>
      <c r="M51" s="265" t="str">
        <f t="shared" si="34"/>
        <v>N/A</v>
      </c>
      <c r="N51" s="236"/>
      <c r="O51" s="236"/>
      <c r="P51" s="236"/>
      <c r="Q51" s="236"/>
      <c r="R51" s="236"/>
      <c r="S51" s="236"/>
      <c r="T51" s="236"/>
      <c r="U51" s="236"/>
      <c r="V51" s="49"/>
      <c r="W51" s="236"/>
      <c r="X51" s="236"/>
      <c r="Y51" s="236"/>
      <c r="Z51" s="236"/>
      <c r="AA51" s="236"/>
      <c r="AB51" s="236"/>
      <c r="AC51" s="522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661">
        <v>42</v>
      </c>
      <c r="AP51" s="265" t="str">
        <f t="shared" si="47"/>
        <v>N/A</v>
      </c>
      <c r="AQ51" s="265" t="str">
        <f t="shared" si="36"/>
        <v>N/A</v>
      </c>
      <c r="AR51" s="265" t="str">
        <f t="shared" si="37"/>
        <v>N/A</v>
      </c>
      <c r="AS51" s="265" t="str">
        <f t="shared" si="38"/>
        <v>N/A</v>
      </c>
      <c r="AT51" s="265" t="str">
        <f t="shared" si="39"/>
        <v>N/A</v>
      </c>
      <c r="AU51" s="388">
        <v>42</v>
      </c>
      <c r="AV51" s="265" t="str">
        <f t="shared" si="48"/>
        <v>N/A</v>
      </c>
      <c r="AW51" s="265" t="str">
        <f t="shared" si="41"/>
        <v>N/A</v>
      </c>
      <c r="AX51" s="265" t="str">
        <f t="shared" si="42"/>
        <v>N/A</v>
      </c>
      <c r="AY51" s="265" t="str">
        <f t="shared" si="43"/>
        <v>N/A</v>
      </c>
      <c r="AZ51" s="265" t="str">
        <f t="shared" si="44"/>
        <v>N/A</v>
      </c>
      <c r="BA51" s="236"/>
      <c r="BB51" s="236"/>
    </row>
    <row r="52" spans="1:54" x14ac:dyDescent="0.3">
      <c r="A52" s="236"/>
      <c r="B52" s="656">
        <v>43</v>
      </c>
      <c r="C52" s="257" t="str">
        <f t="shared" si="45"/>
        <v>N/A</v>
      </c>
      <c r="D52" s="257" t="str">
        <f t="shared" si="26"/>
        <v>N/A</v>
      </c>
      <c r="E52" s="257" t="str">
        <f t="shared" si="27"/>
        <v>N/A</v>
      </c>
      <c r="F52" s="257" t="str">
        <f t="shared" si="28"/>
        <v>N/A</v>
      </c>
      <c r="G52" s="257" t="str">
        <f t="shared" si="29"/>
        <v>N/A</v>
      </c>
      <c r="H52" s="658">
        <v>43</v>
      </c>
      <c r="I52" s="257" t="str">
        <f t="shared" si="46"/>
        <v>N/A</v>
      </c>
      <c r="J52" s="257" t="str">
        <f t="shared" si="31"/>
        <v>N/A</v>
      </c>
      <c r="K52" s="257" t="str">
        <f t="shared" si="32"/>
        <v>N/A</v>
      </c>
      <c r="L52" s="257" t="str">
        <f t="shared" si="33"/>
        <v>N/A</v>
      </c>
      <c r="M52" s="257" t="str">
        <f t="shared" si="34"/>
        <v>N/A</v>
      </c>
      <c r="N52" s="236"/>
      <c r="O52" s="236"/>
      <c r="P52" s="236"/>
      <c r="Q52" s="236"/>
      <c r="R52" s="236"/>
      <c r="S52" s="236"/>
      <c r="T52" s="236"/>
      <c r="U52" s="236"/>
      <c r="V52" s="49"/>
      <c r="W52" s="236"/>
      <c r="X52" s="236"/>
      <c r="Y52" s="236"/>
      <c r="Z52" s="236"/>
      <c r="AA52" s="236"/>
      <c r="AB52" s="236"/>
      <c r="AC52" s="522"/>
      <c r="AD52" s="236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661">
        <v>43</v>
      </c>
      <c r="AP52" s="257" t="str">
        <f t="shared" si="47"/>
        <v>N/A</v>
      </c>
      <c r="AQ52" s="257" t="str">
        <f t="shared" si="36"/>
        <v>N/A</v>
      </c>
      <c r="AR52" s="257" t="str">
        <f t="shared" si="37"/>
        <v>N/A</v>
      </c>
      <c r="AS52" s="257" t="str">
        <f t="shared" si="38"/>
        <v>N/A</v>
      </c>
      <c r="AT52" s="257" t="str">
        <f t="shared" si="39"/>
        <v>N/A</v>
      </c>
      <c r="AU52" s="388">
        <v>43</v>
      </c>
      <c r="AV52" s="257" t="str">
        <f t="shared" si="48"/>
        <v>N/A</v>
      </c>
      <c r="AW52" s="257" t="str">
        <f t="shared" si="41"/>
        <v>N/A</v>
      </c>
      <c r="AX52" s="257" t="str">
        <f t="shared" si="42"/>
        <v>N/A</v>
      </c>
      <c r="AY52" s="257" t="str">
        <f t="shared" si="43"/>
        <v>N/A</v>
      </c>
      <c r="AZ52" s="257" t="str">
        <f t="shared" si="44"/>
        <v>N/A</v>
      </c>
      <c r="BA52" s="236"/>
      <c r="BB52" s="236"/>
    </row>
    <row r="53" spans="1:54" ht="15" thickBot="1" x14ac:dyDescent="0.35">
      <c r="A53" s="236"/>
      <c r="B53" s="657">
        <v>44</v>
      </c>
      <c r="C53" s="265" t="str">
        <f t="shared" si="45"/>
        <v>N/A</v>
      </c>
      <c r="D53" s="265" t="str">
        <f t="shared" si="26"/>
        <v>N/A</v>
      </c>
      <c r="E53" s="265" t="str">
        <f t="shared" si="27"/>
        <v>N/A</v>
      </c>
      <c r="F53" s="265" t="str">
        <f t="shared" si="28"/>
        <v>N/A</v>
      </c>
      <c r="G53" s="265" t="str">
        <f t="shared" si="29"/>
        <v>N/A</v>
      </c>
      <c r="H53" s="659">
        <v>44</v>
      </c>
      <c r="I53" s="265" t="str">
        <f t="shared" si="46"/>
        <v>N/A</v>
      </c>
      <c r="J53" s="265" t="str">
        <f t="shared" si="31"/>
        <v>N/A</v>
      </c>
      <c r="K53" s="265" t="str">
        <f t="shared" si="32"/>
        <v>N/A</v>
      </c>
      <c r="L53" s="265" t="str">
        <f t="shared" si="33"/>
        <v>N/A</v>
      </c>
      <c r="M53" s="265" t="str">
        <f t="shared" si="34"/>
        <v>N/A</v>
      </c>
      <c r="N53" s="236"/>
      <c r="O53" s="236"/>
      <c r="P53" s="236"/>
      <c r="Q53" s="236"/>
      <c r="R53" s="236"/>
      <c r="S53" s="236"/>
      <c r="T53" s="236"/>
      <c r="U53" s="236"/>
      <c r="V53" s="49"/>
      <c r="W53" s="236"/>
      <c r="X53" s="236"/>
      <c r="Y53" s="236"/>
      <c r="Z53" s="236"/>
      <c r="AA53" s="236"/>
      <c r="AB53" s="236"/>
      <c r="AC53" s="522"/>
      <c r="AD53" s="236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662">
        <v>44</v>
      </c>
      <c r="AP53" s="265" t="str">
        <f t="shared" si="47"/>
        <v>N/A</v>
      </c>
      <c r="AQ53" s="265" t="str">
        <f t="shared" si="36"/>
        <v>N/A</v>
      </c>
      <c r="AR53" s="265" t="str">
        <f t="shared" si="37"/>
        <v>N/A</v>
      </c>
      <c r="AS53" s="265" t="str">
        <f t="shared" si="38"/>
        <v>N/A</v>
      </c>
      <c r="AT53" s="265" t="str">
        <f t="shared" si="39"/>
        <v>N/A</v>
      </c>
      <c r="AU53" s="655">
        <v>44</v>
      </c>
      <c r="AV53" s="265" t="str">
        <f t="shared" si="48"/>
        <v>N/A</v>
      </c>
      <c r="AW53" s="265" t="str">
        <f t="shared" si="41"/>
        <v>N/A</v>
      </c>
      <c r="AX53" s="265" t="str">
        <f t="shared" si="42"/>
        <v>N/A</v>
      </c>
      <c r="AY53" s="265" t="str">
        <f t="shared" si="43"/>
        <v>N/A</v>
      </c>
      <c r="AZ53" s="265" t="str">
        <f t="shared" si="44"/>
        <v>N/A</v>
      </c>
      <c r="BA53" s="236"/>
      <c r="BB53" s="236"/>
    </row>
    <row r="54" spans="1:54" x14ac:dyDescent="0.3">
      <c r="A54" s="236"/>
      <c r="B54" s="272" t="s">
        <v>221</v>
      </c>
      <c r="C54" s="168">
        <f>SUM(C34:C53)</f>
        <v>0</v>
      </c>
      <c r="D54" s="168">
        <f t="shared" ref="D54:G54" si="49">SUM(D34:D53)</f>
        <v>0</v>
      </c>
      <c r="E54" s="168">
        <f t="shared" si="49"/>
        <v>0</v>
      </c>
      <c r="F54" s="168">
        <f t="shared" si="49"/>
        <v>0</v>
      </c>
      <c r="G54" s="168">
        <f t="shared" si="49"/>
        <v>0</v>
      </c>
      <c r="H54" s="272" t="s">
        <v>221</v>
      </c>
      <c r="I54" s="168">
        <f>SUM(I34:I53)</f>
        <v>0</v>
      </c>
      <c r="J54" s="168">
        <f t="shared" ref="J54:M54" si="50">SUM(J34:J53)</f>
        <v>0</v>
      </c>
      <c r="K54" s="168">
        <f t="shared" si="50"/>
        <v>0</v>
      </c>
      <c r="L54" s="168">
        <f t="shared" si="50"/>
        <v>0</v>
      </c>
      <c r="M54" s="168">
        <f t="shared" si="50"/>
        <v>0</v>
      </c>
      <c r="N54" s="236"/>
      <c r="O54" s="236"/>
      <c r="P54" s="236"/>
      <c r="Q54" s="236"/>
      <c r="R54" s="236"/>
      <c r="S54" s="236"/>
      <c r="T54" s="236"/>
      <c r="U54" s="236"/>
      <c r="V54" s="49"/>
      <c r="W54" s="236"/>
      <c r="X54" s="236"/>
      <c r="Y54" s="236"/>
      <c r="Z54" s="236"/>
      <c r="AA54" s="236"/>
      <c r="AB54" s="236"/>
      <c r="AC54" s="522"/>
      <c r="AD54" s="236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72" t="s">
        <v>221</v>
      </c>
      <c r="AP54" s="168">
        <f>SUM(AP34:AP53)</f>
        <v>0</v>
      </c>
      <c r="AQ54" s="168">
        <f t="shared" ref="AQ54:AT54" si="51">SUM(AQ34:AQ53)</f>
        <v>0</v>
      </c>
      <c r="AR54" s="168">
        <f t="shared" si="51"/>
        <v>0</v>
      </c>
      <c r="AS54" s="168">
        <f t="shared" si="51"/>
        <v>0</v>
      </c>
      <c r="AT54" s="168">
        <f t="shared" si="51"/>
        <v>0</v>
      </c>
      <c r="AU54" s="272" t="s">
        <v>221</v>
      </c>
      <c r="AV54" s="168">
        <f>SUM(AV34:AV53)</f>
        <v>0</v>
      </c>
      <c r="AW54" s="168">
        <f t="shared" ref="AW54:AZ54" si="52">SUM(AW34:AW53)</f>
        <v>0</v>
      </c>
      <c r="AX54" s="168">
        <f t="shared" si="52"/>
        <v>0</v>
      </c>
      <c r="AY54" s="168">
        <f t="shared" si="52"/>
        <v>0</v>
      </c>
      <c r="AZ54" s="168">
        <f t="shared" si="52"/>
        <v>0</v>
      </c>
      <c r="BA54" s="236"/>
      <c r="BB54" s="236"/>
    </row>
    <row r="55" spans="1:54" x14ac:dyDescent="0.3">
      <c r="A55" s="236"/>
      <c r="B55" s="649"/>
      <c r="C55" s="650"/>
      <c r="D55" s="650"/>
      <c r="E55" s="650"/>
      <c r="F55" s="650"/>
      <c r="G55" s="650"/>
      <c r="H55" s="649"/>
      <c r="I55" s="650"/>
      <c r="J55" s="650"/>
      <c r="K55" s="650"/>
      <c r="L55" s="650"/>
      <c r="M55" s="650"/>
      <c r="N55" s="236"/>
      <c r="O55" s="236"/>
      <c r="P55" s="236"/>
      <c r="Q55" s="236"/>
      <c r="R55" s="236"/>
      <c r="S55" s="236"/>
      <c r="T55" s="236"/>
      <c r="U55" s="236"/>
      <c r="V55" s="49"/>
      <c r="W55" s="236"/>
      <c r="X55" s="236"/>
      <c r="Y55" s="236"/>
      <c r="Z55" s="236"/>
      <c r="AA55" s="236"/>
      <c r="AB55" s="236"/>
      <c r="AC55" s="522"/>
      <c r="AD55" s="236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649"/>
      <c r="AP55" s="650"/>
      <c r="AQ55" s="650"/>
      <c r="AR55" s="650"/>
      <c r="AS55" s="650"/>
      <c r="AT55" s="650"/>
      <c r="AU55" s="649"/>
      <c r="AV55" s="650"/>
      <c r="AW55" s="650"/>
      <c r="AX55" s="650"/>
      <c r="AY55" s="650"/>
      <c r="AZ55" s="650"/>
      <c r="BA55" s="236"/>
      <c r="BB55" s="236"/>
    </row>
    <row r="56" spans="1:54" x14ac:dyDescent="0.3">
      <c r="A56" s="236"/>
      <c r="B56" s="831" t="s">
        <v>224</v>
      </c>
      <c r="C56" s="832"/>
      <c r="D56" s="832"/>
      <c r="E56" s="832"/>
      <c r="F56" s="833"/>
      <c r="G56" s="541"/>
      <c r="H56" s="831" t="s">
        <v>225</v>
      </c>
      <c r="I56" s="832"/>
      <c r="J56" s="832"/>
      <c r="K56" s="832"/>
      <c r="L56" s="833"/>
      <c r="M56" s="541"/>
      <c r="N56" s="236"/>
      <c r="O56" s="236"/>
      <c r="P56" s="236"/>
      <c r="Q56" s="236"/>
      <c r="R56" s="236"/>
      <c r="S56" s="236"/>
      <c r="T56" s="236"/>
      <c r="U56" s="236"/>
      <c r="V56" s="49"/>
      <c r="W56" s="236"/>
      <c r="X56" s="236"/>
      <c r="Y56" s="236"/>
      <c r="Z56" s="236"/>
      <c r="AA56" s="236"/>
      <c r="AB56" s="236"/>
      <c r="AC56" s="522"/>
      <c r="AD56" s="236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831" t="s">
        <v>224</v>
      </c>
      <c r="AP56" s="832"/>
      <c r="AQ56" s="832"/>
      <c r="AR56" s="832"/>
      <c r="AS56" s="833"/>
      <c r="AT56" s="541"/>
      <c r="AU56" s="831" t="s">
        <v>225</v>
      </c>
      <c r="AV56" s="832"/>
      <c r="AW56" s="832"/>
      <c r="AX56" s="832"/>
      <c r="AY56" s="833"/>
      <c r="AZ56" s="541"/>
      <c r="BA56" s="236"/>
      <c r="BB56" s="236"/>
    </row>
    <row r="57" spans="1:54" x14ac:dyDescent="0.3">
      <c r="A57" s="236"/>
      <c r="B57" s="837"/>
      <c r="C57" s="838"/>
      <c r="D57" s="838"/>
      <c r="E57" s="838"/>
      <c r="F57" s="839"/>
      <c r="G57" s="542"/>
      <c r="H57" s="837"/>
      <c r="I57" s="838"/>
      <c r="J57" s="838"/>
      <c r="K57" s="838"/>
      <c r="L57" s="839"/>
      <c r="M57" s="542"/>
      <c r="N57" s="236"/>
      <c r="O57" s="236"/>
      <c r="P57" s="236"/>
      <c r="Q57" s="236"/>
      <c r="R57" s="236"/>
      <c r="S57" s="236"/>
      <c r="T57" s="236"/>
      <c r="U57" s="236"/>
      <c r="V57" s="49"/>
      <c r="W57" s="236"/>
      <c r="X57" s="236"/>
      <c r="Y57" s="236"/>
      <c r="Z57" s="236"/>
      <c r="AA57" s="236"/>
      <c r="AB57" s="236"/>
      <c r="AC57" s="522"/>
      <c r="AD57" s="236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837"/>
      <c r="AP57" s="838"/>
      <c r="AQ57" s="838"/>
      <c r="AR57" s="838"/>
      <c r="AS57" s="839"/>
      <c r="AT57" s="542"/>
      <c r="AU57" s="837"/>
      <c r="AV57" s="838"/>
      <c r="AW57" s="838"/>
      <c r="AX57" s="838"/>
      <c r="AY57" s="839"/>
      <c r="AZ57" s="542"/>
      <c r="BA57" s="236"/>
      <c r="BB57" s="236"/>
    </row>
    <row r="58" spans="1:54" x14ac:dyDescent="0.3">
      <c r="A58" s="236"/>
      <c r="B58" s="820" t="s">
        <v>226</v>
      </c>
      <c r="C58" s="830"/>
      <c r="D58" s="570">
        <f>C30</f>
        <v>0</v>
      </c>
      <c r="E58" s="573"/>
      <c r="F58" s="577" t="s">
        <v>543</v>
      </c>
      <c r="G58" s="545">
        <f>G30</f>
        <v>0</v>
      </c>
      <c r="H58" s="820" t="s">
        <v>226</v>
      </c>
      <c r="I58" s="830"/>
      <c r="J58" s="570">
        <f>I30</f>
        <v>0</v>
      </c>
      <c r="K58" s="573"/>
      <c r="L58" s="577" t="s">
        <v>543</v>
      </c>
      <c r="M58" s="545">
        <f>M30</f>
        <v>0</v>
      </c>
      <c r="N58" s="236"/>
      <c r="O58" s="236"/>
      <c r="P58" s="236"/>
      <c r="Q58" s="236"/>
      <c r="R58" s="236"/>
      <c r="S58" s="236"/>
      <c r="T58" s="236"/>
      <c r="U58" s="236"/>
      <c r="V58" s="49"/>
      <c r="W58" s="236"/>
      <c r="X58" s="236"/>
      <c r="Y58" s="236"/>
      <c r="Z58" s="236"/>
      <c r="AA58" s="236"/>
      <c r="AB58" s="236"/>
      <c r="AC58" s="522"/>
      <c r="AD58" s="236"/>
      <c r="AE58" s="236"/>
      <c r="AF58" s="236"/>
      <c r="AG58" s="236"/>
      <c r="AH58" s="236"/>
      <c r="AI58" s="236"/>
      <c r="AJ58" s="236"/>
      <c r="AK58" s="236"/>
      <c r="AL58" s="236"/>
      <c r="AM58" s="236"/>
      <c r="AN58" s="236"/>
      <c r="AO58" s="820" t="s">
        <v>226</v>
      </c>
      <c r="AP58" s="830"/>
      <c r="AQ58" s="570">
        <f>AP30</f>
        <v>0</v>
      </c>
      <c r="AR58" s="573"/>
      <c r="AS58" s="577" t="s">
        <v>543</v>
      </c>
      <c r="AT58" s="545">
        <f>AT30</f>
        <v>0</v>
      </c>
      <c r="AU58" s="820" t="s">
        <v>226</v>
      </c>
      <c r="AV58" s="830"/>
      <c r="AW58" s="570">
        <f>AV30</f>
        <v>0</v>
      </c>
      <c r="AX58" s="573"/>
      <c r="AY58" s="577" t="s">
        <v>543</v>
      </c>
      <c r="AZ58" s="545">
        <f>AZ30</f>
        <v>0</v>
      </c>
      <c r="BA58" s="236"/>
      <c r="BB58" s="236"/>
    </row>
    <row r="59" spans="1:54" ht="15" thickBot="1" x14ac:dyDescent="0.35">
      <c r="A59" s="236"/>
      <c r="B59" s="815" t="s">
        <v>227</v>
      </c>
      <c r="C59" s="816"/>
      <c r="D59" s="571">
        <f>D30</f>
        <v>0</v>
      </c>
      <c r="E59" s="574"/>
      <c r="F59" s="568"/>
      <c r="G59" s="579"/>
      <c r="H59" s="815" t="s">
        <v>227</v>
      </c>
      <c r="I59" s="816"/>
      <c r="J59" s="571">
        <f>J30</f>
        <v>0</v>
      </c>
      <c r="K59" s="574"/>
      <c r="L59" s="568"/>
      <c r="M59" s="579"/>
      <c r="N59" s="236"/>
      <c r="O59" s="236"/>
      <c r="P59" s="236"/>
      <c r="Q59" s="236"/>
      <c r="R59" s="236"/>
      <c r="S59" s="236"/>
      <c r="T59" s="236"/>
      <c r="U59" s="236"/>
      <c r="V59" s="49"/>
      <c r="W59" s="236"/>
      <c r="X59" s="236"/>
      <c r="Y59" s="236"/>
      <c r="Z59" s="236"/>
      <c r="AA59" s="236"/>
      <c r="AB59" s="236"/>
      <c r="AC59" s="522"/>
      <c r="AD59" s="236"/>
      <c r="AE59" s="236"/>
      <c r="AF59" s="236"/>
      <c r="AG59" s="236"/>
      <c r="AH59" s="236"/>
      <c r="AI59" s="236"/>
      <c r="AJ59" s="236"/>
      <c r="AK59" s="236"/>
      <c r="AL59" s="236"/>
      <c r="AM59" s="236"/>
      <c r="AN59" s="236"/>
      <c r="AO59" s="815" t="s">
        <v>227</v>
      </c>
      <c r="AP59" s="816"/>
      <c r="AQ59" s="571">
        <f>AQ30</f>
        <v>0</v>
      </c>
      <c r="AR59" s="574"/>
      <c r="AS59" s="568"/>
      <c r="AT59" s="579"/>
      <c r="AU59" s="815" t="s">
        <v>227</v>
      </c>
      <c r="AV59" s="816"/>
      <c r="AW59" s="571">
        <f>AW30</f>
        <v>0</v>
      </c>
      <c r="AX59" s="574"/>
      <c r="AY59" s="568"/>
      <c r="AZ59" s="579"/>
      <c r="BA59" s="236"/>
      <c r="BB59" s="236"/>
    </row>
    <row r="60" spans="1:54" x14ac:dyDescent="0.3">
      <c r="A60" s="236"/>
      <c r="B60" s="817" t="s">
        <v>334</v>
      </c>
      <c r="C60" s="819"/>
      <c r="D60" s="567">
        <f>E30</f>
        <v>0</v>
      </c>
      <c r="E60" s="575"/>
      <c r="F60" s="569"/>
      <c r="G60" s="580"/>
      <c r="H60" s="817" t="s">
        <v>334</v>
      </c>
      <c r="I60" s="819"/>
      <c r="J60" s="567">
        <f>K30</f>
        <v>0</v>
      </c>
      <c r="K60" s="575"/>
      <c r="L60" s="569"/>
      <c r="M60" s="580"/>
      <c r="N60" s="236"/>
      <c r="O60" s="236"/>
      <c r="P60" s="236"/>
      <c r="Q60" s="236"/>
      <c r="R60" s="236"/>
      <c r="S60" s="236"/>
      <c r="T60" s="236"/>
      <c r="U60" s="236"/>
      <c r="V60" s="49"/>
      <c r="W60" s="236"/>
      <c r="X60" s="236"/>
      <c r="Y60" s="236"/>
      <c r="Z60" s="236"/>
      <c r="AA60" s="236"/>
      <c r="AB60" s="236"/>
      <c r="AC60" s="522"/>
      <c r="AD60" s="236"/>
      <c r="AE60" s="236"/>
      <c r="AF60" s="236"/>
      <c r="AG60" s="236"/>
      <c r="AH60" s="236"/>
      <c r="AI60" s="236"/>
      <c r="AJ60" s="236"/>
      <c r="AK60" s="236"/>
      <c r="AL60" s="236"/>
      <c r="AM60" s="236"/>
      <c r="AN60" s="236"/>
      <c r="AO60" s="817" t="s">
        <v>334</v>
      </c>
      <c r="AP60" s="819"/>
      <c r="AQ60" s="567">
        <f>AR30</f>
        <v>0</v>
      </c>
      <c r="AR60" s="575"/>
      <c r="AS60" s="569"/>
      <c r="AT60" s="580"/>
      <c r="AU60" s="817" t="s">
        <v>334</v>
      </c>
      <c r="AV60" s="819"/>
      <c r="AW60" s="567">
        <f>AX30</f>
        <v>0</v>
      </c>
      <c r="AX60" s="575"/>
      <c r="AY60" s="569"/>
      <c r="AZ60" s="580"/>
      <c r="BA60" s="236"/>
      <c r="BB60" s="236"/>
    </row>
    <row r="61" spans="1:54" ht="15" thickBot="1" x14ac:dyDescent="0.35">
      <c r="A61" s="236"/>
      <c r="B61" s="815" t="s">
        <v>335</v>
      </c>
      <c r="C61" s="816"/>
      <c r="D61" s="572">
        <f>F30</f>
        <v>0</v>
      </c>
      <c r="E61" s="576"/>
      <c r="F61" s="569"/>
      <c r="G61" s="580"/>
      <c r="H61" s="815" t="s">
        <v>335</v>
      </c>
      <c r="I61" s="816"/>
      <c r="J61" s="572">
        <f>L30</f>
        <v>0</v>
      </c>
      <c r="K61" s="576"/>
      <c r="L61" s="569"/>
      <c r="M61" s="580"/>
      <c r="N61" s="236"/>
      <c r="O61" s="236"/>
      <c r="P61" s="236"/>
      <c r="Q61" s="236"/>
      <c r="R61" s="236"/>
      <c r="S61" s="236"/>
      <c r="T61" s="236"/>
      <c r="U61" s="236"/>
      <c r="V61" s="49"/>
      <c r="W61" s="236"/>
      <c r="X61" s="236"/>
      <c r="Y61" s="236"/>
      <c r="Z61" s="236"/>
      <c r="AA61" s="236"/>
      <c r="AB61" s="236"/>
      <c r="AC61" s="522"/>
      <c r="AD61" s="236"/>
      <c r="AE61" s="236"/>
      <c r="AF61" s="236"/>
      <c r="AG61" s="236"/>
      <c r="AH61" s="236"/>
      <c r="AI61" s="236"/>
      <c r="AJ61" s="236"/>
      <c r="AK61" s="236"/>
      <c r="AL61" s="236"/>
      <c r="AM61" s="236"/>
      <c r="AN61" s="236"/>
      <c r="AO61" s="815" t="s">
        <v>335</v>
      </c>
      <c r="AP61" s="816"/>
      <c r="AQ61" s="572">
        <f>AS30</f>
        <v>0</v>
      </c>
      <c r="AR61" s="576"/>
      <c r="AS61" s="569"/>
      <c r="AT61" s="580"/>
      <c r="AU61" s="815" t="s">
        <v>335</v>
      </c>
      <c r="AV61" s="816"/>
      <c r="AW61" s="572">
        <f>AY30</f>
        <v>0</v>
      </c>
      <c r="AX61" s="576"/>
      <c r="AY61" s="569"/>
      <c r="AZ61" s="580"/>
      <c r="BA61" s="236"/>
      <c r="BB61" s="236"/>
    </row>
    <row r="62" spans="1:54" x14ac:dyDescent="0.3">
      <c r="A62" s="236"/>
      <c r="B62" s="817" t="s">
        <v>221</v>
      </c>
      <c r="C62" s="818"/>
      <c r="D62" s="851">
        <f>SUM(D58:D61,G58:G61)</f>
        <v>0</v>
      </c>
      <c r="E62" s="851"/>
      <c r="F62" s="851"/>
      <c r="G62" s="852"/>
      <c r="H62" s="817" t="s">
        <v>221</v>
      </c>
      <c r="I62" s="818"/>
      <c r="J62" s="851">
        <f>SUM(J58:J61,M58:M61)</f>
        <v>0</v>
      </c>
      <c r="K62" s="851"/>
      <c r="L62" s="851"/>
      <c r="M62" s="852"/>
      <c r="N62" s="236"/>
      <c r="O62" s="236"/>
      <c r="P62" s="236"/>
      <c r="Q62" s="236"/>
      <c r="R62" s="236"/>
      <c r="S62" s="236"/>
      <c r="T62" s="236"/>
      <c r="U62" s="236"/>
      <c r="V62" s="49"/>
      <c r="W62" s="236"/>
      <c r="X62" s="236"/>
      <c r="Y62" s="236"/>
      <c r="Z62" s="236"/>
      <c r="AA62" s="236"/>
      <c r="AB62" s="236"/>
      <c r="AC62" s="522"/>
      <c r="AD62" s="236"/>
      <c r="AE62" s="236"/>
      <c r="AF62" s="236"/>
      <c r="AG62" s="236"/>
      <c r="AH62" s="236"/>
      <c r="AI62" s="236"/>
      <c r="AJ62" s="236"/>
      <c r="AK62" s="236"/>
      <c r="AL62" s="236"/>
      <c r="AM62" s="236"/>
      <c r="AN62" s="236"/>
      <c r="AO62" s="817" t="s">
        <v>221</v>
      </c>
      <c r="AP62" s="818"/>
      <c r="AQ62" s="851">
        <f>SUM(AQ58:AQ61,AT58:AT61)</f>
        <v>0</v>
      </c>
      <c r="AR62" s="851"/>
      <c r="AS62" s="851"/>
      <c r="AT62" s="852"/>
      <c r="AU62" s="817" t="s">
        <v>221</v>
      </c>
      <c r="AV62" s="818"/>
      <c r="AW62" s="851">
        <f>SUM(AW58:AW61,AZ58:AZ61)</f>
        <v>0</v>
      </c>
      <c r="AX62" s="851"/>
      <c r="AY62" s="851"/>
      <c r="AZ62" s="852"/>
      <c r="BA62" s="236"/>
      <c r="BB62" s="236"/>
    </row>
    <row r="63" spans="1:54" x14ac:dyDescent="0.3">
      <c r="A63" s="236"/>
      <c r="B63" s="842"/>
      <c r="C63" s="843"/>
      <c r="D63" s="858"/>
      <c r="E63" s="858"/>
      <c r="F63" s="858"/>
      <c r="G63" s="859"/>
      <c r="H63" s="842"/>
      <c r="I63" s="843"/>
      <c r="J63" s="858"/>
      <c r="K63" s="858"/>
      <c r="L63" s="858"/>
      <c r="M63" s="859"/>
      <c r="N63" s="236"/>
      <c r="O63" s="236"/>
      <c r="P63" s="236"/>
      <c r="Q63" s="236"/>
      <c r="R63" s="236"/>
      <c r="S63" s="236"/>
      <c r="T63" s="236"/>
      <c r="U63" s="236"/>
      <c r="V63" s="49"/>
      <c r="W63" s="236"/>
      <c r="X63" s="236"/>
      <c r="Y63" s="236"/>
      <c r="Z63" s="236"/>
      <c r="AA63" s="236"/>
      <c r="AB63" s="236"/>
      <c r="AC63" s="522"/>
      <c r="AD63" s="236"/>
      <c r="AE63" s="236"/>
      <c r="AF63" s="236"/>
      <c r="AG63" s="236"/>
      <c r="AH63" s="236"/>
      <c r="AI63" s="236"/>
      <c r="AJ63" s="236"/>
      <c r="AK63" s="236"/>
      <c r="AL63" s="236"/>
      <c r="AM63" s="236"/>
      <c r="AN63" s="236"/>
      <c r="AO63" s="842"/>
      <c r="AP63" s="843"/>
      <c r="AQ63" s="858"/>
      <c r="AR63" s="858"/>
      <c r="AS63" s="858"/>
      <c r="AT63" s="859"/>
      <c r="AU63" s="842"/>
      <c r="AV63" s="843"/>
      <c r="AW63" s="858"/>
      <c r="AX63" s="858"/>
      <c r="AY63" s="858"/>
      <c r="AZ63" s="859"/>
      <c r="BA63" s="236"/>
      <c r="BB63" s="236"/>
    </row>
    <row r="64" spans="1:54" x14ac:dyDescent="0.3">
      <c r="A64" s="236"/>
      <c r="B64" s="645"/>
      <c r="C64" s="646"/>
      <c r="D64" s="646"/>
      <c r="E64" s="646"/>
      <c r="F64" s="646"/>
      <c r="G64" s="646"/>
      <c r="H64" s="645"/>
      <c r="I64" s="646"/>
      <c r="J64" s="646"/>
      <c r="K64" s="646"/>
      <c r="L64" s="646"/>
      <c r="M64" s="646"/>
      <c r="N64" s="236"/>
      <c r="O64" s="236"/>
      <c r="P64" s="236"/>
      <c r="Q64" s="236"/>
      <c r="R64" s="236"/>
      <c r="S64" s="236"/>
      <c r="T64" s="236"/>
      <c r="U64" s="236"/>
      <c r="V64" s="49"/>
      <c r="W64" s="236"/>
      <c r="X64" s="236"/>
      <c r="Y64" s="236"/>
      <c r="Z64" s="236"/>
      <c r="AA64" s="236"/>
      <c r="AB64" s="236"/>
      <c r="AC64" s="522"/>
      <c r="AD64" s="236"/>
      <c r="AE64" s="236"/>
      <c r="AF64" s="236"/>
      <c r="AG64" s="236"/>
      <c r="AH64" s="236"/>
      <c r="AI64" s="236"/>
      <c r="AJ64" s="236"/>
      <c r="AK64" s="236"/>
      <c r="AL64" s="236"/>
      <c r="AM64" s="236"/>
      <c r="AN64" s="236"/>
      <c r="AO64" s="645"/>
      <c r="AP64" s="646"/>
      <c r="AQ64" s="646"/>
      <c r="AR64" s="646"/>
      <c r="AS64" s="646"/>
      <c r="AT64" s="646"/>
      <c r="AU64" s="645"/>
      <c r="AV64" s="646"/>
      <c r="AW64" s="646"/>
      <c r="AX64" s="646"/>
      <c r="AY64" s="646"/>
      <c r="AZ64" s="646"/>
      <c r="BA64" s="236"/>
      <c r="BB64" s="236"/>
    </row>
    <row r="65" spans="1:54" x14ac:dyDescent="0.3">
      <c r="A65" s="236"/>
      <c r="B65" s="855" t="s">
        <v>228</v>
      </c>
      <c r="C65" s="856"/>
      <c r="D65" s="564">
        <f>C54</f>
        <v>0</v>
      </c>
      <c r="E65" s="569"/>
      <c r="F65" s="577" t="s">
        <v>544</v>
      </c>
      <c r="G65" s="545">
        <f>G54</f>
        <v>0</v>
      </c>
      <c r="H65" s="855" t="s">
        <v>228</v>
      </c>
      <c r="I65" s="856"/>
      <c r="J65" s="564">
        <f>I54</f>
        <v>0</v>
      </c>
      <c r="K65" s="569"/>
      <c r="L65" s="577" t="s">
        <v>544</v>
      </c>
      <c r="M65" s="545">
        <f>M54</f>
        <v>0</v>
      </c>
      <c r="N65" s="236"/>
      <c r="O65" s="236"/>
      <c r="P65" s="236"/>
      <c r="Q65" s="236"/>
      <c r="R65" s="236"/>
      <c r="S65" s="236"/>
      <c r="T65" s="236"/>
      <c r="U65" s="236"/>
      <c r="V65" s="49"/>
      <c r="W65" s="236"/>
      <c r="X65" s="236"/>
      <c r="Y65" s="236"/>
      <c r="Z65" s="236"/>
      <c r="AA65" s="236"/>
      <c r="AB65" s="236"/>
      <c r="AC65" s="522"/>
      <c r="AD65" s="236"/>
      <c r="AE65" s="236"/>
      <c r="AF65" s="236"/>
      <c r="AG65" s="236"/>
      <c r="AH65" s="236"/>
      <c r="AI65" s="236"/>
      <c r="AJ65" s="236"/>
      <c r="AK65" s="236"/>
      <c r="AL65" s="236"/>
      <c r="AM65" s="236"/>
      <c r="AN65" s="236"/>
      <c r="AO65" s="855" t="s">
        <v>228</v>
      </c>
      <c r="AP65" s="856"/>
      <c r="AQ65" s="564">
        <f>AP54</f>
        <v>0</v>
      </c>
      <c r="AR65" s="569"/>
      <c r="AS65" s="577" t="s">
        <v>544</v>
      </c>
      <c r="AT65" s="545">
        <f>AT54</f>
        <v>0</v>
      </c>
      <c r="AU65" s="855" t="s">
        <v>228</v>
      </c>
      <c r="AV65" s="856"/>
      <c r="AW65" s="564">
        <f>AV54</f>
        <v>0</v>
      </c>
      <c r="AX65" s="569"/>
      <c r="AY65" s="577" t="s">
        <v>544</v>
      </c>
      <c r="AZ65" s="545">
        <f>AZ54</f>
        <v>0</v>
      </c>
      <c r="BA65" s="236"/>
      <c r="BB65" s="236"/>
    </row>
    <row r="66" spans="1:54" ht="15" thickBot="1" x14ac:dyDescent="0.35">
      <c r="A66" s="236"/>
      <c r="B66" s="289" t="s">
        <v>229</v>
      </c>
      <c r="C66" s="290"/>
      <c r="D66" s="566">
        <f>D54</f>
        <v>0</v>
      </c>
      <c r="E66" s="569"/>
      <c r="F66" s="569"/>
      <c r="G66" s="578"/>
      <c r="H66" s="289" t="s">
        <v>229</v>
      </c>
      <c r="I66" s="290"/>
      <c r="J66" s="566">
        <f>J54</f>
        <v>0</v>
      </c>
      <c r="K66" s="569"/>
      <c r="L66" s="569"/>
      <c r="M66" s="578"/>
      <c r="N66" s="236"/>
      <c r="O66" s="236"/>
      <c r="P66" s="236"/>
      <c r="Q66" s="236"/>
      <c r="R66" s="236"/>
      <c r="S66" s="236"/>
      <c r="T66" s="236"/>
      <c r="U66" s="236"/>
      <c r="V66" s="49"/>
      <c r="W66" s="236"/>
      <c r="X66" s="236"/>
      <c r="Y66" s="236"/>
      <c r="Z66" s="236"/>
      <c r="AA66" s="236"/>
      <c r="AB66" s="236"/>
      <c r="AC66" s="522"/>
      <c r="AD66" s="236"/>
      <c r="AE66" s="236"/>
      <c r="AF66" s="236"/>
      <c r="AG66" s="236"/>
      <c r="AH66" s="236"/>
      <c r="AI66" s="236"/>
      <c r="AJ66" s="236"/>
      <c r="AK66" s="236"/>
      <c r="AL66" s="236"/>
      <c r="AM66" s="236"/>
      <c r="AN66" s="236"/>
      <c r="AO66" s="289" t="s">
        <v>229</v>
      </c>
      <c r="AP66" s="290"/>
      <c r="AQ66" s="566">
        <f>AQ54</f>
        <v>0</v>
      </c>
      <c r="AR66" s="569"/>
      <c r="AS66" s="569"/>
      <c r="AT66" s="578"/>
      <c r="AU66" s="289" t="s">
        <v>229</v>
      </c>
      <c r="AV66" s="290"/>
      <c r="AW66" s="566">
        <f>AW54</f>
        <v>0</v>
      </c>
      <c r="AX66" s="569"/>
      <c r="AY66" s="569"/>
      <c r="AZ66" s="578"/>
      <c r="BA66" s="236"/>
      <c r="BB66" s="236"/>
    </row>
    <row r="67" spans="1:54" x14ac:dyDescent="0.3">
      <c r="A67" s="236"/>
      <c r="B67" s="817" t="s">
        <v>384</v>
      </c>
      <c r="C67" s="819"/>
      <c r="D67" s="564">
        <f>E54</f>
        <v>0</v>
      </c>
      <c r="E67" s="569"/>
      <c r="F67" s="569"/>
      <c r="G67" s="578"/>
      <c r="H67" s="817" t="s">
        <v>384</v>
      </c>
      <c r="I67" s="819"/>
      <c r="J67" s="564">
        <f>K54</f>
        <v>0</v>
      </c>
      <c r="K67" s="569"/>
      <c r="L67" s="569"/>
      <c r="M67" s="578"/>
      <c r="N67" s="236"/>
      <c r="O67" s="236"/>
      <c r="P67" s="236"/>
      <c r="Q67" s="236"/>
      <c r="R67" s="236"/>
      <c r="S67" s="236"/>
      <c r="T67" s="236"/>
      <c r="U67" s="236"/>
      <c r="V67" s="49"/>
      <c r="W67" s="236"/>
      <c r="X67" s="236"/>
      <c r="Y67" s="236"/>
      <c r="Z67" s="236"/>
      <c r="AA67" s="236"/>
      <c r="AB67" s="236"/>
      <c r="AC67" s="522"/>
      <c r="AD67" s="236"/>
      <c r="AE67" s="236"/>
      <c r="AF67" s="236"/>
      <c r="AG67" s="236"/>
      <c r="AH67" s="236"/>
      <c r="AI67" s="236"/>
      <c r="AJ67" s="236"/>
      <c r="AK67" s="236"/>
      <c r="AL67" s="236"/>
      <c r="AM67" s="236"/>
      <c r="AN67" s="236"/>
      <c r="AO67" s="817" t="s">
        <v>384</v>
      </c>
      <c r="AP67" s="819"/>
      <c r="AQ67" s="564">
        <f>AR54</f>
        <v>0</v>
      </c>
      <c r="AR67" s="569"/>
      <c r="AS67" s="569"/>
      <c r="AT67" s="578"/>
      <c r="AU67" s="817" t="s">
        <v>384</v>
      </c>
      <c r="AV67" s="819"/>
      <c r="AW67" s="564">
        <f>AX54</f>
        <v>0</v>
      </c>
      <c r="AX67" s="569"/>
      <c r="AY67" s="569"/>
      <c r="AZ67" s="578"/>
      <c r="BA67" s="236"/>
      <c r="BB67" s="236"/>
    </row>
    <row r="68" spans="1:54" x14ac:dyDescent="0.3">
      <c r="A68" s="236"/>
      <c r="B68" s="853" t="s">
        <v>385</v>
      </c>
      <c r="C68" s="854"/>
      <c r="D68" s="565">
        <f>F54</f>
        <v>0</v>
      </c>
      <c r="E68" s="569"/>
      <c r="F68" s="569"/>
      <c r="G68" s="578"/>
      <c r="H68" s="853" t="s">
        <v>385</v>
      </c>
      <c r="I68" s="854"/>
      <c r="J68" s="565">
        <f>L54</f>
        <v>0</v>
      </c>
      <c r="K68" s="569"/>
      <c r="L68" s="569"/>
      <c r="M68" s="578"/>
      <c r="N68" s="236"/>
      <c r="O68" s="236"/>
      <c r="P68" s="236"/>
      <c r="Q68" s="236"/>
      <c r="R68" s="236"/>
      <c r="S68" s="236"/>
      <c r="T68" s="236"/>
      <c r="U68" s="236"/>
      <c r="V68" s="49"/>
      <c r="W68" s="236"/>
      <c r="X68" s="236"/>
      <c r="Y68" s="236"/>
      <c r="Z68" s="236"/>
      <c r="AA68" s="236"/>
      <c r="AB68" s="236"/>
      <c r="AC68" s="522"/>
      <c r="AD68" s="236"/>
      <c r="AE68" s="236"/>
      <c r="AF68" s="236"/>
      <c r="AG68" s="236"/>
      <c r="AH68" s="236"/>
      <c r="AI68" s="236"/>
      <c r="AJ68" s="236"/>
      <c r="AK68" s="236"/>
      <c r="AL68" s="236"/>
      <c r="AM68" s="236"/>
      <c r="AN68" s="236"/>
      <c r="AO68" s="853" t="s">
        <v>385</v>
      </c>
      <c r="AP68" s="854"/>
      <c r="AQ68" s="565">
        <f>AS54</f>
        <v>0</v>
      </c>
      <c r="AR68" s="569"/>
      <c r="AS68" s="569"/>
      <c r="AT68" s="578"/>
      <c r="AU68" s="853" t="s">
        <v>385</v>
      </c>
      <c r="AV68" s="854"/>
      <c r="AW68" s="565">
        <f>AY54</f>
        <v>0</v>
      </c>
      <c r="AX68" s="569"/>
      <c r="AY68" s="569"/>
      <c r="AZ68" s="578"/>
      <c r="BA68" s="236"/>
      <c r="BB68" s="236"/>
    </row>
    <row r="69" spans="1:54" x14ac:dyDescent="0.3">
      <c r="A69" s="236"/>
      <c r="B69" s="291" t="s">
        <v>221</v>
      </c>
      <c r="C69" s="291"/>
      <c r="D69" s="850">
        <f>SUM(D65:D68,G65:G68)</f>
        <v>0</v>
      </c>
      <c r="E69" s="851"/>
      <c r="F69" s="851"/>
      <c r="G69" s="852"/>
      <c r="H69" s="291" t="s">
        <v>221</v>
      </c>
      <c r="I69" s="291"/>
      <c r="J69" s="850">
        <f>SUM(J65:J68,M65:M68)</f>
        <v>0</v>
      </c>
      <c r="K69" s="851"/>
      <c r="L69" s="851"/>
      <c r="M69" s="852"/>
      <c r="N69" s="236"/>
      <c r="O69" s="236"/>
      <c r="P69" s="236"/>
      <c r="Q69" s="236"/>
      <c r="R69" s="236"/>
      <c r="S69" s="236"/>
      <c r="T69" s="236"/>
      <c r="U69" s="236"/>
      <c r="V69" s="49"/>
      <c r="W69" s="236"/>
      <c r="X69" s="236"/>
      <c r="Y69" s="236"/>
      <c r="Z69" s="236"/>
      <c r="AA69" s="236"/>
      <c r="AB69" s="236"/>
      <c r="AC69" s="522"/>
      <c r="AD69" s="236"/>
      <c r="AE69" s="236"/>
      <c r="AF69" s="236"/>
      <c r="AG69" s="236"/>
      <c r="AH69" s="236"/>
      <c r="AI69" s="236"/>
      <c r="AJ69" s="236"/>
      <c r="AK69" s="236"/>
      <c r="AL69" s="236"/>
      <c r="AM69" s="236"/>
      <c r="AN69" s="236"/>
      <c r="AO69" s="291" t="s">
        <v>221</v>
      </c>
      <c r="AP69" s="291"/>
      <c r="AQ69" s="850">
        <f>SUM(AQ65:AQ68,AT65:AT68)</f>
        <v>0</v>
      </c>
      <c r="AR69" s="851"/>
      <c r="AS69" s="851"/>
      <c r="AT69" s="852"/>
      <c r="AU69" s="291" t="s">
        <v>221</v>
      </c>
      <c r="AV69" s="291"/>
      <c r="AW69" s="850">
        <f>SUM(AW65:AW68,AZ65:AZ68)</f>
        <v>0</v>
      </c>
      <c r="AX69" s="851"/>
      <c r="AY69" s="851"/>
      <c r="AZ69" s="852"/>
      <c r="BA69" s="236"/>
      <c r="BB69" s="236"/>
    </row>
    <row r="70" spans="1:54" x14ac:dyDescent="0.3">
      <c r="A70" s="236"/>
      <c r="B70" s="294" t="s">
        <v>253</v>
      </c>
      <c r="C70" s="294"/>
      <c r="D70" s="857"/>
      <c r="E70" s="858"/>
      <c r="F70" s="858"/>
      <c r="G70" s="859"/>
      <c r="H70" s="294" t="s">
        <v>253</v>
      </c>
      <c r="I70" s="294"/>
      <c r="J70" s="857"/>
      <c r="K70" s="858"/>
      <c r="L70" s="858"/>
      <c r="M70" s="859"/>
      <c r="N70" s="236"/>
      <c r="O70" s="236"/>
      <c r="P70" s="236"/>
      <c r="Q70" s="236"/>
      <c r="R70" s="236"/>
      <c r="S70" s="236"/>
      <c r="T70" s="236"/>
      <c r="U70" s="236"/>
      <c r="V70" s="49"/>
      <c r="W70" s="236"/>
      <c r="X70" s="236"/>
      <c r="Y70" s="236"/>
      <c r="Z70" s="236"/>
      <c r="AA70" s="236"/>
      <c r="AB70" s="236"/>
      <c r="AC70" s="522"/>
      <c r="AD70" s="236"/>
      <c r="AE70" s="236"/>
      <c r="AF70" s="236"/>
      <c r="AG70" s="236"/>
      <c r="AH70" s="236"/>
      <c r="AI70" s="236"/>
      <c r="AJ70" s="236"/>
      <c r="AK70" s="236"/>
      <c r="AL70" s="236"/>
      <c r="AM70" s="236"/>
      <c r="AN70" s="236"/>
      <c r="AO70" s="294" t="s">
        <v>253</v>
      </c>
      <c r="AP70" s="294"/>
      <c r="AQ70" s="857"/>
      <c r="AR70" s="858"/>
      <c r="AS70" s="858"/>
      <c r="AT70" s="859"/>
      <c r="AU70" s="294" t="s">
        <v>253</v>
      </c>
      <c r="AV70" s="294"/>
      <c r="AW70" s="857"/>
      <c r="AX70" s="858"/>
      <c r="AY70" s="858"/>
      <c r="AZ70" s="859"/>
      <c r="BA70" s="236"/>
      <c r="BB70" s="236"/>
    </row>
    <row r="71" spans="1:54" x14ac:dyDescent="0.3">
      <c r="A71" s="236"/>
      <c r="B71" s="647"/>
      <c r="C71" s="648"/>
      <c r="D71" s="648"/>
      <c r="E71" s="648"/>
      <c r="F71" s="648"/>
      <c r="G71" s="648"/>
      <c r="H71" s="647"/>
      <c r="I71" s="648"/>
      <c r="J71" s="648"/>
      <c r="K71" s="648"/>
      <c r="L71" s="648"/>
      <c r="M71" s="648"/>
      <c r="N71" s="236"/>
      <c r="O71" s="236"/>
      <c r="P71" s="236"/>
      <c r="Q71" s="236"/>
      <c r="R71" s="236"/>
      <c r="S71" s="236"/>
      <c r="T71" s="236"/>
      <c r="U71" s="236"/>
      <c r="V71" s="49"/>
      <c r="W71" s="236"/>
      <c r="X71" s="236"/>
      <c r="Y71" s="236"/>
      <c r="Z71" s="236"/>
      <c r="AA71" s="236"/>
      <c r="AB71" s="236"/>
      <c r="AC71" s="522"/>
      <c r="AD71" s="236"/>
      <c r="AE71" s="236"/>
      <c r="AF71" s="236"/>
      <c r="AG71" s="236"/>
      <c r="AH71" s="236"/>
      <c r="AI71" s="236"/>
      <c r="AJ71" s="236"/>
      <c r="AK71" s="236"/>
      <c r="AL71" s="236"/>
      <c r="AM71" s="236"/>
      <c r="AN71" s="236"/>
      <c r="AO71" s="647"/>
      <c r="AP71" s="648"/>
      <c r="AQ71" s="648"/>
      <c r="AR71" s="648"/>
      <c r="AS71" s="648"/>
      <c r="AT71" s="648"/>
      <c r="AU71" s="647"/>
      <c r="AV71" s="648"/>
      <c r="AW71" s="648"/>
      <c r="AX71" s="648"/>
      <c r="AY71" s="648"/>
      <c r="AZ71" s="648"/>
      <c r="BA71" s="236"/>
      <c r="BB71" s="236"/>
    </row>
    <row r="72" spans="1:54" x14ac:dyDescent="0.3">
      <c r="A72" s="236"/>
      <c r="B72" s="291" t="s">
        <v>230</v>
      </c>
      <c r="C72" s="291"/>
      <c r="D72" s="850">
        <f>SUM(D62,D69)</f>
        <v>0</v>
      </c>
      <c r="E72" s="851"/>
      <c r="F72" s="851"/>
      <c r="G72" s="852"/>
      <c r="H72" s="291" t="s">
        <v>230</v>
      </c>
      <c r="I72" s="291"/>
      <c r="J72" s="850">
        <f>SUM(J62,J69)</f>
        <v>0</v>
      </c>
      <c r="K72" s="851"/>
      <c r="L72" s="851"/>
      <c r="M72" s="852"/>
      <c r="N72" s="236"/>
      <c r="O72" s="236"/>
      <c r="P72" s="236"/>
      <c r="Q72" s="236"/>
      <c r="R72" s="236"/>
      <c r="S72" s="236"/>
      <c r="T72" s="236"/>
      <c r="U72" s="236"/>
      <c r="V72" s="49"/>
      <c r="W72" s="236"/>
      <c r="X72" s="236"/>
      <c r="Y72" s="236"/>
      <c r="Z72" s="236"/>
      <c r="AA72" s="236"/>
      <c r="AB72" s="236"/>
      <c r="AC72" s="522"/>
      <c r="AD72" s="236"/>
      <c r="AE72" s="236"/>
      <c r="AF72" s="236"/>
      <c r="AG72" s="236"/>
      <c r="AH72" s="236"/>
      <c r="AI72" s="236"/>
      <c r="AJ72" s="236"/>
      <c r="AK72" s="236"/>
      <c r="AL72" s="236"/>
      <c r="AM72" s="236"/>
      <c r="AN72" s="236"/>
      <c r="AO72" s="291" t="s">
        <v>230</v>
      </c>
      <c r="AP72" s="291"/>
      <c r="AQ72" s="850">
        <f>SUM(AQ62,AQ69)</f>
        <v>0</v>
      </c>
      <c r="AR72" s="851"/>
      <c r="AS72" s="851"/>
      <c r="AT72" s="852"/>
      <c r="AU72" s="291" t="s">
        <v>230</v>
      </c>
      <c r="AV72" s="291"/>
      <c r="AW72" s="850">
        <f>SUM(AW62,AW69)</f>
        <v>0</v>
      </c>
      <c r="AX72" s="851"/>
      <c r="AY72" s="851"/>
      <c r="AZ72" s="852"/>
      <c r="BA72" s="236"/>
      <c r="BB72" s="236"/>
    </row>
    <row r="73" spans="1:54" x14ac:dyDescent="0.3">
      <c r="A73" s="236"/>
      <c r="B73" s="294" t="s">
        <v>562</v>
      </c>
      <c r="C73" s="294"/>
      <c r="D73" s="847">
        <f>IF(D72&gt;J72,D72,J72)</f>
        <v>0</v>
      </c>
      <c r="E73" s="848"/>
      <c r="F73" s="848"/>
      <c r="G73" s="849"/>
      <c r="H73" s="294"/>
      <c r="I73" s="294"/>
      <c r="J73" s="847"/>
      <c r="K73" s="848"/>
      <c r="L73" s="848"/>
      <c r="M73" s="849"/>
      <c r="N73" s="236"/>
      <c r="O73" s="236"/>
      <c r="P73" s="236"/>
      <c r="Q73" s="236"/>
      <c r="R73" s="236"/>
      <c r="S73" s="236"/>
      <c r="T73" s="236"/>
      <c r="U73" s="236"/>
      <c r="V73" s="49"/>
      <c r="W73" s="236"/>
      <c r="X73" s="236"/>
      <c r="Y73" s="236"/>
      <c r="Z73" s="236"/>
      <c r="AA73" s="236"/>
      <c r="AB73" s="236"/>
      <c r="AC73" s="522"/>
      <c r="AD73" s="236"/>
      <c r="AE73" s="236"/>
      <c r="AF73" s="236"/>
      <c r="AG73" s="236"/>
      <c r="AH73" s="236"/>
      <c r="AI73" s="236"/>
      <c r="AJ73" s="236"/>
      <c r="AK73" s="236"/>
      <c r="AL73" s="236"/>
      <c r="AM73" s="236"/>
      <c r="AN73" s="236"/>
      <c r="AO73" s="294" t="s">
        <v>562</v>
      </c>
      <c r="AP73" s="294"/>
      <c r="AQ73" s="847">
        <f>IF(AQ72&gt;AW72,AQ72,AW72)</f>
        <v>0</v>
      </c>
      <c r="AR73" s="848"/>
      <c r="AS73" s="848"/>
      <c r="AT73" s="849"/>
      <c r="AU73" s="294"/>
      <c r="AV73" s="294"/>
      <c r="AW73" s="847"/>
      <c r="AX73" s="848"/>
      <c r="AY73" s="848"/>
      <c r="AZ73" s="849"/>
      <c r="BA73" s="236"/>
      <c r="BB73" s="236"/>
    </row>
    <row r="74" spans="1:54" x14ac:dyDescent="0.3">
      <c r="A74" s="236"/>
      <c r="B74" s="291" t="s">
        <v>205</v>
      </c>
      <c r="C74" s="291"/>
      <c r="D74" s="844">
        <f>IF(D72&gt;=J72,D72+J69+J62,J72+D69+D62)</f>
        <v>0</v>
      </c>
      <c r="E74" s="845"/>
      <c r="F74" s="845"/>
      <c r="G74" s="846"/>
      <c r="H74" s="291"/>
      <c r="I74" s="291"/>
      <c r="J74" s="844"/>
      <c r="K74" s="845"/>
      <c r="L74" s="845"/>
      <c r="M74" s="846"/>
      <c r="N74" s="236"/>
      <c r="O74" s="236"/>
      <c r="P74" s="236"/>
      <c r="Q74" s="236"/>
      <c r="R74" s="236"/>
      <c r="S74" s="236"/>
      <c r="T74" s="236"/>
      <c r="U74" s="236"/>
      <c r="V74" s="49"/>
      <c r="W74" s="236"/>
      <c r="X74" s="236"/>
      <c r="Y74" s="236"/>
      <c r="Z74" s="236"/>
      <c r="AA74" s="236"/>
      <c r="AB74" s="236"/>
      <c r="AC74" s="522"/>
      <c r="AD74" s="236"/>
      <c r="AE74" s="236"/>
      <c r="AF74" s="236"/>
      <c r="AG74" s="236"/>
      <c r="AH74" s="236"/>
      <c r="AI74" s="236"/>
      <c r="AJ74" s="236"/>
      <c r="AK74" s="236"/>
      <c r="AL74" s="236"/>
      <c r="AM74" s="236"/>
      <c r="AN74" s="236"/>
      <c r="AO74" s="291" t="s">
        <v>205</v>
      </c>
      <c r="AP74" s="291"/>
      <c r="AQ74" s="844">
        <f>IF(AQ72&gt;=AW72,AQ72+AW69+AW62,AW72+AQ69+AQ62)</f>
        <v>0</v>
      </c>
      <c r="AR74" s="845"/>
      <c r="AS74" s="845"/>
      <c r="AT74" s="846"/>
      <c r="AU74" s="291"/>
      <c r="AV74" s="291"/>
      <c r="AW74" s="844"/>
      <c r="AX74" s="845"/>
      <c r="AY74" s="845"/>
      <c r="AZ74" s="846"/>
      <c r="BA74" s="236"/>
      <c r="BB74" s="236"/>
    </row>
    <row r="75" spans="1:54" x14ac:dyDescent="0.3">
      <c r="A75" s="236"/>
      <c r="B75" s="809" t="s">
        <v>405</v>
      </c>
      <c r="C75" s="809"/>
      <c r="D75" s="809"/>
      <c r="E75" s="809"/>
      <c r="F75" s="809"/>
      <c r="G75" s="809"/>
      <c r="H75" s="860">
        <f>SUM(Q4:U47,W4:AA47)*240/1000</f>
        <v>0</v>
      </c>
      <c r="I75" s="865"/>
      <c r="J75" s="865"/>
      <c r="K75" s="865"/>
      <c r="L75" s="865"/>
      <c r="M75" s="865"/>
      <c r="N75" s="236"/>
      <c r="O75" s="236"/>
      <c r="P75" s="236"/>
      <c r="Q75" s="236"/>
      <c r="R75" s="236"/>
      <c r="S75" s="236"/>
      <c r="T75" s="236"/>
      <c r="U75" s="236"/>
      <c r="V75" s="49"/>
      <c r="W75" s="236"/>
      <c r="X75" s="236"/>
      <c r="Y75" s="236"/>
      <c r="Z75" s="236"/>
      <c r="AA75" s="236"/>
      <c r="AB75" s="236"/>
      <c r="AC75" s="522"/>
      <c r="AD75" s="236"/>
      <c r="AE75" s="236"/>
      <c r="AF75" s="236"/>
      <c r="AG75" s="236"/>
      <c r="AH75" s="236"/>
      <c r="AI75" s="236"/>
      <c r="AJ75" s="236"/>
      <c r="AK75" s="236"/>
      <c r="AL75" s="236"/>
      <c r="AM75" s="236"/>
      <c r="AN75" s="236"/>
      <c r="AO75" s="809" t="s">
        <v>405</v>
      </c>
      <c r="AP75" s="809"/>
      <c r="AQ75" s="809"/>
      <c r="AR75" s="809"/>
      <c r="AS75" s="809"/>
      <c r="AT75" s="809"/>
      <c r="AU75" s="860">
        <f>SUM(AD4:AH47,AJ4:AN47)*240/1000</f>
        <v>0</v>
      </c>
      <c r="AV75" s="860"/>
      <c r="AW75" s="860"/>
      <c r="AX75" s="860"/>
      <c r="AY75" s="860"/>
      <c r="AZ75" s="860"/>
      <c r="BA75" s="236"/>
      <c r="BB75" s="236"/>
    </row>
  </sheetData>
  <sheetProtection selectLockedCells="1" selectUnlockedCells="1"/>
  <protectedRanges>
    <protectedRange sqref="D71:E71 D75:E1048576 D58:D59 B62:D63 B65:D66 D69:D70 B2:B3 C1:C2 B4:C5 B69:C1048576 F58:G59 D1:G5 H1:I2 H54:I59 B54:C59 A1:A1048576 V48:V53 D54:G57 J54:M57 J71:K71 J75:K75 J58:J59 F62:J63 F65:J66 J72:J74 J69:J70 H3 H4:I5 L69:M75 H69:I75 L62:M63 L58:M59 L65:M66 J1:M5 AO1:AZ2 O48:U75 O1:V47 AQ71:AR71 AQ58:AQ59 AO62:AQ63 AO65:AQ66 AQ72 AQ69:AQ70 AO3 AO4:AP5 AO69:AP72 AS58:AT59 AQ3:AT5 AU54:AV59 AO54:AP59 AQ54:AT57 AW54:AZ57 AW71:AX71 AW58:AW59 AS62:AW63 AS65:AW66 AW72:AW74 AW69:AW70 AU3 AU4:AV5 AY69:AZ75 AY62:AZ63 AY58:AZ59 AY65:AZ66 AW3:AZ5 V54:AN75 N1:N75 BA1:XFD75 W1:AN53 H76:XFD1048576 AQ75:AT75 AQ74 AO74:AP75 AS69:AV74 AO73:AQ73 D72:D74 F69:G1048576 B6:M53 AO6:AZ53" name="Range1"/>
    <protectedRange sqref="AU75:AV75 AX75" name="Range1_1"/>
  </protectedRanges>
  <dataConsolidate/>
  <mergeCells count="84">
    <mergeCell ref="B75:G75"/>
    <mergeCell ref="H75:M75"/>
    <mergeCell ref="AO75:AT75"/>
    <mergeCell ref="AU75:AZ75"/>
    <mergeCell ref="D73:G73"/>
    <mergeCell ref="J73:M73"/>
    <mergeCell ref="AQ73:AT73"/>
    <mergeCell ref="AW73:AZ73"/>
    <mergeCell ref="D74:G74"/>
    <mergeCell ref="J74:M74"/>
    <mergeCell ref="AQ74:AT74"/>
    <mergeCell ref="AW74:AZ74"/>
    <mergeCell ref="D72:G72"/>
    <mergeCell ref="J72:M72"/>
    <mergeCell ref="AQ72:AT72"/>
    <mergeCell ref="AW72:AZ72"/>
    <mergeCell ref="B68:C68"/>
    <mergeCell ref="H68:I68"/>
    <mergeCell ref="AO68:AP68"/>
    <mergeCell ref="AU68:AV68"/>
    <mergeCell ref="D69:G69"/>
    <mergeCell ref="J69:M69"/>
    <mergeCell ref="AQ69:AT69"/>
    <mergeCell ref="AW69:AZ69"/>
    <mergeCell ref="D70:G70"/>
    <mergeCell ref="J70:M70"/>
    <mergeCell ref="AQ70:AT70"/>
    <mergeCell ref="AW70:AZ70"/>
    <mergeCell ref="B65:C65"/>
    <mergeCell ref="H65:I65"/>
    <mergeCell ref="AO65:AP65"/>
    <mergeCell ref="AU65:AV65"/>
    <mergeCell ref="B67:C67"/>
    <mergeCell ref="H67:I67"/>
    <mergeCell ref="AO67:AP67"/>
    <mergeCell ref="AU67:AV67"/>
    <mergeCell ref="AU62:AV62"/>
    <mergeCell ref="AW62:AZ62"/>
    <mergeCell ref="B63:C63"/>
    <mergeCell ref="D63:G63"/>
    <mergeCell ref="H63:I63"/>
    <mergeCell ref="J63:M63"/>
    <mergeCell ref="AO63:AP63"/>
    <mergeCell ref="AQ63:AT63"/>
    <mergeCell ref="AU63:AV63"/>
    <mergeCell ref="AW63:AZ63"/>
    <mergeCell ref="B62:C62"/>
    <mergeCell ref="D62:G62"/>
    <mergeCell ref="H62:I62"/>
    <mergeCell ref="J62:M62"/>
    <mergeCell ref="AO62:AP62"/>
    <mergeCell ref="AQ62:AT62"/>
    <mergeCell ref="B60:C60"/>
    <mergeCell ref="H60:I60"/>
    <mergeCell ref="AO60:AP60"/>
    <mergeCell ref="AU60:AV60"/>
    <mergeCell ref="B61:C61"/>
    <mergeCell ref="H61:I61"/>
    <mergeCell ref="AO61:AP61"/>
    <mergeCell ref="AU61:AV61"/>
    <mergeCell ref="B58:C58"/>
    <mergeCell ref="H58:I58"/>
    <mergeCell ref="AO58:AP58"/>
    <mergeCell ref="AU58:AV58"/>
    <mergeCell ref="B59:C59"/>
    <mergeCell ref="H59:I59"/>
    <mergeCell ref="AO59:AP59"/>
    <mergeCell ref="AU59:AV59"/>
    <mergeCell ref="B31:G32"/>
    <mergeCell ref="H31:M32"/>
    <mergeCell ref="AO31:AT32"/>
    <mergeCell ref="AU31:AZ32"/>
    <mergeCell ref="B56:F57"/>
    <mergeCell ref="H56:L57"/>
    <mergeCell ref="AO56:AS57"/>
    <mergeCell ref="AU56:AY57"/>
    <mergeCell ref="A1:M2"/>
    <mergeCell ref="P1:AA2"/>
    <mergeCell ref="AC1:AN2"/>
    <mergeCell ref="AO1:AZ2"/>
    <mergeCell ref="B3:G4"/>
    <mergeCell ref="H3:M4"/>
    <mergeCell ref="AO3:AT4"/>
    <mergeCell ref="AU3:AZ4"/>
  </mergeCells>
  <conditionalFormatting sqref="Q4:R47 C6:G17">
    <cfRule type="notContainsText" dxfId="187" priority="23" operator="notContains" text="N/A">
      <formula>ISERROR(SEARCH("N/A",C4))</formula>
    </cfRule>
  </conditionalFormatting>
  <conditionalFormatting sqref="S4:U47">
    <cfRule type="notContainsText" dxfId="186" priority="22" operator="notContains" text="N/A">
      <formula>ISERROR(SEARCH("N/A",S4))</formula>
    </cfRule>
  </conditionalFormatting>
  <conditionalFormatting sqref="AD4:AE47">
    <cfRule type="notContainsText" dxfId="185" priority="21" operator="notContains" text="N/A">
      <formula>ISERROR(SEARCH("N/A",AD4))</formula>
    </cfRule>
  </conditionalFormatting>
  <conditionalFormatting sqref="AF4:AH47">
    <cfRule type="notContainsText" dxfId="184" priority="20" operator="notContains" text="N/A">
      <formula>ISERROR(SEARCH("N/A",AF4))</formula>
    </cfRule>
  </conditionalFormatting>
  <conditionalFormatting sqref="C18:G29">
    <cfRule type="notContainsText" dxfId="183" priority="19" operator="notContains" text="N/A">
      <formula>ISERROR(SEARCH("N/A",C18))</formula>
    </cfRule>
  </conditionalFormatting>
  <conditionalFormatting sqref="C46:G53">
    <cfRule type="notContainsText" dxfId="182" priority="17" operator="notContains" text="N/A">
      <formula>ISERROR(SEARCH("N/A",C46))</formula>
    </cfRule>
  </conditionalFormatting>
  <conditionalFormatting sqref="C34:G45">
    <cfRule type="notContainsText" dxfId="181" priority="18" operator="notContains" text="N/A">
      <formula>ISERROR(SEARCH("N/A",C34))</formula>
    </cfRule>
  </conditionalFormatting>
  <conditionalFormatting sqref="W4:X47">
    <cfRule type="notContainsText" dxfId="180" priority="16" operator="notContains" text="N/A">
      <formula>ISERROR(SEARCH("N/A",W4))</formula>
    </cfRule>
  </conditionalFormatting>
  <conditionalFormatting sqref="Y4:AA47">
    <cfRule type="notContainsText" dxfId="179" priority="15" operator="notContains" text="N/A">
      <formula>ISERROR(SEARCH("N/A",Y4))</formula>
    </cfRule>
  </conditionalFormatting>
  <conditionalFormatting sqref="I46:M53">
    <cfRule type="notContainsText" dxfId="178" priority="11" operator="notContains" text="N/A">
      <formula>ISERROR(SEARCH("N/A",I46))</formula>
    </cfRule>
  </conditionalFormatting>
  <conditionalFormatting sqref="AL4:AN47">
    <cfRule type="notContainsText" dxfId="177" priority="1" operator="notContains" text="N/A">
      <formula>ISERROR(SEARCH("N/A",AL4))</formula>
    </cfRule>
  </conditionalFormatting>
  <conditionalFormatting sqref="I6:M17">
    <cfRule type="notContainsText" dxfId="176" priority="14" operator="notContains" text="N/A">
      <formula>ISERROR(SEARCH("N/A",I6))</formula>
    </cfRule>
  </conditionalFormatting>
  <conditionalFormatting sqref="I18:M29">
    <cfRule type="notContainsText" dxfId="175" priority="13" operator="notContains" text="N/A">
      <formula>ISERROR(SEARCH("N/A",I18))</formula>
    </cfRule>
  </conditionalFormatting>
  <conditionalFormatting sqref="I34:M45">
    <cfRule type="notContainsText" dxfId="174" priority="12" operator="notContains" text="N/A">
      <formula>ISERROR(SEARCH("N/A",I34))</formula>
    </cfRule>
  </conditionalFormatting>
  <conditionalFormatting sqref="AP6:AT17">
    <cfRule type="notContainsText" dxfId="173" priority="10" operator="notContains" text="N/A">
      <formula>ISERROR(SEARCH("N/A",AP6))</formula>
    </cfRule>
  </conditionalFormatting>
  <conditionalFormatting sqref="AP18:AT29">
    <cfRule type="notContainsText" dxfId="172" priority="9" operator="notContains" text="N/A">
      <formula>ISERROR(SEARCH("N/A",AP18))</formula>
    </cfRule>
  </conditionalFormatting>
  <conditionalFormatting sqref="AP46:AT53">
    <cfRule type="notContainsText" dxfId="171" priority="7" operator="notContains" text="N/A">
      <formula>ISERROR(SEARCH("N/A",AP46))</formula>
    </cfRule>
  </conditionalFormatting>
  <conditionalFormatting sqref="AP34:AT45">
    <cfRule type="notContainsText" dxfId="170" priority="8" operator="notContains" text="N/A">
      <formula>ISERROR(SEARCH("N/A",AP34))</formula>
    </cfRule>
  </conditionalFormatting>
  <conditionalFormatting sqref="AV46:AZ53">
    <cfRule type="notContainsText" dxfId="169" priority="3" operator="notContains" text="N/A">
      <formula>ISERROR(SEARCH("N/A",AV46))</formula>
    </cfRule>
  </conditionalFormatting>
  <conditionalFormatting sqref="AV6:AZ17">
    <cfRule type="notContainsText" dxfId="168" priority="6" operator="notContains" text="N/A">
      <formula>ISERROR(SEARCH("N/A",AV6))</formula>
    </cfRule>
  </conditionalFormatting>
  <conditionalFormatting sqref="AV18:AZ29">
    <cfRule type="notContainsText" dxfId="167" priority="5" operator="notContains" text="N/A">
      <formula>ISERROR(SEARCH("N/A",AV18))</formula>
    </cfRule>
  </conditionalFormatting>
  <conditionalFormatting sqref="AV34:AZ45">
    <cfRule type="notContainsText" dxfId="166" priority="4" operator="notContains" text="N/A">
      <formula>ISERROR(SEARCH("N/A",AV34))</formula>
    </cfRule>
  </conditionalFormatting>
  <conditionalFormatting sqref="AJ4:AK47">
    <cfRule type="notContainsText" dxfId="165" priority="2" operator="notContains" text="N/A">
      <formula>ISERROR(SEARCH("N/A",AJ4))</formula>
    </cfRule>
  </conditionalFormatting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PowerDistribute.PowerDistribute">
                <anchor moveWithCells="1" sizeWithCells="1">
                  <from>
                    <xdr:col>18</xdr:col>
                    <xdr:colOff>175260</xdr:colOff>
                    <xdr:row>48</xdr:row>
                    <xdr:rowOff>190500</xdr:rowOff>
                  </from>
                  <to>
                    <xdr:col>24</xdr:col>
                    <xdr:colOff>68580</xdr:colOff>
                    <xdr:row>50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>
    <tabColor theme="6" tint="-0.499984740745262"/>
  </sheetPr>
  <dimension ref="A1:CR53"/>
  <sheetViews>
    <sheetView showGridLines="0" zoomScale="70" zoomScaleNormal="70" workbookViewId="0">
      <selection activeCell="AW55" sqref="AW55"/>
    </sheetView>
  </sheetViews>
  <sheetFormatPr defaultColWidth="9.109375" defaultRowHeight="14.4" x14ac:dyDescent="0.3"/>
  <cols>
    <col min="1" max="1" width="3.109375" style="237" customWidth="1"/>
    <col min="2" max="2" width="5.44140625" style="237" bestFit="1" customWidth="1"/>
    <col min="3" max="25" width="7.44140625" style="237" customWidth="1"/>
    <col min="26" max="26" width="1.6640625" style="237" customWidth="1"/>
    <col min="27" max="27" width="10.44140625" style="237" hidden="1" customWidth="1"/>
    <col min="28" max="28" width="16" style="237" hidden="1" customWidth="1"/>
    <col min="29" max="29" width="14.5546875" style="237" hidden="1" customWidth="1"/>
    <col min="30" max="30" width="12.6640625" style="237" hidden="1" customWidth="1"/>
    <col min="31" max="31" width="15.33203125" style="237" hidden="1" customWidth="1"/>
    <col min="32" max="32" width="10.44140625" style="237" hidden="1" customWidth="1"/>
    <col min="33" max="33" width="16" style="237" hidden="1" customWidth="1"/>
    <col min="34" max="34" width="14.5546875" style="237" hidden="1" customWidth="1"/>
    <col min="35" max="35" width="12.6640625" style="237" hidden="1" customWidth="1"/>
    <col min="36" max="36" width="15.33203125" style="237" hidden="1" customWidth="1"/>
    <col min="37" max="37" width="2.33203125" style="237" customWidth="1"/>
    <col min="38" max="38" width="4.5546875" style="237" bestFit="1" customWidth="1"/>
    <col min="39" max="39" width="7.5546875" style="237" customWidth="1"/>
    <col min="40" max="40" width="10" style="237" bestFit="1" customWidth="1"/>
    <col min="41" max="43" width="7.5546875" style="237" customWidth="1"/>
    <col min="44" max="44" width="4.5546875" style="237" bestFit="1" customWidth="1"/>
    <col min="45" max="49" width="7.88671875" style="237" customWidth="1"/>
    <col min="50" max="50" width="2.33203125" style="237" customWidth="1"/>
    <col min="51" max="51" width="4.5546875" style="237" hidden="1" customWidth="1"/>
    <col min="52" max="52" width="11.88671875" style="237" hidden="1" customWidth="1"/>
    <col min="53" max="53" width="10.44140625" style="237" hidden="1" customWidth="1"/>
    <col min="54" max="55" width="0" style="237" hidden="1" customWidth="1"/>
    <col min="56" max="56" width="2" style="237" customWidth="1"/>
    <col min="57" max="57" width="2.33203125" style="237" customWidth="1"/>
    <col min="58" max="58" width="5.109375" style="237" customWidth="1"/>
    <col min="59" max="59" width="6" style="237" customWidth="1"/>
    <col min="60" max="60" width="6.6640625" style="237" customWidth="1"/>
    <col min="61" max="62" width="6" style="237" customWidth="1"/>
    <col min="63" max="63" width="6.88671875" style="237" bestFit="1" customWidth="1"/>
    <col min="64" max="65" width="6" style="237" customWidth="1"/>
    <col min="66" max="66" width="7.109375" style="237" customWidth="1"/>
    <col min="67" max="68" width="6" style="237" customWidth="1"/>
    <col min="69" max="69" width="6.88671875" style="237" bestFit="1" customWidth="1"/>
    <col min="70" max="71" width="6" style="237" customWidth="1"/>
    <col min="72" max="72" width="7.33203125" style="237" customWidth="1"/>
    <col min="73" max="74" width="6" style="237" customWidth="1"/>
    <col min="75" max="75" width="6.88671875" style="237" bestFit="1" customWidth="1"/>
    <col min="76" max="77" width="6" style="237" customWidth="1"/>
    <col min="78" max="78" width="7.88671875" style="237" customWidth="1"/>
    <col min="79" max="80" width="6" style="237" customWidth="1"/>
    <col min="81" max="81" width="6.88671875" style="237" bestFit="1" customWidth="1"/>
    <col min="82" max="82" width="3.5546875" style="237" customWidth="1"/>
    <col min="83" max="83" width="0.33203125" style="237" customWidth="1"/>
    <col min="84" max="84" width="4.5546875" style="237" bestFit="1" customWidth="1"/>
    <col min="85" max="85" width="6.88671875" style="237" customWidth="1"/>
    <col min="86" max="86" width="8.109375" style="237" bestFit="1" customWidth="1"/>
    <col min="87" max="89" width="6.88671875" style="237" customWidth="1"/>
    <col min="90" max="90" width="4.5546875" style="237" bestFit="1" customWidth="1"/>
    <col min="91" max="95" width="7.33203125" style="237" customWidth="1"/>
    <col min="96" max="96" width="0.88671875" style="237" customWidth="1"/>
    <col min="97" max="16384" width="9.109375" style="237"/>
  </cols>
  <sheetData>
    <row r="1" spans="1:96" ht="10.5" customHeight="1" x14ac:dyDescent="0.3">
      <c r="A1" s="882" t="s">
        <v>521</v>
      </c>
      <c r="B1" s="883"/>
      <c r="C1" s="883"/>
      <c r="D1" s="883"/>
      <c r="E1" s="883"/>
      <c r="F1" s="883"/>
      <c r="G1" s="883"/>
      <c r="H1" s="883"/>
      <c r="I1" s="883"/>
      <c r="J1" s="883"/>
      <c r="K1" s="883"/>
      <c r="L1" s="883"/>
      <c r="M1" s="883"/>
      <c r="N1" s="883"/>
      <c r="O1" s="883"/>
      <c r="P1" s="883"/>
      <c r="Q1" s="883"/>
      <c r="R1" s="883"/>
      <c r="S1" s="883"/>
      <c r="T1" s="883"/>
      <c r="U1" s="883"/>
      <c r="V1" s="883"/>
      <c r="W1" s="883"/>
      <c r="X1" s="884"/>
      <c r="Y1" s="235"/>
      <c r="Z1" s="235"/>
      <c r="AA1" s="826" t="s">
        <v>197</v>
      </c>
      <c r="AB1" s="827"/>
      <c r="AC1" s="827"/>
      <c r="AD1" s="827"/>
      <c r="AE1" s="827"/>
      <c r="AF1" s="827"/>
      <c r="AG1" s="827"/>
      <c r="AH1" s="827"/>
      <c r="AI1" s="827"/>
      <c r="AJ1" s="827"/>
      <c r="AK1" s="236"/>
      <c r="AL1" s="826" t="s">
        <v>521</v>
      </c>
      <c r="AM1" s="827"/>
      <c r="AN1" s="827"/>
      <c r="AO1" s="827"/>
      <c r="AP1" s="827"/>
      <c r="AQ1" s="827"/>
      <c r="AR1" s="827"/>
      <c r="AS1" s="827"/>
      <c r="AT1" s="827"/>
      <c r="AU1" s="827"/>
      <c r="AV1" s="827"/>
      <c r="AW1" s="827"/>
      <c r="AX1" s="236"/>
      <c r="AY1" s="826" t="s">
        <v>214</v>
      </c>
      <c r="AZ1" s="827"/>
      <c r="BA1" s="827"/>
      <c r="BB1" s="827"/>
      <c r="BC1" s="827"/>
      <c r="BD1" s="236"/>
      <c r="BE1" s="882" t="s">
        <v>197</v>
      </c>
      <c r="BF1" s="883"/>
      <c r="BG1" s="883"/>
      <c r="BH1" s="883"/>
      <c r="BI1" s="883"/>
      <c r="BJ1" s="883"/>
      <c r="BK1" s="883"/>
      <c r="BL1" s="883"/>
      <c r="BM1" s="883"/>
      <c r="BN1" s="883"/>
      <c r="BO1" s="883"/>
      <c r="BP1" s="883"/>
      <c r="BQ1" s="883"/>
      <c r="BR1" s="883"/>
      <c r="BS1" s="883"/>
      <c r="BT1" s="883"/>
      <c r="BU1" s="883"/>
      <c r="BV1" s="883"/>
      <c r="BW1" s="883"/>
      <c r="BX1" s="883"/>
      <c r="BY1" s="883"/>
      <c r="BZ1" s="883"/>
      <c r="CA1" s="883"/>
      <c r="CB1" s="884"/>
      <c r="CC1" s="235"/>
      <c r="CD1" s="235"/>
      <c r="CE1" s="236"/>
      <c r="CF1" s="826" t="s">
        <v>197</v>
      </c>
      <c r="CG1" s="827"/>
      <c r="CH1" s="827"/>
      <c r="CI1" s="827"/>
      <c r="CJ1" s="827"/>
      <c r="CK1" s="827"/>
      <c r="CL1" s="827"/>
      <c r="CM1" s="827"/>
      <c r="CN1" s="827"/>
      <c r="CO1" s="827"/>
      <c r="CP1" s="827"/>
      <c r="CQ1" s="342"/>
      <c r="CR1" s="236"/>
    </row>
    <row r="2" spans="1:96" ht="10.5" customHeight="1" x14ac:dyDescent="0.3">
      <c r="A2" s="863"/>
      <c r="B2" s="861"/>
      <c r="C2" s="861"/>
      <c r="D2" s="861"/>
      <c r="E2" s="861"/>
      <c r="F2" s="861"/>
      <c r="G2" s="861"/>
      <c r="H2" s="861"/>
      <c r="I2" s="861"/>
      <c r="J2" s="861"/>
      <c r="K2" s="861"/>
      <c r="L2" s="861"/>
      <c r="M2" s="861"/>
      <c r="N2" s="861"/>
      <c r="O2" s="861"/>
      <c r="P2" s="861"/>
      <c r="Q2" s="861"/>
      <c r="R2" s="861"/>
      <c r="S2" s="861"/>
      <c r="T2" s="861"/>
      <c r="U2" s="861"/>
      <c r="V2" s="861"/>
      <c r="W2" s="861"/>
      <c r="X2" s="885"/>
      <c r="Y2" s="235"/>
      <c r="Z2" s="235"/>
      <c r="AA2" s="826"/>
      <c r="AB2" s="827"/>
      <c r="AC2" s="827"/>
      <c r="AD2" s="827"/>
      <c r="AE2" s="827"/>
      <c r="AF2" s="827"/>
      <c r="AG2" s="827"/>
      <c r="AH2" s="827"/>
      <c r="AI2" s="827"/>
      <c r="AJ2" s="827"/>
      <c r="AK2" s="236"/>
      <c r="AL2" s="826"/>
      <c r="AM2" s="827"/>
      <c r="AN2" s="827"/>
      <c r="AO2" s="827"/>
      <c r="AP2" s="827"/>
      <c r="AQ2" s="827"/>
      <c r="AR2" s="827"/>
      <c r="AS2" s="827"/>
      <c r="AT2" s="827"/>
      <c r="AU2" s="827"/>
      <c r="AV2" s="827"/>
      <c r="AW2" s="827"/>
      <c r="AX2" s="236"/>
      <c r="AY2" s="826"/>
      <c r="AZ2" s="827"/>
      <c r="BA2" s="827"/>
      <c r="BB2" s="827"/>
      <c r="BC2" s="827"/>
      <c r="BD2" s="236"/>
      <c r="BE2" s="863"/>
      <c r="BF2" s="861"/>
      <c r="BG2" s="861"/>
      <c r="BH2" s="861"/>
      <c r="BI2" s="861"/>
      <c r="BJ2" s="861"/>
      <c r="BK2" s="861"/>
      <c r="BL2" s="861"/>
      <c r="BM2" s="861"/>
      <c r="BN2" s="861"/>
      <c r="BO2" s="861"/>
      <c r="BP2" s="861"/>
      <c r="BQ2" s="861"/>
      <c r="BR2" s="861"/>
      <c r="BS2" s="861"/>
      <c r="BT2" s="861"/>
      <c r="BU2" s="861"/>
      <c r="BV2" s="861"/>
      <c r="BW2" s="861"/>
      <c r="BX2" s="861"/>
      <c r="BY2" s="861"/>
      <c r="BZ2" s="861"/>
      <c r="CA2" s="861"/>
      <c r="CB2" s="885"/>
      <c r="CC2" s="235"/>
      <c r="CD2" s="235"/>
      <c r="CE2" s="236"/>
      <c r="CF2" s="914"/>
      <c r="CG2" s="915"/>
      <c r="CH2" s="915"/>
      <c r="CI2" s="915"/>
      <c r="CJ2" s="915"/>
      <c r="CK2" s="915"/>
      <c r="CL2" s="915"/>
      <c r="CM2" s="915"/>
      <c r="CN2" s="915"/>
      <c r="CO2" s="915"/>
      <c r="CP2" s="915"/>
      <c r="CQ2" s="342"/>
      <c r="CR2" s="236"/>
    </row>
    <row r="3" spans="1:96" x14ac:dyDescent="0.3">
      <c r="A3" s="241"/>
      <c r="B3" s="861" t="s">
        <v>449</v>
      </c>
      <c r="C3" s="861"/>
      <c r="D3" s="861"/>
      <c r="E3" s="861"/>
      <c r="F3" s="861"/>
      <c r="G3" s="862"/>
      <c r="H3" s="239"/>
      <c r="I3" s="861" t="s">
        <v>450</v>
      </c>
      <c r="J3" s="861"/>
      <c r="K3" s="861"/>
      <c r="L3" s="861"/>
      <c r="M3" s="861"/>
      <c r="N3" s="861" t="s">
        <v>215</v>
      </c>
      <c r="O3" s="861"/>
      <c r="P3" s="861"/>
      <c r="Q3" s="861"/>
      <c r="R3" s="861"/>
      <c r="S3" s="862"/>
      <c r="T3" s="239"/>
      <c r="U3" s="861" t="s">
        <v>216</v>
      </c>
      <c r="V3" s="861"/>
      <c r="W3" s="861"/>
      <c r="X3" s="861"/>
      <c r="Y3" s="885"/>
      <c r="Z3" s="240"/>
      <c r="AA3" s="241"/>
      <c r="AB3" s="861" t="s">
        <v>215</v>
      </c>
      <c r="AC3" s="861"/>
      <c r="AD3" s="886"/>
      <c r="AE3" s="887"/>
      <c r="AF3" s="236"/>
      <c r="AG3" s="861" t="s">
        <v>216</v>
      </c>
      <c r="AH3" s="861"/>
      <c r="AI3" s="861"/>
      <c r="AJ3" s="861"/>
      <c r="AK3" s="236"/>
      <c r="AL3" s="888" t="s">
        <v>458</v>
      </c>
      <c r="AM3" s="888"/>
      <c r="AN3" s="888"/>
      <c r="AO3" s="888"/>
      <c r="AP3" s="888"/>
      <c r="AQ3" s="550"/>
      <c r="AR3" s="888" t="s">
        <v>459</v>
      </c>
      <c r="AS3" s="888"/>
      <c r="AT3" s="888"/>
      <c r="AU3" s="888"/>
      <c r="AV3" s="888"/>
      <c r="AW3" s="231"/>
      <c r="AX3" s="236"/>
      <c r="AY3" s="242" t="s">
        <v>191</v>
      </c>
      <c r="AZ3" s="243" t="s">
        <v>217</v>
      </c>
      <c r="BA3" s="243" t="s">
        <v>218</v>
      </c>
      <c r="BB3" s="243" t="s">
        <v>330</v>
      </c>
      <c r="BC3" s="244" t="s">
        <v>331</v>
      </c>
      <c r="BD3" s="236"/>
      <c r="BE3" s="241"/>
      <c r="BF3" s="861" t="s">
        <v>449</v>
      </c>
      <c r="BG3" s="861"/>
      <c r="BH3" s="861"/>
      <c r="BI3" s="861"/>
      <c r="BJ3" s="861"/>
      <c r="BK3" s="862"/>
      <c r="BL3" s="239"/>
      <c r="BM3" s="861" t="s">
        <v>450</v>
      </c>
      <c r="BN3" s="861"/>
      <c r="BO3" s="861"/>
      <c r="BP3" s="861"/>
      <c r="BQ3" s="861"/>
      <c r="BR3" s="238"/>
      <c r="BS3" s="861" t="s">
        <v>215</v>
      </c>
      <c r="BT3" s="861"/>
      <c r="BU3" s="861"/>
      <c r="BV3" s="861"/>
      <c r="BW3" s="862"/>
      <c r="BX3" s="239"/>
      <c r="BY3" s="861" t="s">
        <v>216</v>
      </c>
      <c r="BZ3" s="861"/>
      <c r="CA3" s="861"/>
      <c r="CB3" s="861"/>
      <c r="CC3" s="885"/>
      <c r="CD3" s="240"/>
      <c r="CE3" s="236"/>
      <c r="CF3" s="888" t="s">
        <v>458</v>
      </c>
      <c r="CG3" s="888"/>
      <c r="CH3" s="888"/>
      <c r="CI3" s="888"/>
      <c r="CJ3" s="888"/>
      <c r="CK3" s="550"/>
      <c r="CL3" s="888" t="s">
        <v>459</v>
      </c>
      <c r="CM3" s="888"/>
      <c r="CN3" s="888"/>
      <c r="CO3" s="888"/>
      <c r="CP3" s="888"/>
      <c r="CQ3" s="231"/>
      <c r="CR3" s="236"/>
    </row>
    <row r="4" spans="1:96" ht="15" thickBot="1" x14ac:dyDescent="0.35">
      <c r="A4" s="241"/>
      <c r="B4" s="861"/>
      <c r="C4" s="861"/>
      <c r="D4" s="861"/>
      <c r="E4" s="861"/>
      <c r="F4" s="861"/>
      <c r="G4" s="862"/>
      <c r="H4" s="239"/>
      <c r="I4" s="861"/>
      <c r="J4" s="861"/>
      <c r="K4" s="861"/>
      <c r="L4" s="861"/>
      <c r="M4" s="861"/>
      <c r="N4" s="861"/>
      <c r="O4" s="861"/>
      <c r="P4" s="861"/>
      <c r="Q4" s="861"/>
      <c r="R4" s="861"/>
      <c r="S4" s="862"/>
      <c r="T4" s="239"/>
      <c r="U4" s="861"/>
      <c r="V4" s="861"/>
      <c r="W4" s="861"/>
      <c r="X4" s="861"/>
      <c r="Y4" s="885"/>
      <c r="Z4" s="240"/>
      <c r="AA4" s="241"/>
      <c r="AB4" s="861"/>
      <c r="AC4" s="861"/>
      <c r="AD4" s="886"/>
      <c r="AE4" s="887"/>
      <c r="AF4" s="239"/>
      <c r="AG4" s="861"/>
      <c r="AH4" s="861"/>
      <c r="AI4" s="861"/>
      <c r="AJ4" s="861"/>
      <c r="AK4" s="236"/>
      <c r="AL4" s="242">
        <v>4</v>
      </c>
      <c r="AM4" s="243" t="s">
        <v>217</v>
      </c>
      <c r="AN4" s="243" t="s">
        <v>218</v>
      </c>
      <c r="AO4" s="243" t="s">
        <v>330</v>
      </c>
      <c r="AP4" s="244" t="s">
        <v>331</v>
      </c>
      <c r="AQ4" s="350" t="s">
        <v>536</v>
      </c>
      <c r="AR4" s="242" t="s">
        <v>191</v>
      </c>
      <c r="AS4" s="243" t="s">
        <v>217</v>
      </c>
      <c r="AT4" s="243" t="s">
        <v>218</v>
      </c>
      <c r="AU4" s="243" t="s">
        <v>330</v>
      </c>
      <c r="AV4" s="244" t="s">
        <v>331</v>
      </c>
      <c r="AW4" s="350" t="s">
        <v>536</v>
      </c>
      <c r="AX4" s="236"/>
      <c r="AY4" s="245">
        <v>1</v>
      </c>
      <c r="AZ4" s="246" t="s">
        <v>336</v>
      </c>
      <c r="BA4" s="246">
        <v>0.91</v>
      </c>
      <c r="BB4" s="246" t="s">
        <v>336</v>
      </c>
      <c r="BC4" s="246" t="s">
        <v>336</v>
      </c>
      <c r="BD4" s="236"/>
      <c r="BE4" s="241"/>
      <c r="BF4" s="861"/>
      <c r="BG4" s="861"/>
      <c r="BH4" s="861"/>
      <c r="BI4" s="861"/>
      <c r="BJ4" s="861"/>
      <c r="BK4" s="862"/>
      <c r="BL4" s="239"/>
      <c r="BM4" s="861"/>
      <c r="BN4" s="861"/>
      <c r="BO4" s="861"/>
      <c r="BP4" s="861"/>
      <c r="BQ4" s="861"/>
      <c r="BR4" s="238"/>
      <c r="BS4" s="861"/>
      <c r="BT4" s="861"/>
      <c r="BU4" s="861"/>
      <c r="BV4" s="861"/>
      <c r="BW4" s="862"/>
      <c r="BX4" s="239"/>
      <c r="BY4" s="861"/>
      <c r="BZ4" s="861"/>
      <c r="CA4" s="861"/>
      <c r="CB4" s="861"/>
      <c r="CC4" s="885"/>
      <c r="CD4" s="240"/>
      <c r="CE4" s="236"/>
      <c r="CF4" s="242">
        <v>4</v>
      </c>
      <c r="CG4" s="243" t="s">
        <v>217</v>
      </c>
      <c r="CH4" s="243" t="s">
        <v>218</v>
      </c>
      <c r="CI4" s="243" t="s">
        <v>330</v>
      </c>
      <c r="CJ4" s="244" t="s">
        <v>331</v>
      </c>
      <c r="CK4" s="350" t="s">
        <v>536</v>
      </c>
      <c r="CL4" s="242" t="s">
        <v>191</v>
      </c>
      <c r="CM4" s="243" t="s">
        <v>217</v>
      </c>
      <c r="CN4" s="243" t="s">
        <v>218</v>
      </c>
      <c r="CO4" s="243" t="s">
        <v>330</v>
      </c>
      <c r="CP4" s="244" t="s">
        <v>331</v>
      </c>
      <c r="CQ4" s="350" t="s">
        <v>536</v>
      </c>
      <c r="CR4" s="236"/>
    </row>
    <row r="5" spans="1:96" ht="15" thickBot="1" x14ac:dyDescent="0.35">
      <c r="A5" s="404"/>
      <c r="B5" s="247" t="s">
        <v>192</v>
      </c>
      <c r="C5" s="248" t="s">
        <v>219</v>
      </c>
      <c r="D5" s="249" t="s">
        <v>220</v>
      </c>
      <c r="E5" s="249" t="s">
        <v>332</v>
      </c>
      <c r="F5" s="249" t="s">
        <v>333</v>
      </c>
      <c r="G5" s="249"/>
      <c r="H5" s="250"/>
      <c r="I5" s="251" t="s">
        <v>219</v>
      </c>
      <c r="J5" s="252" t="s">
        <v>220</v>
      </c>
      <c r="K5" s="231" t="s">
        <v>332</v>
      </c>
      <c r="L5" s="231" t="s">
        <v>333</v>
      </c>
      <c r="M5" s="231"/>
      <c r="N5" s="505" t="s">
        <v>192</v>
      </c>
      <c r="O5" s="506" t="s">
        <v>219</v>
      </c>
      <c r="P5" s="249" t="s">
        <v>220</v>
      </c>
      <c r="Q5" s="249" t="s">
        <v>332</v>
      </c>
      <c r="R5" s="249" t="s">
        <v>333</v>
      </c>
      <c r="S5" s="249"/>
      <c r="T5" s="250"/>
      <c r="U5" s="251" t="s">
        <v>219</v>
      </c>
      <c r="V5" s="252" t="s">
        <v>220</v>
      </c>
      <c r="W5" s="231" t="s">
        <v>332</v>
      </c>
      <c r="X5" s="405" t="s">
        <v>333</v>
      </c>
      <c r="Y5" s="231"/>
      <c r="Z5" s="249"/>
      <c r="AA5" s="247" t="s">
        <v>192</v>
      </c>
      <c r="AB5" s="251" t="s">
        <v>219</v>
      </c>
      <c r="AC5" s="252" t="s">
        <v>220</v>
      </c>
      <c r="AD5" s="509" t="s">
        <v>332</v>
      </c>
      <c r="AE5" s="509" t="s">
        <v>333</v>
      </c>
      <c r="AF5" s="250" t="s">
        <v>192</v>
      </c>
      <c r="AG5" s="251" t="s">
        <v>219</v>
      </c>
      <c r="AH5" s="252" t="s">
        <v>220</v>
      </c>
      <c r="AI5" s="231" t="s">
        <v>336</v>
      </c>
      <c r="AJ5" s="231" t="s">
        <v>336</v>
      </c>
      <c r="AK5" s="236" t="s">
        <v>336</v>
      </c>
      <c r="AL5" s="245">
        <v>1</v>
      </c>
      <c r="AM5" s="246" t="s">
        <v>336</v>
      </c>
      <c r="AN5" s="246" t="s">
        <v>336</v>
      </c>
      <c r="AO5" s="246" t="s">
        <v>336</v>
      </c>
      <c r="AP5" s="246" t="s">
        <v>336</v>
      </c>
      <c r="AQ5" s="246" t="s">
        <v>336</v>
      </c>
      <c r="AR5" s="388">
        <v>1</v>
      </c>
      <c r="AS5" s="246" t="s">
        <v>336</v>
      </c>
      <c r="AT5" s="246" t="s">
        <v>336</v>
      </c>
      <c r="AU5" s="246" t="s">
        <v>336</v>
      </c>
      <c r="AV5" s="246" t="s">
        <v>336</v>
      </c>
      <c r="AW5" s="246" t="s">
        <v>336</v>
      </c>
      <c r="AX5" s="236"/>
      <c r="AY5" s="253">
        <v>2</v>
      </c>
      <c r="AZ5" s="254" t="s">
        <v>336</v>
      </c>
      <c r="BA5" s="254">
        <v>0.91</v>
      </c>
      <c r="BB5" s="254" t="s">
        <v>336</v>
      </c>
      <c r="BC5" s="255" t="s">
        <v>336</v>
      </c>
      <c r="BD5" s="236"/>
      <c r="BE5" s="404"/>
      <c r="BF5" s="247" t="s">
        <v>192</v>
      </c>
      <c r="BG5" s="248" t="s">
        <v>219</v>
      </c>
      <c r="BH5" s="249" t="s">
        <v>220</v>
      </c>
      <c r="BI5" s="249" t="s">
        <v>332</v>
      </c>
      <c r="BJ5" s="249" t="s">
        <v>333</v>
      </c>
      <c r="BK5" s="249"/>
      <c r="BL5" s="250"/>
      <c r="BM5" s="251" t="s">
        <v>219</v>
      </c>
      <c r="BN5" s="252" t="s">
        <v>220</v>
      </c>
      <c r="BO5" s="231" t="s">
        <v>332</v>
      </c>
      <c r="BP5" s="231" t="s">
        <v>333</v>
      </c>
      <c r="BQ5" s="231"/>
      <c r="BR5" s="247" t="s">
        <v>192</v>
      </c>
      <c r="BS5" s="248" t="s">
        <v>219</v>
      </c>
      <c r="BT5" s="249" t="s">
        <v>220</v>
      </c>
      <c r="BU5" s="249" t="s">
        <v>332</v>
      </c>
      <c r="BV5" s="249" t="s">
        <v>333</v>
      </c>
      <c r="BW5" s="249"/>
      <c r="BX5" s="250"/>
      <c r="BY5" s="251" t="s">
        <v>219</v>
      </c>
      <c r="BZ5" s="252" t="s">
        <v>220</v>
      </c>
      <c r="CA5" s="231" t="s">
        <v>332</v>
      </c>
      <c r="CB5" s="231" t="s">
        <v>333</v>
      </c>
      <c r="CC5" s="231"/>
      <c r="CD5" s="249"/>
      <c r="CE5" s="236" t="s">
        <v>336</v>
      </c>
      <c r="CF5" s="594" t="s">
        <v>191</v>
      </c>
      <c r="CG5" s="408" t="s">
        <v>336</v>
      </c>
      <c r="CH5" s="408" t="s">
        <v>336</v>
      </c>
      <c r="CI5" s="408" t="s">
        <v>336</v>
      </c>
      <c r="CJ5" s="408" t="s">
        <v>336</v>
      </c>
      <c r="CK5" s="408" t="s">
        <v>336</v>
      </c>
      <c r="CL5" s="388">
        <v>1</v>
      </c>
      <c r="CM5" s="408" t="s">
        <v>336</v>
      </c>
      <c r="CN5" s="408" t="s">
        <v>336</v>
      </c>
      <c r="CO5" s="408" t="s">
        <v>336</v>
      </c>
      <c r="CP5" s="408" t="s">
        <v>336</v>
      </c>
      <c r="CQ5" s="408" t="s">
        <v>336</v>
      </c>
      <c r="CR5" s="236"/>
    </row>
    <row r="6" spans="1:96" x14ac:dyDescent="0.3">
      <c r="A6" s="404"/>
      <c r="B6" s="256">
        <v>1</v>
      </c>
      <c r="C6" s="164" t="str">
        <f>AM5</f>
        <v>N/A</v>
      </c>
      <c r="D6" s="164" t="str">
        <f>AN5</f>
        <v>N/A</v>
      </c>
      <c r="E6" s="164" t="str">
        <f>AO5</f>
        <v>N/A</v>
      </c>
      <c r="F6" s="164" t="str">
        <f>AP5</f>
        <v>N/A</v>
      </c>
      <c r="G6" s="164" t="str">
        <f>AQ5</f>
        <v>N/A</v>
      </c>
      <c r="H6" s="383">
        <v>1</v>
      </c>
      <c r="I6" s="164" t="str">
        <f>AS5</f>
        <v>N/A</v>
      </c>
      <c r="J6" s="164" t="str">
        <f>AT5</f>
        <v>N/A</v>
      </c>
      <c r="K6" s="164" t="str">
        <f>AU5</f>
        <v>N/A</v>
      </c>
      <c r="L6" s="164" t="str">
        <f>AV5</f>
        <v>N/A</v>
      </c>
      <c r="M6" s="164" t="str">
        <f>AW5</f>
        <v>N/A</v>
      </c>
      <c r="N6" s="302">
        <v>2</v>
      </c>
      <c r="O6" s="507" t="str">
        <f>AM6</f>
        <v>N/A</v>
      </c>
      <c r="P6" s="83" t="str">
        <f>AN6</f>
        <v>N/A</v>
      </c>
      <c r="Q6" s="83" t="str">
        <f>AO6</f>
        <v>N/A</v>
      </c>
      <c r="R6" s="83" t="str">
        <f>AP6</f>
        <v>N/A</v>
      </c>
      <c r="S6" s="83" t="str">
        <f>AQ6</f>
        <v>N/A</v>
      </c>
      <c r="T6" s="378">
        <v>2</v>
      </c>
      <c r="U6" s="83" t="str">
        <f>AS6</f>
        <v>N/A</v>
      </c>
      <c r="V6" s="83" t="str">
        <f>AT6</f>
        <v>N/A</v>
      </c>
      <c r="W6" s="83" t="str">
        <f>AU6</f>
        <v>N/A</v>
      </c>
      <c r="X6" s="84" t="str">
        <f>AV6</f>
        <v>N/A</v>
      </c>
      <c r="Y6" s="84" t="str">
        <f>AW6</f>
        <v>N/A</v>
      </c>
      <c r="Z6" s="260"/>
      <c r="AA6" s="256">
        <v>1</v>
      </c>
      <c r="AB6" s="257" t="str">
        <f>AZ4</f>
        <v>N/A</v>
      </c>
      <c r="AC6" s="261">
        <f>BA4</f>
        <v>0.91</v>
      </c>
      <c r="AD6" s="503" t="str">
        <f>BB4</f>
        <v>N/A</v>
      </c>
      <c r="AE6" s="503" t="str">
        <f>BC4</f>
        <v>N/A</v>
      </c>
      <c r="AF6" s="259">
        <v>2</v>
      </c>
      <c r="AG6" s="257" t="str">
        <f>AZ5</f>
        <v>N/A</v>
      </c>
      <c r="AH6" s="263">
        <f>BA5</f>
        <v>0.91</v>
      </c>
      <c r="AI6" s="263" t="s">
        <v>336</v>
      </c>
      <c r="AJ6" s="263" t="s">
        <v>336</v>
      </c>
      <c r="AK6" s="236" t="s">
        <v>336</v>
      </c>
      <c r="AL6" s="253">
        <v>2</v>
      </c>
      <c r="AM6" s="254" t="s">
        <v>336</v>
      </c>
      <c r="AN6" s="254" t="s">
        <v>336</v>
      </c>
      <c r="AO6" s="254" t="s">
        <v>336</v>
      </c>
      <c r="AP6" s="255" t="s">
        <v>336</v>
      </c>
      <c r="AQ6" s="255" t="s">
        <v>336</v>
      </c>
      <c r="AR6" s="390">
        <v>2</v>
      </c>
      <c r="AS6" s="254" t="s">
        <v>336</v>
      </c>
      <c r="AT6" s="254" t="s">
        <v>336</v>
      </c>
      <c r="AU6" s="254" t="s">
        <v>336</v>
      </c>
      <c r="AV6" s="255" t="s">
        <v>336</v>
      </c>
      <c r="AW6" s="255" t="s">
        <v>336</v>
      </c>
      <c r="AX6" s="236"/>
      <c r="AY6" s="245">
        <v>3</v>
      </c>
      <c r="AZ6" s="246" t="s">
        <v>336</v>
      </c>
      <c r="BA6" s="246">
        <v>0.91</v>
      </c>
      <c r="BB6" s="246" t="s">
        <v>336</v>
      </c>
      <c r="BC6" s="246" t="s">
        <v>336</v>
      </c>
      <c r="BD6" s="236"/>
      <c r="BE6" s="404"/>
      <c r="BF6" s="256">
        <v>1</v>
      </c>
      <c r="BG6" s="164" t="str">
        <f>CG5</f>
        <v>N/A</v>
      </c>
      <c r="BH6" s="164" t="str">
        <f>CH5</f>
        <v>N/A</v>
      </c>
      <c r="BI6" s="164" t="str">
        <f>CI5</f>
        <v>N/A</v>
      </c>
      <c r="BJ6" s="164" t="str">
        <f>CJ5</f>
        <v>N/A</v>
      </c>
      <c r="BK6" s="164" t="str">
        <f>CK5</f>
        <v>N/A</v>
      </c>
      <c r="BL6" s="383">
        <v>1</v>
      </c>
      <c r="BM6" s="164" t="str">
        <f>CM5</f>
        <v>N/A</v>
      </c>
      <c r="BN6" s="164" t="str">
        <f>CN5</f>
        <v>N/A</v>
      </c>
      <c r="BO6" s="164" t="str">
        <f>CO5</f>
        <v>N/A</v>
      </c>
      <c r="BP6" s="164" t="str">
        <f>CP5</f>
        <v>N/A</v>
      </c>
      <c r="BQ6" s="164" t="str">
        <f>CQ5</f>
        <v>N/A</v>
      </c>
      <c r="BR6" s="302">
        <v>2</v>
      </c>
      <c r="BS6" s="83" t="str">
        <f>CG6</f>
        <v>N/A</v>
      </c>
      <c r="BT6" s="83" t="str">
        <f>CH6</f>
        <v>N/A</v>
      </c>
      <c r="BU6" s="83" t="str">
        <f>CI6</f>
        <v>N/A</v>
      </c>
      <c r="BV6" s="83" t="str">
        <f>CJ6</f>
        <v>N/A</v>
      </c>
      <c r="BW6" s="83" t="str">
        <f>CK6</f>
        <v>N/A</v>
      </c>
      <c r="BX6" s="378">
        <v>2</v>
      </c>
      <c r="BY6" s="83" t="str">
        <f>CM6</f>
        <v>N/A</v>
      </c>
      <c r="BZ6" s="83" t="str">
        <f>CN6</f>
        <v>N/A</v>
      </c>
      <c r="CA6" s="83" t="str">
        <f>CO6</f>
        <v>N/A</v>
      </c>
      <c r="CB6" s="83" t="str">
        <f>CP6</f>
        <v>N/A</v>
      </c>
      <c r="CC6" s="83" t="str">
        <f>CQ6</f>
        <v>N/A</v>
      </c>
      <c r="CD6" s="260"/>
      <c r="CE6" s="236" t="s">
        <v>336</v>
      </c>
      <c r="CF6" s="595">
        <v>1</v>
      </c>
      <c r="CG6" s="409" t="s">
        <v>336</v>
      </c>
      <c r="CH6" s="409" t="s">
        <v>336</v>
      </c>
      <c r="CI6" s="409" t="s">
        <v>336</v>
      </c>
      <c r="CJ6" s="410" t="s">
        <v>336</v>
      </c>
      <c r="CK6" s="410" t="s">
        <v>336</v>
      </c>
      <c r="CL6" s="390">
        <v>2</v>
      </c>
      <c r="CM6" s="409" t="s">
        <v>336</v>
      </c>
      <c r="CN6" s="409" t="s">
        <v>336</v>
      </c>
      <c r="CO6" s="409" t="s">
        <v>336</v>
      </c>
      <c r="CP6" s="410" t="s">
        <v>336</v>
      </c>
      <c r="CQ6" s="410" t="s">
        <v>336</v>
      </c>
      <c r="CR6" s="236"/>
    </row>
    <row r="7" spans="1:96" x14ac:dyDescent="0.3">
      <c r="A7" s="404"/>
      <c r="B7" s="264">
        <v>3</v>
      </c>
      <c r="C7" s="86" t="str">
        <f>AM7</f>
        <v>N/A</v>
      </c>
      <c r="D7" s="86" t="str">
        <f>AN7</f>
        <v>N/A</v>
      </c>
      <c r="E7" s="86" t="str">
        <f>AO7</f>
        <v>N/A</v>
      </c>
      <c r="F7" s="86" t="str">
        <f>AP7</f>
        <v>N/A</v>
      </c>
      <c r="G7" s="86" t="str">
        <f>AQ7</f>
        <v>N/A</v>
      </c>
      <c r="H7" s="384">
        <v>3</v>
      </c>
      <c r="I7" s="481" t="str">
        <f>AS7</f>
        <v>N/A</v>
      </c>
      <c r="J7" s="481" t="str">
        <f>AT7</f>
        <v>N/A</v>
      </c>
      <c r="K7" s="481" t="str">
        <f>AU7</f>
        <v>N/A</v>
      </c>
      <c r="L7" s="481" t="str">
        <f>AV7</f>
        <v>N/A</v>
      </c>
      <c r="M7" s="481" t="str">
        <f>AW7</f>
        <v>N/A</v>
      </c>
      <c r="N7" s="303">
        <v>4</v>
      </c>
      <c r="O7" s="508" t="str">
        <f>AM8</f>
        <v>N/A</v>
      </c>
      <c r="P7" s="86" t="str">
        <f>AN8</f>
        <v>N/A</v>
      </c>
      <c r="Q7" s="86" t="str">
        <f>AO8</f>
        <v>N/A</v>
      </c>
      <c r="R7" s="86" t="str">
        <f>AP8</f>
        <v>N/A</v>
      </c>
      <c r="S7" s="86" t="str">
        <f>AQ8</f>
        <v>N/A</v>
      </c>
      <c r="T7" s="379">
        <v>4</v>
      </c>
      <c r="U7" s="86" t="str">
        <f>AS8</f>
        <v>N/A</v>
      </c>
      <c r="V7" s="86" t="str">
        <f>AT8</f>
        <v>N/A</v>
      </c>
      <c r="W7" s="86" t="str">
        <f>AU8</f>
        <v>N/A</v>
      </c>
      <c r="X7" s="87" t="str">
        <f>AV8</f>
        <v>N/A</v>
      </c>
      <c r="Y7" s="87" t="str">
        <f>AW8</f>
        <v>N/A</v>
      </c>
      <c r="Z7" s="260"/>
      <c r="AA7" s="264">
        <v>3</v>
      </c>
      <c r="AB7" s="265" t="str">
        <f>AZ6</f>
        <v>N/A</v>
      </c>
      <c r="AC7" s="267">
        <f>BA6</f>
        <v>0.91</v>
      </c>
      <c r="AD7" s="504" t="str">
        <f>BB6</f>
        <v>N/A</v>
      </c>
      <c r="AE7" s="504" t="str">
        <f>BC6</f>
        <v>N/A</v>
      </c>
      <c r="AF7" s="266">
        <v>4</v>
      </c>
      <c r="AG7" s="265" t="str">
        <f>AZ7</f>
        <v>N/A</v>
      </c>
      <c r="AH7" s="268">
        <f>BA7</f>
        <v>0.91</v>
      </c>
      <c r="AI7" s="268" t="s">
        <v>336</v>
      </c>
      <c r="AJ7" s="268" t="s">
        <v>336</v>
      </c>
      <c r="AK7" s="236" t="s">
        <v>336</v>
      </c>
      <c r="AL7" s="245">
        <v>3</v>
      </c>
      <c r="AM7" s="246" t="s">
        <v>336</v>
      </c>
      <c r="AN7" s="246" t="s">
        <v>336</v>
      </c>
      <c r="AO7" s="246" t="s">
        <v>336</v>
      </c>
      <c r="AP7" s="246" t="s">
        <v>336</v>
      </c>
      <c r="AQ7" s="246" t="s">
        <v>336</v>
      </c>
      <c r="AR7" s="388">
        <v>3</v>
      </c>
      <c r="AS7" s="246" t="s">
        <v>336</v>
      </c>
      <c r="AT7" s="246" t="s">
        <v>336</v>
      </c>
      <c r="AU7" s="246" t="s">
        <v>336</v>
      </c>
      <c r="AV7" s="246" t="s">
        <v>336</v>
      </c>
      <c r="AW7" s="246" t="s">
        <v>336</v>
      </c>
      <c r="AX7" s="236"/>
      <c r="AY7" s="253">
        <v>4</v>
      </c>
      <c r="AZ7" s="254" t="s">
        <v>336</v>
      </c>
      <c r="BA7" s="254">
        <v>0.91</v>
      </c>
      <c r="BB7" s="254" t="s">
        <v>336</v>
      </c>
      <c r="BC7" s="254" t="s">
        <v>336</v>
      </c>
      <c r="BD7" s="236"/>
      <c r="BE7" s="404"/>
      <c r="BF7" s="264">
        <v>3</v>
      </c>
      <c r="BG7" s="86" t="str">
        <f>CG7</f>
        <v>N/A</v>
      </c>
      <c r="BH7" s="86" t="str">
        <f>CH7</f>
        <v>N/A</v>
      </c>
      <c r="BI7" s="86" t="str">
        <f>CI7</f>
        <v>N/A</v>
      </c>
      <c r="BJ7" s="86" t="str">
        <f>CJ7</f>
        <v>N/A</v>
      </c>
      <c r="BK7" s="86" t="str">
        <f>CK7</f>
        <v>N/A</v>
      </c>
      <c r="BL7" s="384">
        <v>3</v>
      </c>
      <c r="BM7" s="481" t="str">
        <f>CM7</f>
        <v>N/A</v>
      </c>
      <c r="BN7" s="481" t="str">
        <f>CN7</f>
        <v>N/A</v>
      </c>
      <c r="BO7" s="481" t="str">
        <f>CO7</f>
        <v>N/A</v>
      </c>
      <c r="BP7" s="481" t="str">
        <f>CP7</f>
        <v>N/A</v>
      </c>
      <c r="BQ7" s="481" t="str">
        <f>CQ7</f>
        <v>N/A</v>
      </c>
      <c r="BR7" s="303">
        <v>4</v>
      </c>
      <c r="BS7" s="86" t="str">
        <f>CG8</f>
        <v>N/A</v>
      </c>
      <c r="BT7" s="86" t="str">
        <f>CH8</f>
        <v>N/A</v>
      </c>
      <c r="BU7" s="86" t="str">
        <f>CI8</f>
        <v>N/A</v>
      </c>
      <c r="BV7" s="86" t="str">
        <f>CJ8</f>
        <v>N/A</v>
      </c>
      <c r="BW7" s="86" t="str">
        <f>CK8</f>
        <v>N/A</v>
      </c>
      <c r="BX7" s="379">
        <v>4</v>
      </c>
      <c r="BY7" s="86" t="str">
        <f>CM8</f>
        <v>N/A</v>
      </c>
      <c r="BZ7" s="86" t="str">
        <f>CN8</f>
        <v>N/A</v>
      </c>
      <c r="CA7" s="86" t="str">
        <f>CO8</f>
        <v>N/A</v>
      </c>
      <c r="CB7" s="86" t="str">
        <f>CP8</f>
        <v>N/A</v>
      </c>
      <c r="CC7" s="86" t="str">
        <f>CQ8</f>
        <v>N/A</v>
      </c>
      <c r="CD7" s="260"/>
      <c r="CE7" s="236" t="s">
        <v>336</v>
      </c>
      <c r="CF7" s="594">
        <v>2</v>
      </c>
      <c r="CG7" s="408" t="s">
        <v>336</v>
      </c>
      <c r="CH7" s="408" t="s">
        <v>336</v>
      </c>
      <c r="CI7" s="408" t="s">
        <v>336</v>
      </c>
      <c r="CJ7" s="408" t="s">
        <v>336</v>
      </c>
      <c r="CK7" s="408" t="s">
        <v>336</v>
      </c>
      <c r="CL7" s="388">
        <v>3</v>
      </c>
      <c r="CM7" s="408" t="s">
        <v>336</v>
      </c>
      <c r="CN7" s="408" t="s">
        <v>336</v>
      </c>
      <c r="CO7" s="408" t="s">
        <v>336</v>
      </c>
      <c r="CP7" s="408" t="s">
        <v>336</v>
      </c>
      <c r="CQ7" s="408" t="s">
        <v>336</v>
      </c>
      <c r="CR7" s="236"/>
    </row>
    <row r="8" spans="1:96" x14ac:dyDescent="0.3">
      <c r="A8" s="404"/>
      <c r="B8" s="269">
        <v>5</v>
      </c>
      <c r="C8" s="83" t="str">
        <f>AM9</f>
        <v>N/A</v>
      </c>
      <c r="D8" s="83" t="str">
        <f>AN9</f>
        <v>N/A</v>
      </c>
      <c r="E8" s="83" t="str">
        <f>AO9</f>
        <v>N/A</v>
      </c>
      <c r="F8" s="83" t="str">
        <f>AP9</f>
        <v>N/A</v>
      </c>
      <c r="G8" s="83" t="str">
        <f>AQ9</f>
        <v>N/A</v>
      </c>
      <c r="H8" s="385">
        <v>5</v>
      </c>
      <c r="I8" s="164" t="str">
        <f>AS9</f>
        <v>N/A</v>
      </c>
      <c r="J8" s="164" t="str">
        <f>AT9</f>
        <v>N/A</v>
      </c>
      <c r="K8" s="164" t="str">
        <f>AU9</f>
        <v>N/A</v>
      </c>
      <c r="L8" s="164" t="str">
        <f>AV9</f>
        <v>N/A</v>
      </c>
      <c r="M8" s="164" t="str">
        <f>AW9</f>
        <v>N/A</v>
      </c>
      <c r="N8" s="389">
        <v>6</v>
      </c>
      <c r="O8" s="507" t="str">
        <f>AM10</f>
        <v>N/A</v>
      </c>
      <c r="P8" s="83" t="str">
        <f>AN10</f>
        <v>N/A</v>
      </c>
      <c r="Q8" s="83" t="str">
        <f>AO10</f>
        <v>N/A</v>
      </c>
      <c r="R8" s="83" t="str">
        <f>AP10</f>
        <v>N/A</v>
      </c>
      <c r="S8" s="83" t="str">
        <f>AQ10</f>
        <v>N/A</v>
      </c>
      <c r="T8" s="380">
        <v>6</v>
      </c>
      <c r="U8" s="83" t="str">
        <f>AS10</f>
        <v>N/A</v>
      </c>
      <c r="V8" s="83" t="str">
        <f>AT10</f>
        <v>N/A</v>
      </c>
      <c r="W8" s="83" t="str">
        <f>AU10</f>
        <v>N/A</v>
      </c>
      <c r="X8" s="84" t="str">
        <f>AV10</f>
        <v>N/A</v>
      </c>
      <c r="Y8" s="84" t="str">
        <f>AW10</f>
        <v>N/A</v>
      </c>
      <c r="Z8" s="260"/>
      <c r="AA8" s="269">
        <v>5</v>
      </c>
      <c r="AB8" s="257" t="str">
        <f>AZ8</f>
        <v>N/A</v>
      </c>
      <c r="AC8" s="261">
        <f>BA8</f>
        <v>0.91</v>
      </c>
      <c r="AD8" s="503" t="str">
        <f>BB8</f>
        <v>N/A</v>
      </c>
      <c r="AE8" s="503" t="str">
        <f>BC8</f>
        <v>N/A</v>
      </c>
      <c r="AF8" s="270">
        <v>6</v>
      </c>
      <c r="AG8" s="257" t="str">
        <f>AZ9</f>
        <v>N/A</v>
      </c>
      <c r="AH8" s="263">
        <f>BA9</f>
        <v>0.91</v>
      </c>
      <c r="AI8" s="263" t="s">
        <v>336</v>
      </c>
      <c r="AJ8" s="263" t="s">
        <v>336</v>
      </c>
      <c r="AK8" s="236" t="s">
        <v>336</v>
      </c>
      <c r="AL8" s="253">
        <v>4</v>
      </c>
      <c r="AM8" s="254" t="s">
        <v>336</v>
      </c>
      <c r="AN8" s="254" t="s">
        <v>336</v>
      </c>
      <c r="AO8" s="254" t="s">
        <v>336</v>
      </c>
      <c r="AP8" s="254" t="s">
        <v>336</v>
      </c>
      <c r="AQ8" s="254" t="s">
        <v>336</v>
      </c>
      <c r="AR8" s="390">
        <v>4</v>
      </c>
      <c r="AS8" s="254" t="s">
        <v>336</v>
      </c>
      <c r="AT8" s="254" t="s">
        <v>336</v>
      </c>
      <c r="AU8" s="254" t="s">
        <v>336</v>
      </c>
      <c r="AV8" s="254" t="s">
        <v>336</v>
      </c>
      <c r="AW8" s="254" t="s">
        <v>336</v>
      </c>
      <c r="AX8" s="236"/>
      <c r="AY8" s="245">
        <v>5</v>
      </c>
      <c r="AZ8" s="246" t="s">
        <v>336</v>
      </c>
      <c r="BA8" s="246">
        <v>0.91</v>
      </c>
      <c r="BB8" s="246" t="s">
        <v>336</v>
      </c>
      <c r="BC8" s="246" t="s">
        <v>336</v>
      </c>
      <c r="BD8" s="236"/>
      <c r="BE8" s="404"/>
      <c r="BF8" s="269">
        <v>5</v>
      </c>
      <c r="BG8" s="83" t="str">
        <f>CG9</f>
        <v>N/A</v>
      </c>
      <c r="BH8" s="83" t="str">
        <f>CH9</f>
        <v>N/A</v>
      </c>
      <c r="BI8" s="83" t="str">
        <f>CI9</f>
        <v>N/A</v>
      </c>
      <c r="BJ8" s="83" t="str">
        <f>CJ9</f>
        <v>N/A</v>
      </c>
      <c r="BK8" s="83" t="str">
        <f>CK9</f>
        <v>N/A</v>
      </c>
      <c r="BL8" s="385">
        <v>5</v>
      </c>
      <c r="BM8" s="164" t="str">
        <f>CM9</f>
        <v>N/A</v>
      </c>
      <c r="BN8" s="164" t="str">
        <f>CN9</f>
        <v>N/A</v>
      </c>
      <c r="BO8" s="164" t="str">
        <f>CO9</f>
        <v>N/A</v>
      </c>
      <c r="BP8" s="164" t="str">
        <f>CP9</f>
        <v>N/A</v>
      </c>
      <c r="BQ8" s="164" t="str">
        <f>CQ9</f>
        <v>N/A</v>
      </c>
      <c r="BR8" s="389">
        <v>6</v>
      </c>
      <c r="BS8" s="83" t="str">
        <f>CG10</f>
        <v>N/A</v>
      </c>
      <c r="BT8" s="83" t="str">
        <f>CH10</f>
        <v>N/A</v>
      </c>
      <c r="BU8" s="83" t="str">
        <f>CI10</f>
        <v>N/A</v>
      </c>
      <c r="BV8" s="83" t="str">
        <f>CJ10</f>
        <v>N/A</v>
      </c>
      <c r="BW8" s="83" t="str">
        <f>CK10</f>
        <v>N/A</v>
      </c>
      <c r="BX8" s="380">
        <v>6</v>
      </c>
      <c r="BY8" s="83" t="str">
        <f>CM10</f>
        <v>N/A</v>
      </c>
      <c r="BZ8" s="83" t="str">
        <f>CN10</f>
        <v>N/A</v>
      </c>
      <c r="CA8" s="83" t="str">
        <f>CO10</f>
        <v>N/A</v>
      </c>
      <c r="CB8" s="83" t="str">
        <f>CP10</f>
        <v>N/A</v>
      </c>
      <c r="CC8" s="83" t="str">
        <f>CQ10</f>
        <v>N/A</v>
      </c>
      <c r="CD8" s="260"/>
      <c r="CE8" s="236" t="s">
        <v>336</v>
      </c>
      <c r="CF8" s="595">
        <v>3</v>
      </c>
      <c r="CG8" s="409" t="s">
        <v>336</v>
      </c>
      <c r="CH8" s="409" t="s">
        <v>336</v>
      </c>
      <c r="CI8" s="409" t="s">
        <v>336</v>
      </c>
      <c r="CJ8" s="409" t="s">
        <v>336</v>
      </c>
      <c r="CK8" s="409" t="s">
        <v>336</v>
      </c>
      <c r="CL8" s="390">
        <v>4</v>
      </c>
      <c r="CM8" s="409" t="s">
        <v>336</v>
      </c>
      <c r="CN8" s="409" t="s">
        <v>336</v>
      </c>
      <c r="CO8" s="409" t="s">
        <v>336</v>
      </c>
      <c r="CP8" s="409" t="s">
        <v>336</v>
      </c>
      <c r="CQ8" s="409" t="s">
        <v>336</v>
      </c>
      <c r="CR8" s="236"/>
    </row>
    <row r="9" spans="1:96" x14ac:dyDescent="0.3">
      <c r="A9" s="404"/>
      <c r="B9" s="264">
        <v>7</v>
      </c>
      <c r="C9" s="86" t="str">
        <f>AM11</f>
        <v>N/A</v>
      </c>
      <c r="D9" s="86" t="str">
        <f>AN11</f>
        <v>N/A</v>
      </c>
      <c r="E9" s="86" t="str">
        <f>AO11</f>
        <v>N/A</v>
      </c>
      <c r="F9" s="86" t="str">
        <f>AP11</f>
        <v>N/A</v>
      </c>
      <c r="G9" s="86" t="str">
        <f>AQ11</f>
        <v>N/A</v>
      </c>
      <c r="H9" s="384">
        <v>7</v>
      </c>
      <c r="I9" s="481" t="str">
        <f>AS11</f>
        <v>N/A</v>
      </c>
      <c r="J9" s="481" t="str">
        <f>AT11</f>
        <v>N/A</v>
      </c>
      <c r="K9" s="481" t="str">
        <f>AU11</f>
        <v>N/A</v>
      </c>
      <c r="L9" s="481" t="str">
        <f>AV11</f>
        <v>N/A</v>
      </c>
      <c r="M9" s="481" t="str">
        <f>AW11</f>
        <v>N/A</v>
      </c>
      <c r="N9" s="303">
        <v>8</v>
      </c>
      <c r="O9" s="508" t="str">
        <f>AM12</f>
        <v>N/A</v>
      </c>
      <c r="P9" s="86" t="str">
        <f>AN12</f>
        <v>N/A</v>
      </c>
      <c r="Q9" s="86" t="str">
        <f>AO12</f>
        <v>N/A</v>
      </c>
      <c r="R9" s="86" t="str">
        <f>AP12</f>
        <v>N/A</v>
      </c>
      <c r="S9" s="86" t="str">
        <f>AQ12</f>
        <v>N/A</v>
      </c>
      <c r="T9" s="379">
        <v>8</v>
      </c>
      <c r="U9" s="86" t="str">
        <f>AS12</f>
        <v>N/A</v>
      </c>
      <c r="V9" s="86" t="str">
        <f>AT12</f>
        <v>N/A</v>
      </c>
      <c r="W9" s="86" t="str">
        <f>AU12</f>
        <v>N/A</v>
      </c>
      <c r="X9" s="87" t="str">
        <f>AV12</f>
        <v>N/A</v>
      </c>
      <c r="Y9" s="87" t="str">
        <f>AW12</f>
        <v>N/A</v>
      </c>
      <c r="Z9" s="260"/>
      <c r="AA9" s="264">
        <v>7</v>
      </c>
      <c r="AB9" s="265" t="str">
        <f>AZ10</f>
        <v>N/A</v>
      </c>
      <c r="AC9" s="267">
        <f>BA10</f>
        <v>0.91</v>
      </c>
      <c r="AD9" s="504" t="str">
        <f>BB10</f>
        <v>N/A</v>
      </c>
      <c r="AE9" s="504" t="str">
        <f>BC10</f>
        <v>N/A</v>
      </c>
      <c r="AF9" s="266">
        <v>8</v>
      </c>
      <c r="AG9" s="265" t="str">
        <f>AZ11</f>
        <v>N/A</v>
      </c>
      <c r="AH9" s="268">
        <f>BA11</f>
        <v>0.91</v>
      </c>
      <c r="AI9" s="268" t="s">
        <v>336</v>
      </c>
      <c r="AJ9" s="268" t="s">
        <v>336</v>
      </c>
      <c r="AK9" s="236" t="s">
        <v>336</v>
      </c>
      <c r="AL9" s="245">
        <v>5</v>
      </c>
      <c r="AM9" s="246" t="s">
        <v>336</v>
      </c>
      <c r="AN9" s="246" t="s">
        <v>336</v>
      </c>
      <c r="AO9" s="246" t="s">
        <v>336</v>
      </c>
      <c r="AP9" s="246" t="s">
        <v>336</v>
      </c>
      <c r="AQ9" s="246" t="s">
        <v>336</v>
      </c>
      <c r="AR9" s="388">
        <v>5</v>
      </c>
      <c r="AS9" s="246" t="s">
        <v>336</v>
      </c>
      <c r="AT9" s="246" t="s">
        <v>336</v>
      </c>
      <c r="AU9" s="246" t="s">
        <v>336</v>
      </c>
      <c r="AV9" s="246" t="s">
        <v>336</v>
      </c>
      <c r="AW9" s="246" t="s">
        <v>336</v>
      </c>
      <c r="AX9" s="236"/>
      <c r="AY9" s="253">
        <v>6</v>
      </c>
      <c r="AZ9" s="254" t="s">
        <v>336</v>
      </c>
      <c r="BA9" s="254">
        <v>0.91</v>
      </c>
      <c r="BB9" s="254" t="s">
        <v>336</v>
      </c>
      <c r="BC9" s="254" t="s">
        <v>336</v>
      </c>
      <c r="BD9" s="236"/>
      <c r="BE9" s="404"/>
      <c r="BF9" s="264">
        <v>7</v>
      </c>
      <c r="BG9" s="86" t="str">
        <f>CG11</f>
        <v>N/A</v>
      </c>
      <c r="BH9" s="86" t="str">
        <f>CH11</f>
        <v>N/A</v>
      </c>
      <c r="BI9" s="86" t="str">
        <f>CI11</f>
        <v>N/A</v>
      </c>
      <c r="BJ9" s="86" t="str">
        <f>CJ11</f>
        <v>N/A</v>
      </c>
      <c r="BK9" s="86" t="str">
        <f>CK11</f>
        <v>N/A</v>
      </c>
      <c r="BL9" s="384">
        <v>7</v>
      </c>
      <c r="BM9" s="481" t="str">
        <f>CM11</f>
        <v>N/A</v>
      </c>
      <c r="BN9" s="481" t="str">
        <f>CN11</f>
        <v>N/A</v>
      </c>
      <c r="BO9" s="481" t="str">
        <f>CO11</f>
        <v>N/A</v>
      </c>
      <c r="BP9" s="481" t="str">
        <f>CP11</f>
        <v>N/A</v>
      </c>
      <c r="BQ9" s="481" t="str">
        <f>CQ11</f>
        <v>N/A</v>
      </c>
      <c r="BR9" s="303">
        <v>8</v>
      </c>
      <c r="BS9" s="86" t="str">
        <f>CG12</f>
        <v>N/A</v>
      </c>
      <c r="BT9" s="86" t="str">
        <f>CH12</f>
        <v>N/A</v>
      </c>
      <c r="BU9" s="86" t="str">
        <f>CI12</f>
        <v>N/A</v>
      </c>
      <c r="BV9" s="86" t="str">
        <f>CJ12</f>
        <v>N/A</v>
      </c>
      <c r="BW9" s="86" t="str">
        <f>CK12</f>
        <v>N/A</v>
      </c>
      <c r="BX9" s="379">
        <v>8</v>
      </c>
      <c r="BY9" s="86" t="str">
        <f>CM12</f>
        <v>N/A</v>
      </c>
      <c r="BZ9" s="86" t="str">
        <f>CN12</f>
        <v>N/A</v>
      </c>
      <c r="CA9" s="86" t="str">
        <f>CO12</f>
        <v>N/A</v>
      </c>
      <c r="CB9" s="86" t="str">
        <f>CP12</f>
        <v>N/A</v>
      </c>
      <c r="CC9" s="86" t="str">
        <f>CQ12</f>
        <v>N/A</v>
      </c>
      <c r="CD9" s="260"/>
      <c r="CE9" s="236" t="s">
        <v>336</v>
      </c>
      <c r="CF9" s="594">
        <v>4</v>
      </c>
      <c r="CG9" s="408" t="s">
        <v>336</v>
      </c>
      <c r="CH9" s="408" t="s">
        <v>336</v>
      </c>
      <c r="CI9" s="408" t="s">
        <v>336</v>
      </c>
      <c r="CJ9" s="408" t="s">
        <v>336</v>
      </c>
      <c r="CK9" s="408" t="s">
        <v>336</v>
      </c>
      <c r="CL9" s="388">
        <v>5</v>
      </c>
      <c r="CM9" s="408" t="s">
        <v>336</v>
      </c>
      <c r="CN9" s="408" t="s">
        <v>336</v>
      </c>
      <c r="CO9" s="408" t="s">
        <v>336</v>
      </c>
      <c r="CP9" s="408" t="s">
        <v>336</v>
      </c>
      <c r="CQ9" s="408" t="s">
        <v>336</v>
      </c>
      <c r="CR9" s="236"/>
    </row>
    <row r="10" spans="1:96" x14ac:dyDescent="0.3">
      <c r="A10" s="404"/>
      <c r="B10" s="269">
        <v>9</v>
      </c>
      <c r="C10" s="83" t="str">
        <f>AM13</f>
        <v>N/A</v>
      </c>
      <c r="D10" s="83" t="str">
        <f>AN13</f>
        <v>N/A</v>
      </c>
      <c r="E10" s="83" t="str">
        <f>AO13</f>
        <v>N/A</v>
      </c>
      <c r="F10" s="83" t="str">
        <f>AP13</f>
        <v>N/A</v>
      </c>
      <c r="G10" s="83" t="str">
        <f>AQ13</f>
        <v>N/A</v>
      </c>
      <c r="H10" s="385">
        <v>9</v>
      </c>
      <c r="I10" s="164" t="str">
        <f>AS13</f>
        <v>N/A</v>
      </c>
      <c r="J10" s="164" t="str">
        <f>AT13</f>
        <v>N/A</v>
      </c>
      <c r="K10" s="164" t="str">
        <f>AU13</f>
        <v>N/A</v>
      </c>
      <c r="L10" s="164" t="str">
        <f>AV13</f>
        <v>N/A</v>
      </c>
      <c r="M10" s="164" t="str">
        <f>AW13</f>
        <v>N/A</v>
      </c>
      <c r="N10" s="389">
        <v>10</v>
      </c>
      <c r="O10" s="510" t="str">
        <f>AM14</f>
        <v>N/A</v>
      </c>
      <c r="P10" s="83" t="str">
        <f>AN14</f>
        <v>N/A</v>
      </c>
      <c r="Q10" s="83" t="str">
        <f>AO14</f>
        <v>N/A</v>
      </c>
      <c r="R10" s="83" t="str">
        <f>AP14</f>
        <v>N/A</v>
      </c>
      <c r="S10" s="83" t="str">
        <f>AQ14</f>
        <v>N/A</v>
      </c>
      <c r="T10" s="380">
        <v>10</v>
      </c>
      <c r="U10" s="83" t="str">
        <f>AS14</f>
        <v>N/A</v>
      </c>
      <c r="V10" s="83" t="str">
        <f>AT14</f>
        <v>N/A</v>
      </c>
      <c r="W10" s="83" t="str">
        <f>AU14</f>
        <v>N/A</v>
      </c>
      <c r="X10" s="84" t="str">
        <f>AV14</f>
        <v>N/A</v>
      </c>
      <c r="Y10" s="84" t="str">
        <f>AW14</f>
        <v>N/A</v>
      </c>
      <c r="Z10" s="260"/>
      <c r="AA10" s="269">
        <v>9</v>
      </c>
      <c r="AB10" s="257" t="str">
        <f>AZ12</f>
        <v>N/A</v>
      </c>
      <c r="AC10" s="261">
        <f>BA12</f>
        <v>0.91</v>
      </c>
      <c r="AD10" s="262" t="str">
        <f>BB12</f>
        <v>N/A</v>
      </c>
      <c r="AE10" s="262" t="str">
        <f>BC12</f>
        <v>N/A</v>
      </c>
      <c r="AF10" s="270">
        <v>10</v>
      </c>
      <c r="AG10" s="257" t="str">
        <f>AZ13</f>
        <v>N/A</v>
      </c>
      <c r="AH10" s="263">
        <f>BA13</f>
        <v>0.91</v>
      </c>
      <c r="AI10" s="263" t="s">
        <v>336</v>
      </c>
      <c r="AJ10" s="263" t="s">
        <v>336</v>
      </c>
      <c r="AK10" s="236" t="s">
        <v>336</v>
      </c>
      <c r="AL10" s="253">
        <v>6</v>
      </c>
      <c r="AM10" s="254" t="s">
        <v>336</v>
      </c>
      <c r="AN10" s="254" t="s">
        <v>336</v>
      </c>
      <c r="AO10" s="254" t="s">
        <v>336</v>
      </c>
      <c r="AP10" s="254" t="s">
        <v>336</v>
      </c>
      <c r="AQ10" s="254" t="s">
        <v>336</v>
      </c>
      <c r="AR10" s="390">
        <v>6</v>
      </c>
      <c r="AS10" s="254" t="s">
        <v>336</v>
      </c>
      <c r="AT10" s="254" t="s">
        <v>336</v>
      </c>
      <c r="AU10" s="254" t="s">
        <v>336</v>
      </c>
      <c r="AV10" s="254" t="s">
        <v>336</v>
      </c>
      <c r="AW10" s="254" t="s">
        <v>336</v>
      </c>
      <c r="AX10" s="236"/>
      <c r="AY10" s="245">
        <v>7</v>
      </c>
      <c r="AZ10" s="246" t="s">
        <v>336</v>
      </c>
      <c r="BA10" s="246">
        <v>0.91</v>
      </c>
      <c r="BB10" s="246" t="s">
        <v>336</v>
      </c>
      <c r="BC10" s="246" t="s">
        <v>336</v>
      </c>
      <c r="BD10" s="236"/>
      <c r="BE10" s="404"/>
      <c r="BF10" s="269">
        <v>9</v>
      </c>
      <c r="BG10" s="83" t="str">
        <f>CG13</f>
        <v>N/A</v>
      </c>
      <c r="BH10" s="83" t="str">
        <f>CH13</f>
        <v>N/A</v>
      </c>
      <c r="BI10" s="83" t="str">
        <f>CI13</f>
        <v>N/A</v>
      </c>
      <c r="BJ10" s="83" t="str">
        <f>CJ13</f>
        <v>N/A</v>
      </c>
      <c r="BK10" s="83" t="str">
        <f>CK13</f>
        <v>N/A</v>
      </c>
      <c r="BL10" s="385">
        <v>9</v>
      </c>
      <c r="BM10" s="164" t="str">
        <f>CM13</f>
        <v>N/A</v>
      </c>
      <c r="BN10" s="164" t="str">
        <f>CN13</f>
        <v>N/A</v>
      </c>
      <c r="BO10" s="164" t="str">
        <f>CO13</f>
        <v>N/A</v>
      </c>
      <c r="BP10" s="164" t="str">
        <f>CP13</f>
        <v>N/A</v>
      </c>
      <c r="BQ10" s="164" t="str">
        <f>CQ13</f>
        <v>N/A</v>
      </c>
      <c r="BR10" s="389">
        <v>10</v>
      </c>
      <c r="BS10" s="83" t="str">
        <f>CG14</f>
        <v>N/A</v>
      </c>
      <c r="BT10" s="83" t="str">
        <f>CH14</f>
        <v>N/A</v>
      </c>
      <c r="BU10" s="83" t="str">
        <f>CI14</f>
        <v>N/A</v>
      </c>
      <c r="BV10" s="83" t="str">
        <f>CJ14</f>
        <v>N/A</v>
      </c>
      <c r="BW10" s="83" t="str">
        <f>CK14</f>
        <v>N/A</v>
      </c>
      <c r="BX10" s="380">
        <v>10</v>
      </c>
      <c r="BY10" s="83" t="str">
        <f>CM14</f>
        <v>N/A</v>
      </c>
      <c r="BZ10" s="83" t="str">
        <f>CN14</f>
        <v>N/A</v>
      </c>
      <c r="CA10" s="83" t="str">
        <f>CO14</f>
        <v>N/A</v>
      </c>
      <c r="CB10" s="83" t="str">
        <f>CP14</f>
        <v>N/A</v>
      </c>
      <c r="CC10" s="83" t="str">
        <f>CQ14</f>
        <v>N/A</v>
      </c>
      <c r="CD10" s="260"/>
      <c r="CE10" s="236" t="s">
        <v>336</v>
      </c>
      <c r="CF10" s="595">
        <v>5</v>
      </c>
      <c r="CG10" s="409" t="s">
        <v>336</v>
      </c>
      <c r="CH10" s="409" t="s">
        <v>336</v>
      </c>
      <c r="CI10" s="409" t="s">
        <v>336</v>
      </c>
      <c r="CJ10" s="409" t="s">
        <v>336</v>
      </c>
      <c r="CK10" s="409" t="s">
        <v>336</v>
      </c>
      <c r="CL10" s="390">
        <v>6</v>
      </c>
      <c r="CM10" s="409" t="s">
        <v>336</v>
      </c>
      <c r="CN10" s="409" t="s">
        <v>336</v>
      </c>
      <c r="CO10" s="409" t="s">
        <v>336</v>
      </c>
      <c r="CP10" s="409" t="s">
        <v>336</v>
      </c>
      <c r="CQ10" s="409" t="s">
        <v>336</v>
      </c>
      <c r="CR10" s="236"/>
    </row>
    <row r="11" spans="1:96" x14ac:dyDescent="0.3">
      <c r="A11" s="404"/>
      <c r="B11" s="264">
        <v>11</v>
      </c>
      <c r="C11" s="86" t="str">
        <f>AM15</f>
        <v>N/A</v>
      </c>
      <c r="D11" s="86" t="str">
        <f>AN15</f>
        <v>N/A</v>
      </c>
      <c r="E11" s="86" t="str">
        <f>AO15</f>
        <v>N/A</v>
      </c>
      <c r="F11" s="86" t="str">
        <f>AP15</f>
        <v>N/A</v>
      </c>
      <c r="G11" s="86" t="str">
        <f>AQ15</f>
        <v>N/A</v>
      </c>
      <c r="H11" s="384">
        <v>11</v>
      </c>
      <c r="I11" s="481" t="str">
        <f>AS15</f>
        <v>N/A</v>
      </c>
      <c r="J11" s="481" t="str">
        <f>AT15</f>
        <v>N/A</v>
      </c>
      <c r="K11" s="481" t="str">
        <f>AU15</f>
        <v>N/A</v>
      </c>
      <c r="L11" s="481" t="str">
        <f>AV15</f>
        <v>N/A</v>
      </c>
      <c r="M11" s="481" t="str">
        <f>AW15</f>
        <v>N/A</v>
      </c>
      <c r="N11" s="303">
        <v>12</v>
      </c>
      <c r="O11" s="511" t="str">
        <f>AM16</f>
        <v>N/A</v>
      </c>
      <c r="P11" s="86" t="str">
        <f>AN16</f>
        <v>N/A</v>
      </c>
      <c r="Q11" s="86" t="str">
        <f>AO16</f>
        <v>N/A</v>
      </c>
      <c r="R11" s="86" t="str">
        <f>AP16</f>
        <v>N/A</v>
      </c>
      <c r="S11" s="86" t="str">
        <f>AQ16</f>
        <v>N/A</v>
      </c>
      <c r="T11" s="379">
        <v>12</v>
      </c>
      <c r="U11" s="86" t="str">
        <f>AS16</f>
        <v>N/A</v>
      </c>
      <c r="V11" s="86" t="str">
        <f>AT16</f>
        <v>N/A</v>
      </c>
      <c r="W11" s="86" t="str">
        <f>AU16</f>
        <v>N/A</v>
      </c>
      <c r="X11" s="87" t="str">
        <f>AV16</f>
        <v>N/A</v>
      </c>
      <c r="Y11" s="87" t="str">
        <f>AW16</f>
        <v>N/A</v>
      </c>
      <c r="Z11" s="260"/>
      <c r="AA11" s="264">
        <v>11</v>
      </c>
      <c r="AB11" s="265" t="str">
        <f>AZ14</f>
        <v>N/A</v>
      </c>
      <c r="AC11" s="267">
        <f>BA14</f>
        <v>0.91</v>
      </c>
      <c r="AD11" s="255" t="str">
        <f>BB14</f>
        <v>N/A</v>
      </c>
      <c r="AE11" s="255" t="str">
        <f>BC14</f>
        <v>N/A</v>
      </c>
      <c r="AF11" s="266">
        <v>12</v>
      </c>
      <c r="AG11" s="265" t="str">
        <f>AZ15</f>
        <v>N/A</v>
      </c>
      <c r="AH11" s="268">
        <f>BA15</f>
        <v>0.91</v>
      </c>
      <c r="AI11" s="268" t="s">
        <v>336</v>
      </c>
      <c r="AJ11" s="268" t="s">
        <v>336</v>
      </c>
      <c r="AK11" s="236" t="s">
        <v>336</v>
      </c>
      <c r="AL11" s="245">
        <v>7</v>
      </c>
      <c r="AM11" s="246" t="s">
        <v>336</v>
      </c>
      <c r="AN11" s="246" t="s">
        <v>336</v>
      </c>
      <c r="AO11" s="246" t="s">
        <v>336</v>
      </c>
      <c r="AP11" s="246" t="s">
        <v>336</v>
      </c>
      <c r="AQ11" s="246" t="s">
        <v>336</v>
      </c>
      <c r="AR11" s="388">
        <v>7</v>
      </c>
      <c r="AS11" s="246" t="s">
        <v>336</v>
      </c>
      <c r="AT11" s="246" t="s">
        <v>336</v>
      </c>
      <c r="AU11" s="246" t="s">
        <v>336</v>
      </c>
      <c r="AV11" s="246" t="s">
        <v>336</v>
      </c>
      <c r="AW11" s="246" t="s">
        <v>336</v>
      </c>
      <c r="AX11" s="236"/>
      <c r="AY11" s="253">
        <v>8</v>
      </c>
      <c r="AZ11" s="254" t="s">
        <v>336</v>
      </c>
      <c r="BA11" s="254">
        <v>0.91</v>
      </c>
      <c r="BB11" s="254" t="s">
        <v>336</v>
      </c>
      <c r="BC11" s="254" t="s">
        <v>336</v>
      </c>
      <c r="BD11" s="236"/>
      <c r="BE11" s="404"/>
      <c r="BF11" s="264">
        <v>11</v>
      </c>
      <c r="BG11" s="86" t="str">
        <f>CG15</f>
        <v>N/A</v>
      </c>
      <c r="BH11" s="86" t="str">
        <f>CH15</f>
        <v>N/A</v>
      </c>
      <c r="BI11" s="86" t="str">
        <f>CI15</f>
        <v>N/A</v>
      </c>
      <c r="BJ11" s="86" t="str">
        <f>CJ15</f>
        <v>N/A</v>
      </c>
      <c r="BK11" s="86" t="str">
        <f>CK15</f>
        <v>N/A</v>
      </c>
      <c r="BL11" s="384">
        <v>11</v>
      </c>
      <c r="BM11" s="481" t="str">
        <f>CM15</f>
        <v>N/A</v>
      </c>
      <c r="BN11" s="481" t="str">
        <f>CN15</f>
        <v>N/A</v>
      </c>
      <c r="BO11" s="481" t="str">
        <f>CO15</f>
        <v>N/A</v>
      </c>
      <c r="BP11" s="481" t="str">
        <f>CP15</f>
        <v>N/A</v>
      </c>
      <c r="BQ11" s="481" t="str">
        <f>CQ15</f>
        <v>N/A</v>
      </c>
      <c r="BR11" s="303">
        <v>12</v>
      </c>
      <c r="BS11" s="86" t="str">
        <f>CG16</f>
        <v>N/A</v>
      </c>
      <c r="BT11" s="86" t="str">
        <f>CH16</f>
        <v>N/A</v>
      </c>
      <c r="BU11" s="86" t="str">
        <f>CI16</f>
        <v>N/A</v>
      </c>
      <c r="BV11" s="86" t="str">
        <f>CJ16</f>
        <v>N/A</v>
      </c>
      <c r="BW11" s="86" t="str">
        <f>CK16</f>
        <v>N/A</v>
      </c>
      <c r="BX11" s="379">
        <v>12</v>
      </c>
      <c r="BY11" s="86" t="str">
        <f>CM16</f>
        <v>N/A</v>
      </c>
      <c r="BZ11" s="86" t="str">
        <f>CN16</f>
        <v>N/A</v>
      </c>
      <c r="CA11" s="86" t="str">
        <f>CO16</f>
        <v>N/A</v>
      </c>
      <c r="CB11" s="86" t="str">
        <f>CP16</f>
        <v>N/A</v>
      </c>
      <c r="CC11" s="86" t="str">
        <f>CQ16</f>
        <v>N/A</v>
      </c>
      <c r="CD11" s="260"/>
      <c r="CE11" s="236" t="s">
        <v>336</v>
      </c>
      <c r="CF11" s="594">
        <v>6</v>
      </c>
      <c r="CG11" s="408" t="s">
        <v>336</v>
      </c>
      <c r="CH11" s="408" t="s">
        <v>336</v>
      </c>
      <c r="CI11" s="408" t="s">
        <v>336</v>
      </c>
      <c r="CJ11" s="408" t="s">
        <v>336</v>
      </c>
      <c r="CK11" s="408" t="s">
        <v>336</v>
      </c>
      <c r="CL11" s="388">
        <v>7</v>
      </c>
      <c r="CM11" s="408" t="s">
        <v>336</v>
      </c>
      <c r="CN11" s="408" t="s">
        <v>336</v>
      </c>
      <c r="CO11" s="408" t="s">
        <v>336</v>
      </c>
      <c r="CP11" s="408" t="s">
        <v>336</v>
      </c>
      <c r="CQ11" s="408" t="s">
        <v>336</v>
      </c>
      <c r="CR11" s="236"/>
    </row>
    <row r="12" spans="1:96" x14ac:dyDescent="0.3">
      <c r="A12" s="404"/>
      <c r="B12" s="269">
        <v>13</v>
      </c>
      <c r="C12" s="83" t="str">
        <f>AM17</f>
        <v>N/A</v>
      </c>
      <c r="D12" s="83" t="str">
        <f>AN17</f>
        <v>N/A</v>
      </c>
      <c r="E12" s="83" t="str">
        <f>AO17</f>
        <v>N/A</v>
      </c>
      <c r="F12" s="83" t="str">
        <f>AP17</f>
        <v>N/A</v>
      </c>
      <c r="G12" s="83" t="str">
        <f>AQ17</f>
        <v>N/A</v>
      </c>
      <c r="H12" s="385">
        <v>13</v>
      </c>
      <c r="I12" s="164" t="str">
        <f>AS17</f>
        <v>N/A</v>
      </c>
      <c r="J12" s="164" t="str">
        <f>AT17</f>
        <v>N/A</v>
      </c>
      <c r="K12" s="164" t="str">
        <f>AU17</f>
        <v>N/A</v>
      </c>
      <c r="L12" s="164" t="str">
        <f>AV17</f>
        <v>N/A</v>
      </c>
      <c r="M12" s="164" t="str">
        <f>AW17</f>
        <v>N/A</v>
      </c>
      <c r="N12" s="389">
        <v>14</v>
      </c>
      <c r="O12" s="83" t="str">
        <f>AM18</f>
        <v>N/A</v>
      </c>
      <c r="P12" s="83" t="str">
        <f>AN18</f>
        <v>N/A</v>
      </c>
      <c r="Q12" s="83" t="str">
        <f>AO18</f>
        <v>N/A</v>
      </c>
      <c r="R12" s="83" t="str">
        <f>AP18</f>
        <v>N/A</v>
      </c>
      <c r="S12" s="83" t="str">
        <f>AQ18</f>
        <v>N/A</v>
      </c>
      <c r="T12" s="380">
        <v>14</v>
      </c>
      <c r="U12" s="83" t="str">
        <f>AS18</f>
        <v>N/A</v>
      </c>
      <c r="V12" s="83" t="str">
        <f>AT18</f>
        <v>N/A</v>
      </c>
      <c r="W12" s="83" t="str">
        <f>AU18</f>
        <v>N/A</v>
      </c>
      <c r="X12" s="84" t="str">
        <f>AV18</f>
        <v>N/A</v>
      </c>
      <c r="Y12" s="84" t="str">
        <f>AW18</f>
        <v>N/A</v>
      </c>
      <c r="Z12" s="260"/>
      <c r="AA12" s="269">
        <v>13</v>
      </c>
      <c r="AB12" s="257" t="str">
        <f>AZ16</f>
        <v>N/A</v>
      </c>
      <c r="AC12" s="261">
        <f>BA16</f>
        <v>0.91</v>
      </c>
      <c r="AD12" s="262" t="str">
        <f>BB16</f>
        <v>N/A</v>
      </c>
      <c r="AE12" s="262" t="str">
        <f>BC16</f>
        <v>N/A</v>
      </c>
      <c r="AF12" s="270">
        <v>14</v>
      </c>
      <c r="AG12" s="257" t="str">
        <f>AZ17</f>
        <v>N/A</v>
      </c>
      <c r="AH12" s="263">
        <f>BA17</f>
        <v>0.91</v>
      </c>
      <c r="AI12" s="263" t="s">
        <v>336</v>
      </c>
      <c r="AJ12" s="263" t="s">
        <v>336</v>
      </c>
      <c r="AK12" s="236" t="s">
        <v>336</v>
      </c>
      <c r="AL12" s="253">
        <v>8</v>
      </c>
      <c r="AM12" s="254" t="s">
        <v>336</v>
      </c>
      <c r="AN12" s="254" t="s">
        <v>336</v>
      </c>
      <c r="AO12" s="254" t="s">
        <v>336</v>
      </c>
      <c r="AP12" s="254" t="s">
        <v>336</v>
      </c>
      <c r="AQ12" s="254" t="s">
        <v>336</v>
      </c>
      <c r="AR12" s="390">
        <v>8</v>
      </c>
      <c r="AS12" s="254" t="s">
        <v>336</v>
      </c>
      <c r="AT12" s="254" t="s">
        <v>336</v>
      </c>
      <c r="AU12" s="254" t="s">
        <v>336</v>
      </c>
      <c r="AV12" s="254" t="s">
        <v>336</v>
      </c>
      <c r="AW12" s="254" t="s">
        <v>336</v>
      </c>
      <c r="AX12" s="236"/>
      <c r="AY12" s="245">
        <v>9</v>
      </c>
      <c r="AZ12" s="246" t="s">
        <v>336</v>
      </c>
      <c r="BA12" s="246">
        <v>0.91</v>
      </c>
      <c r="BB12" s="246" t="s">
        <v>336</v>
      </c>
      <c r="BC12" s="246" t="s">
        <v>336</v>
      </c>
      <c r="BD12" s="236"/>
      <c r="BE12" s="404"/>
      <c r="BF12" s="269">
        <v>13</v>
      </c>
      <c r="BG12" s="83" t="str">
        <f>CG17</f>
        <v>N/A</v>
      </c>
      <c r="BH12" s="83" t="str">
        <f>CH17</f>
        <v>N/A</v>
      </c>
      <c r="BI12" s="83" t="str">
        <f>CI17</f>
        <v>N/A</v>
      </c>
      <c r="BJ12" s="83" t="str">
        <f>CJ17</f>
        <v>N/A</v>
      </c>
      <c r="BK12" s="83" t="str">
        <f>CK17</f>
        <v>N/A</v>
      </c>
      <c r="BL12" s="385">
        <v>13</v>
      </c>
      <c r="BM12" s="164" t="str">
        <f>CM17</f>
        <v>N/A</v>
      </c>
      <c r="BN12" s="164" t="str">
        <f>CN17</f>
        <v>N/A</v>
      </c>
      <c r="BO12" s="164" t="str">
        <f>CO17</f>
        <v>N/A</v>
      </c>
      <c r="BP12" s="164" t="str">
        <f>CP17</f>
        <v>N/A</v>
      </c>
      <c r="BQ12" s="164" t="str">
        <f>CQ17</f>
        <v>N/A</v>
      </c>
      <c r="BR12" s="389">
        <v>14</v>
      </c>
      <c r="BS12" s="83" t="str">
        <f>CG18</f>
        <v>N/A</v>
      </c>
      <c r="BT12" s="83" t="str">
        <f>CH18</f>
        <v>N/A</v>
      </c>
      <c r="BU12" s="83" t="str">
        <f>CI18</f>
        <v>N/A</v>
      </c>
      <c r="BV12" s="83" t="str">
        <f>CJ18</f>
        <v>N/A</v>
      </c>
      <c r="BW12" s="83" t="str">
        <f>CK18</f>
        <v>N/A</v>
      </c>
      <c r="BX12" s="380">
        <v>14</v>
      </c>
      <c r="BY12" s="83" t="str">
        <f>CM18</f>
        <v>N/A</v>
      </c>
      <c r="BZ12" s="83" t="str">
        <f>CN18</f>
        <v>N/A</v>
      </c>
      <c r="CA12" s="83" t="str">
        <f>CO18</f>
        <v>N/A</v>
      </c>
      <c r="CB12" s="83" t="str">
        <f>CP18</f>
        <v>N/A</v>
      </c>
      <c r="CC12" s="83" t="str">
        <f>CQ18</f>
        <v>N/A</v>
      </c>
      <c r="CD12" s="260"/>
      <c r="CE12" s="236" t="s">
        <v>336</v>
      </c>
      <c r="CF12" s="595">
        <v>7</v>
      </c>
      <c r="CG12" s="409" t="s">
        <v>336</v>
      </c>
      <c r="CH12" s="409" t="s">
        <v>336</v>
      </c>
      <c r="CI12" s="409" t="s">
        <v>336</v>
      </c>
      <c r="CJ12" s="409" t="s">
        <v>336</v>
      </c>
      <c r="CK12" s="409" t="s">
        <v>336</v>
      </c>
      <c r="CL12" s="390">
        <v>8</v>
      </c>
      <c r="CM12" s="409" t="s">
        <v>336</v>
      </c>
      <c r="CN12" s="409" t="s">
        <v>336</v>
      </c>
      <c r="CO12" s="409" t="s">
        <v>336</v>
      </c>
      <c r="CP12" s="409" t="s">
        <v>336</v>
      </c>
      <c r="CQ12" s="409" t="s">
        <v>336</v>
      </c>
      <c r="CR12" s="236"/>
    </row>
    <row r="13" spans="1:96" x14ac:dyDescent="0.3">
      <c r="A13" s="404"/>
      <c r="B13" s="264">
        <v>15</v>
      </c>
      <c r="C13" s="86" t="str">
        <f>AM19</f>
        <v>N/A</v>
      </c>
      <c r="D13" s="86" t="str">
        <f>AN19</f>
        <v>N/A</v>
      </c>
      <c r="E13" s="86" t="str">
        <f>AO19</f>
        <v>N/A</v>
      </c>
      <c r="F13" s="86" t="str">
        <f>AP19</f>
        <v>N/A</v>
      </c>
      <c r="G13" s="86" t="str">
        <f>AQ19</f>
        <v>N/A</v>
      </c>
      <c r="H13" s="384">
        <v>15</v>
      </c>
      <c r="I13" s="481" t="str">
        <f>AS19</f>
        <v>N/A</v>
      </c>
      <c r="J13" s="481" t="str">
        <f>AT19</f>
        <v>N/A</v>
      </c>
      <c r="K13" s="481" t="str">
        <f>AU19</f>
        <v>N/A</v>
      </c>
      <c r="L13" s="481" t="str">
        <f>AV19</f>
        <v>N/A</v>
      </c>
      <c r="M13" s="481" t="str">
        <f>AW19</f>
        <v>N/A</v>
      </c>
      <c r="N13" s="303">
        <v>16</v>
      </c>
      <c r="O13" s="86" t="str">
        <f>AM20</f>
        <v>N/A</v>
      </c>
      <c r="P13" s="86" t="str">
        <f>AN20</f>
        <v>N/A</v>
      </c>
      <c r="Q13" s="86" t="str">
        <f>AO20</f>
        <v>N/A</v>
      </c>
      <c r="R13" s="86" t="str">
        <f>AP20</f>
        <v>N/A</v>
      </c>
      <c r="S13" s="86" t="str">
        <f>AQ20</f>
        <v>N/A</v>
      </c>
      <c r="T13" s="379">
        <v>16</v>
      </c>
      <c r="U13" s="86" t="str">
        <f>AS20</f>
        <v>N/A</v>
      </c>
      <c r="V13" s="86" t="str">
        <f>AT20</f>
        <v>N/A</v>
      </c>
      <c r="W13" s="86" t="str">
        <f>AU20</f>
        <v>N/A</v>
      </c>
      <c r="X13" s="87" t="str">
        <f>AV20</f>
        <v>N/A</v>
      </c>
      <c r="Y13" s="87" t="str">
        <f>AW20</f>
        <v>N/A</v>
      </c>
      <c r="Z13" s="260"/>
      <c r="AA13" s="264">
        <v>15</v>
      </c>
      <c r="AB13" s="265" t="str">
        <f>AZ18</f>
        <v>N/A</v>
      </c>
      <c r="AC13" s="267">
        <f>BA18</f>
        <v>0.91</v>
      </c>
      <c r="AD13" s="255" t="str">
        <f>BB18</f>
        <v>N/A</v>
      </c>
      <c r="AE13" s="255" t="str">
        <f>BC18</f>
        <v>N/A</v>
      </c>
      <c r="AF13" s="266">
        <v>16</v>
      </c>
      <c r="AG13" s="265" t="str">
        <f>AZ19</f>
        <v>N/A</v>
      </c>
      <c r="AH13" s="268">
        <f>BA19</f>
        <v>0.91</v>
      </c>
      <c r="AI13" s="268" t="s">
        <v>336</v>
      </c>
      <c r="AJ13" s="268" t="s">
        <v>336</v>
      </c>
      <c r="AK13" s="236" t="s">
        <v>336</v>
      </c>
      <c r="AL13" s="245">
        <v>9</v>
      </c>
      <c r="AM13" s="246" t="s">
        <v>336</v>
      </c>
      <c r="AN13" s="246" t="s">
        <v>336</v>
      </c>
      <c r="AO13" s="246" t="s">
        <v>336</v>
      </c>
      <c r="AP13" s="246" t="s">
        <v>336</v>
      </c>
      <c r="AQ13" s="246" t="s">
        <v>336</v>
      </c>
      <c r="AR13" s="388">
        <v>9</v>
      </c>
      <c r="AS13" s="246" t="s">
        <v>336</v>
      </c>
      <c r="AT13" s="246" t="s">
        <v>336</v>
      </c>
      <c r="AU13" s="246" t="s">
        <v>336</v>
      </c>
      <c r="AV13" s="246" t="s">
        <v>336</v>
      </c>
      <c r="AW13" s="246" t="s">
        <v>336</v>
      </c>
      <c r="AX13" s="236"/>
      <c r="AY13" s="253">
        <v>10</v>
      </c>
      <c r="AZ13" s="254" t="s">
        <v>336</v>
      </c>
      <c r="BA13" s="254">
        <v>0.91</v>
      </c>
      <c r="BB13" s="254" t="s">
        <v>336</v>
      </c>
      <c r="BC13" s="254" t="s">
        <v>336</v>
      </c>
      <c r="BD13" s="236"/>
      <c r="BE13" s="404"/>
      <c r="BF13" s="264">
        <v>15</v>
      </c>
      <c r="BG13" s="86" t="str">
        <f>CG19</f>
        <v>N/A</v>
      </c>
      <c r="BH13" s="86" t="str">
        <f>CH19</f>
        <v>N/A</v>
      </c>
      <c r="BI13" s="86" t="str">
        <f>CI19</f>
        <v>N/A</v>
      </c>
      <c r="BJ13" s="86" t="str">
        <f>CJ19</f>
        <v>N/A</v>
      </c>
      <c r="BK13" s="86" t="str">
        <f>CK19</f>
        <v>N/A</v>
      </c>
      <c r="BL13" s="384">
        <v>15</v>
      </c>
      <c r="BM13" s="481" t="str">
        <f>CM19</f>
        <v>N/A</v>
      </c>
      <c r="BN13" s="481" t="str">
        <f>CN19</f>
        <v>N/A</v>
      </c>
      <c r="BO13" s="481" t="str">
        <f>CO19</f>
        <v>N/A</v>
      </c>
      <c r="BP13" s="481" t="str">
        <f>CP19</f>
        <v>N/A</v>
      </c>
      <c r="BQ13" s="481" t="str">
        <f>CQ19</f>
        <v>N/A</v>
      </c>
      <c r="BR13" s="303">
        <v>16</v>
      </c>
      <c r="BS13" s="86" t="str">
        <f>CG20</f>
        <v>N/A</v>
      </c>
      <c r="BT13" s="86" t="str">
        <f>CH20</f>
        <v>N/A</v>
      </c>
      <c r="BU13" s="86" t="str">
        <f>CI20</f>
        <v>N/A</v>
      </c>
      <c r="BV13" s="86" t="str">
        <f>CJ20</f>
        <v>N/A</v>
      </c>
      <c r="BW13" s="86" t="str">
        <f>CK20</f>
        <v>N/A</v>
      </c>
      <c r="BX13" s="379">
        <v>16</v>
      </c>
      <c r="BY13" s="86" t="str">
        <f>CM20</f>
        <v>N/A</v>
      </c>
      <c r="BZ13" s="86" t="str">
        <f>CN20</f>
        <v>N/A</v>
      </c>
      <c r="CA13" s="86" t="str">
        <f>CO20</f>
        <v>N/A</v>
      </c>
      <c r="CB13" s="86" t="str">
        <f>CP20</f>
        <v>N/A</v>
      </c>
      <c r="CC13" s="86" t="str">
        <f>CQ20</f>
        <v>N/A</v>
      </c>
      <c r="CD13" s="260"/>
      <c r="CE13" s="236" t="s">
        <v>336</v>
      </c>
      <c r="CF13" s="594">
        <v>8</v>
      </c>
      <c r="CG13" s="408" t="s">
        <v>336</v>
      </c>
      <c r="CH13" s="408" t="s">
        <v>336</v>
      </c>
      <c r="CI13" s="408" t="s">
        <v>336</v>
      </c>
      <c r="CJ13" s="408" t="s">
        <v>336</v>
      </c>
      <c r="CK13" s="408" t="s">
        <v>336</v>
      </c>
      <c r="CL13" s="388">
        <v>9</v>
      </c>
      <c r="CM13" s="408" t="s">
        <v>336</v>
      </c>
      <c r="CN13" s="408" t="s">
        <v>336</v>
      </c>
      <c r="CO13" s="408" t="s">
        <v>336</v>
      </c>
      <c r="CP13" s="408" t="s">
        <v>336</v>
      </c>
      <c r="CQ13" s="408" t="s">
        <v>336</v>
      </c>
      <c r="CR13" s="236"/>
    </row>
    <row r="14" spans="1:96" x14ac:dyDescent="0.3">
      <c r="A14" s="404"/>
      <c r="B14" s="269">
        <v>17</v>
      </c>
      <c r="C14" s="83" t="str">
        <f>AM21</f>
        <v>N/A</v>
      </c>
      <c r="D14" s="83" t="str">
        <f>AN21</f>
        <v>N/A</v>
      </c>
      <c r="E14" s="83" t="str">
        <f>AO21</f>
        <v>N/A</v>
      </c>
      <c r="F14" s="83" t="str">
        <f>AP21</f>
        <v>N/A</v>
      </c>
      <c r="G14" s="83" t="str">
        <f>AQ21</f>
        <v>N/A</v>
      </c>
      <c r="H14" s="385">
        <v>17</v>
      </c>
      <c r="I14" s="164" t="str">
        <f>AS21</f>
        <v>N/A</v>
      </c>
      <c r="J14" s="164" t="str">
        <f>AT21</f>
        <v>N/A</v>
      </c>
      <c r="K14" s="164" t="str">
        <f>AU21</f>
        <v>N/A</v>
      </c>
      <c r="L14" s="164" t="str">
        <f>AV21</f>
        <v>N/A</v>
      </c>
      <c r="M14" s="164" t="str">
        <f>AW21</f>
        <v>N/A</v>
      </c>
      <c r="N14" s="389">
        <v>18</v>
      </c>
      <c r="O14" s="83" t="str">
        <f>AM22</f>
        <v>N/A</v>
      </c>
      <c r="P14" s="83" t="str">
        <f>AN22</f>
        <v>N/A</v>
      </c>
      <c r="Q14" s="83" t="str">
        <f>AO22</f>
        <v>N/A</v>
      </c>
      <c r="R14" s="83" t="str">
        <f>AP22</f>
        <v>N/A</v>
      </c>
      <c r="S14" s="83" t="str">
        <f>AQ22</f>
        <v>N/A</v>
      </c>
      <c r="T14" s="380">
        <v>18</v>
      </c>
      <c r="U14" s="83" t="str">
        <f>AS22</f>
        <v>N/A</v>
      </c>
      <c r="V14" s="83" t="str">
        <f>AT22</f>
        <v>N/A</v>
      </c>
      <c r="W14" s="83" t="str">
        <f>AU22</f>
        <v>N/A</v>
      </c>
      <c r="X14" s="84" t="str">
        <f>AV22</f>
        <v>N/A</v>
      </c>
      <c r="Y14" s="84" t="str">
        <f>AW22</f>
        <v>N/A</v>
      </c>
      <c r="Z14" s="260"/>
      <c r="AA14" s="269">
        <v>17</v>
      </c>
      <c r="AB14" s="257" t="str">
        <f>AZ20</f>
        <v>N/A</v>
      </c>
      <c r="AC14" s="261">
        <f>BA20</f>
        <v>0.91</v>
      </c>
      <c r="AD14" s="262" t="str">
        <f>BB20</f>
        <v>N/A</v>
      </c>
      <c r="AE14" s="262" t="str">
        <f>BC20</f>
        <v>N/A</v>
      </c>
      <c r="AF14" s="270">
        <v>18</v>
      </c>
      <c r="AG14" s="257" t="str">
        <f>AZ21</f>
        <v>N/A</v>
      </c>
      <c r="AH14" s="263">
        <f>BA21</f>
        <v>0.91</v>
      </c>
      <c r="AI14" s="263" t="s">
        <v>336</v>
      </c>
      <c r="AJ14" s="263" t="s">
        <v>336</v>
      </c>
      <c r="AK14" s="236" t="s">
        <v>336</v>
      </c>
      <c r="AL14" s="253">
        <v>10</v>
      </c>
      <c r="AM14" s="254" t="s">
        <v>336</v>
      </c>
      <c r="AN14" s="254" t="s">
        <v>336</v>
      </c>
      <c r="AO14" s="254" t="s">
        <v>336</v>
      </c>
      <c r="AP14" s="254" t="s">
        <v>336</v>
      </c>
      <c r="AQ14" s="254" t="s">
        <v>336</v>
      </c>
      <c r="AR14" s="390">
        <v>10</v>
      </c>
      <c r="AS14" s="254" t="s">
        <v>336</v>
      </c>
      <c r="AT14" s="254" t="s">
        <v>336</v>
      </c>
      <c r="AU14" s="254" t="s">
        <v>336</v>
      </c>
      <c r="AV14" s="254" t="s">
        <v>336</v>
      </c>
      <c r="AW14" s="254" t="s">
        <v>336</v>
      </c>
      <c r="AX14" s="236"/>
      <c r="AY14" s="245">
        <v>11</v>
      </c>
      <c r="AZ14" s="246" t="s">
        <v>336</v>
      </c>
      <c r="BA14" s="246">
        <v>0.91</v>
      </c>
      <c r="BB14" s="246" t="s">
        <v>336</v>
      </c>
      <c r="BC14" s="246" t="s">
        <v>336</v>
      </c>
      <c r="BD14" s="236"/>
      <c r="BE14" s="404"/>
      <c r="BF14" s="269">
        <v>17</v>
      </c>
      <c r="BG14" s="83" t="str">
        <f>CG21</f>
        <v>N/A</v>
      </c>
      <c r="BH14" s="83" t="str">
        <f>CH21</f>
        <v>N/A</v>
      </c>
      <c r="BI14" s="83" t="str">
        <f>CI21</f>
        <v>N/A</v>
      </c>
      <c r="BJ14" s="83" t="str">
        <f>CJ21</f>
        <v>N/A</v>
      </c>
      <c r="BK14" s="83" t="str">
        <f>CK21</f>
        <v>N/A</v>
      </c>
      <c r="BL14" s="385">
        <v>17</v>
      </c>
      <c r="BM14" s="164" t="str">
        <f>CM21</f>
        <v>N/A</v>
      </c>
      <c r="BN14" s="164" t="str">
        <f>CN21</f>
        <v>N/A</v>
      </c>
      <c r="BO14" s="164" t="str">
        <f>CO21</f>
        <v>N/A</v>
      </c>
      <c r="BP14" s="164" t="str">
        <f>CP21</f>
        <v>N/A</v>
      </c>
      <c r="BQ14" s="164" t="str">
        <f>CQ21</f>
        <v>N/A</v>
      </c>
      <c r="BR14" s="389">
        <v>18</v>
      </c>
      <c r="BS14" s="83" t="str">
        <f>CG22</f>
        <v>N/A</v>
      </c>
      <c r="BT14" s="83" t="str">
        <f>CH22</f>
        <v>N/A</v>
      </c>
      <c r="BU14" s="83" t="str">
        <f>CI22</f>
        <v>N/A</v>
      </c>
      <c r="BV14" s="83" t="str">
        <f>CJ22</f>
        <v>N/A</v>
      </c>
      <c r="BW14" s="83" t="str">
        <f>CK22</f>
        <v>N/A</v>
      </c>
      <c r="BX14" s="380">
        <v>18</v>
      </c>
      <c r="BY14" s="83" t="str">
        <f>CM22</f>
        <v>N/A</v>
      </c>
      <c r="BZ14" s="83" t="str">
        <f>CN22</f>
        <v>N/A</v>
      </c>
      <c r="CA14" s="83" t="str">
        <f>CO22</f>
        <v>N/A</v>
      </c>
      <c r="CB14" s="83" t="str">
        <f>CP22</f>
        <v>N/A</v>
      </c>
      <c r="CC14" s="83" t="str">
        <f>CQ22</f>
        <v>N/A</v>
      </c>
      <c r="CD14" s="260"/>
      <c r="CE14" s="236" t="s">
        <v>336</v>
      </c>
      <c r="CF14" s="595">
        <v>9</v>
      </c>
      <c r="CG14" s="409" t="s">
        <v>336</v>
      </c>
      <c r="CH14" s="409" t="s">
        <v>336</v>
      </c>
      <c r="CI14" s="409" t="s">
        <v>336</v>
      </c>
      <c r="CJ14" s="409" t="s">
        <v>336</v>
      </c>
      <c r="CK14" s="409" t="s">
        <v>336</v>
      </c>
      <c r="CL14" s="390">
        <v>10</v>
      </c>
      <c r="CM14" s="409" t="s">
        <v>336</v>
      </c>
      <c r="CN14" s="409" t="s">
        <v>336</v>
      </c>
      <c r="CO14" s="409" t="s">
        <v>336</v>
      </c>
      <c r="CP14" s="409" t="s">
        <v>336</v>
      </c>
      <c r="CQ14" s="409" t="s">
        <v>336</v>
      </c>
      <c r="CR14" s="236"/>
    </row>
    <row r="15" spans="1:96" x14ac:dyDescent="0.3">
      <c r="A15" s="404"/>
      <c r="B15" s="264">
        <v>19</v>
      </c>
      <c r="C15" s="86" t="str">
        <f>AM23</f>
        <v>N/A</v>
      </c>
      <c r="D15" s="86" t="str">
        <f>AN23</f>
        <v>N/A</v>
      </c>
      <c r="E15" s="86" t="str">
        <f>AO23</f>
        <v>N/A</v>
      </c>
      <c r="F15" s="86" t="str">
        <f>AP23</f>
        <v>N/A</v>
      </c>
      <c r="G15" s="86" t="str">
        <f>AQ23</f>
        <v>N/A</v>
      </c>
      <c r="H15" s="384">
        <v>19</v>
      </c>
      <c r="I15" s="481" t="str">
        <f>AS23</f>
        <v>N/A</v>
      </c>
      <c r="J15" s="481" t="str">
        <f>AT23</f>
        <v>N/A</v>
      </c>
      <c r="K15" s="481" t="str">
        <f>AU23</f>
        <v>N/A</v>
      </c>
      <c r="L15" s="481" t="str">
        <f>AV23</f>
        <v>N/A</v>
      </c>
      <c r="M15" s="481" t="str">
        <f>AW23</f>
        <v>N/A</v>
      </c>
      <c r="N15" s="303">
        <v>20</v>
      </c>
      <c r="O15" s="86" t="str">
        <f>AM24</f>
        <v>N/A</v>
      </c>
      <c r="P15" s="86" t="str">
        <f>AN24</f>
        <v>N/A</v>
      </c>
      <c r="Q15" s="86" t="str">
        <f>AO24</f>
        <v>N/A</v>
      </c>
      <c r="R15" s="86" t="str">
        <f>AP24</f>
        <v>N/A</v>
      </c>
      <c r="S15" s="86" t="str">
        <f>AQ24</f>
        <v>N/A</v>
      </c>
      <c r="T15" s="379">
        <v>20</v>
      </c>
      <c r="U15" s="86" t="str">
        <f>AS24</f>
        <v>N/A</v>
      </c>
      <c r="V15" s="86" t="str">
        <f>AT24</f>
        <v>N/A</v>
      </c>
      <c r="W15" s="86" t="str">
        <f>AU24</f>
        <v>N/A</v>
      </c>
      <c r="X15" s="87" t="str">
        <f>AV24</f>
        <v>N/A</v>
      </c>
      <c r="Y15" s="87" t="str">
        <f>AW24</f>
        <v>N/A</v>
      </c>
      <c r="Z15" s="260"/>
      <c r="AA15" s="264">
        <v>19</v>
      </c>
      <c r="AB15" s="265" t="str">
        <f>AZ22</f>
        <v>N/A</v>
      </c>
      <c r="AC15" s="267">
        <f>BA22</f>
        <v>0.91</v>
      </c>
      <c r="AD15" s="255" t="str">
        <f>BB22</f>
        <v>N/A</v>
      </c>
      <c r="AE15" s="255" t="str">
        <f>BC22</f>
        <v>N/A</v>
      </c>
      <c r="AF15" s="266">
        <v>20</v>
      </c>
      <c r="AG15" s="265" t="str">
        <f>AZ23</f>
        <v>N/A</v>
      </c>
      <c r="AH15" s="268">
        <f>BA23</f>
        <v>0.91</v>
      </c>
      <c r="AI15" s="268" t="s">
        <v>336</v>
      </c>
      <c r="AJ15" s="268" t="s">
        <v>336</v>
      </c>
      <c r="AK15" s="236" t="s">
        <v>336</v>
      </c>
      <c r="AL15" s="245">
        <v>11</v>
      </c>
      <c r="AM15" s="246" t="s">
        <v>336</v>
      </c>
      <c r="AN15" s="246" t="s">
        <v>336</v>
      </c>
      <c r="AO15" s="246" t="s">
        <v>336</v>
      </c>
      <c r="AP15" s="246" t="s">
        <v>336</v>
      </c>
      <c r="AQ15" s="246" t="s">
        <v>336</v>
      </c>
      <c r="AR15" s="388">
        <v>11</v>
      </c>
      <c r="AS15" s="246" t="s">
        <v>336</v>
      </c>
      <c r="AT15" s="246" t="s">
        <v>336</v>
      </c>
      <c r="AU15" s="246" t="s">
        <v>336</v>
      </c>
      <c r="AV15" s="246" t="s">
        <v>336</v>
      </c>
      <c r="AW15" s="246" t="s">
        <v>336</v>
      </c>
      <c r="AX15" s="236"/>
      <c r="AY15" s="253">
        <v>12</v>
      </c>
      <c r="AZ15" s="254" t="s">
        <v>336</v>
      </c>
      <c r="BA15" s="254">
        <v>0.91</v>
      </c>
      <c r="BB15" s="254" t="s">
        <v>336</v>
      </c>
      <c r="BC15" s="254" t="s">
        <v>336</v>
      </c>
      <c r="BD15" s="236"/>
      <c r="BE15" s="404"/>
      <c r="BF15" s="264">
        <v>19</v>
      </c>
      <c r="BG15" s="86" t="str">
        <f>CG23</f>
        <v>N/A</v>
      </c>
      <c r="BH15" s="86" t="str">
        <f>CH23</f>
        <v>N/A</v>
      </c>
      <c r="BI15" s="86" t="str">
        <f>CI23</f>
        <v>N/A</v>
      </c>
      <c r="BJ15" s="86" t="str">
        <f>CJ23</f>
        <v>N/A</v>
      </c>
      <c r="BK15" s="86" t="str">
        <f>CK23</f>
        <v>N/A</v>
      </c>
      <c r="BL15" s="384">
        <v>19</v>
      </c>
      <c r="BM15" s="481" t="str">
        <f>CM23</f>
        <v>N/A</v>
      </c>
      <c r="BN15" s="481" t="str">
        <f>CN23</f>
        <v>N/A</v>
      </c>
      <c r="BO15" s="481" t="str">
        <f>CO23</f>
        <v>N/A</v>
      </c>
      <c r="BP15" s="481" t="str">
        <f>CP23</f>
        <v>N/A</v>
      </c>
      <c r="BQ15" s="481" t="str">
        <f>CQ23</f>
        <v>N/A</v>
      </c>
      <c r="BR15" s="303">
        <v>20</v>
      </c>
      <c r="BS15" s="86" t="str">
        <f>CG24</f>
        <v>N/A</v>
      </c>
      <c r="BT15" s="86" t="str">
        <f>CH24</f>
        <v>N/A</v>
      </c>
      <c r="BU15" s="86" t="str">
        <f>CI24</f>
        <v>N/A</v>
      </c>
      <c r="BV15" s="86" t="str">
        <f>CJ24</f>
        <v>N/A</v>
      </c>
      <c r="BW15" s="86" t="str">
        <f>CK24</f>
        <v>N/A</v>
      </c>
      <c r="BX15" s="379">
        <v>20</v>
      </c>
      <c r="BY15" s="86" t="str">
        <f>CM24</f>
        <v>N/A</v>
      </c>
      <c r="BZ15" s="86" t="str">
        <f>CN24</f>
        <v>N/A</v>
      </c>
      <c r="CA15" s="86" t="str">
        <f>CO24</f>
        <v>N/A</v>
      </c>
      <c r="CB15" s="86" t="str">
        <f>CP24</f>
        <v>N/A</v>
      </c>
      <c r="CC15" s="86" t="str">
        <f>CQ24</f>
        <v>N/A</v>
      </c>
      <c r="CD15" s="260"/>
      <c r="CE15" s="236" t="s">
        <v>336</v>
      </c>
      <c r="CF15" s="594">
        <v>10</v>
      </c>
      <c r="CG15" s="408" t="s">
        <v>336</v>
      </c>
      <c r="CH15" s="408" t="s">
        <v>336</v>
      </c>
      <c r="CI15" s="408" t="s">
        <v>336</v>
      </c>
      <c r="CJ15" s="408" t="s">
        <v>336</v>
      </c>
      <c r="CK15" s="408" t="s">
        <v>336</v>
      </c>
      <c r="CL15" s="388">
        <v>11</v>
      </c>
      <c r="CM15" s="408" t="s">
        <v>336</v>
      </c>
      <c r="CN15" s="408" t="s">
        <v>336</v>
      </c>
      <c r="CO15" s="408" t="s">
        <v>336</v>
      </c>
      <c r="CP15" s="408" t="s">
        <v>336</v>
      </c>
      <c r="CQ15" s="408" t="s">
        <v>336</v>
      </c>
      <c r="CR15" s="236"/>
    </row>
    <row r="16" spans="1:96" x14ac:dyDescent="0.3">
      <c r="A16" s="404"/>
      <c r="B16" s="269">
        <v>21</v>
      </c>
      <c r="C16" s="83" t="str">
        <f>AM25</f>
        <v>N/A</v>
      </c>
      <c r="D16" s="83" t="str">
        <f>AN25</f>
        <v>N/A</v>
      </c>
      <c r="E16" s="83" t="str">
        <f>AO25</f>
        <v>N/A</v>
      </c>
      <c r="F16" s="83" t="str">
        <f>AP25</f>
        <v>N/A</v>
      </c>
      <c r="G16" s="83" t="str">
        <f>AQ25</f>
        <v>N/A</v>
      </c>
      <c r="H16" s="385">
        <v>21</v>
      </c>
      <c r="I16" s="164" t="str">
        <f>AS25</f>
        <v>N/A</v>
      </c>
      <c r="J16" s="164" t="str">
        <f>AT25</f>
        <v>N/A</v>
      </c>
      <c r="K16" s="164" t="str">
        <f>AU25</f>
        <v>N/A</v>
      </c>
      <c r="L16" s="164" t="str">
        <f>AV25</f>
        <v>N/A</v>
      </c>
      <c r="M16" s="164" t="str">
        <f>AW25</f>
        <v>N/A</v>
      </c>
      <c r="N16" s="389">
        <v>22</v>
      </c>
      <c r="O16" s="83" t="str">
        <f>AM26</f>
        <v>N/A</v>
      </c>
      <c r="P16" s="83" t="str">
        <f>AN26</f>
        <v>N/A</v>
      </c>
      <c r="Q16" s="83" t="str">
        <f>AO26</f>
        <v>N/A</v>
      </c>
      <c r="R16" s="83" t="str">
        <f>AP26</f>
        <v>N/A</v>
      </c>
      <c r="S16" s="83" t="str">
        <f>AQ26</f>
        <v>N/A</v>
      </c>
      <c r="T16" s="380">
        <v>22</v>
      </c>
      <c r="U16" s="83" t="str">
        <f>AS26</f>
        <v>N/A</v>
      </c>
      <c r="V16" s="83" t="str">
        <f>AT26</f>
        <v>N/A</v>
      </c>
      <c r="W16" s="83" t="str">
        <f>AU26</f>
        <v>N/A</v>
      </c>
      <c r="X16" s="84" t="str">
        <f>AV26</f>
        <v>N/A</v>
      </c>
      <c r="Y16" s="84" t="str">
        <f>AW26</f>
        <v>N/A</v>
      </c>
      <c r="Z16" s="260"/>
      <c r="AA16" s="269">
        <v>21</v>
      </c>
      <c r="AB16" s="257" t="str">
        <f>AZ24</f>
        <v>N/A</v>
      </c>
      <c r="AC16" s="261">
        <f>BA24</f>
        <v>0.91</v>
      </c>
      <c r="AD16" s="262" t="str">
        <f>BB24</f>
        <v>N/A</v>
      </c>
      <c r="AE16" s="262" t="str">
        <f>BC24</f>
        <v>N/A</v>
      </c>
      <c r="AF16" s="270">
        <v>22</v>
      </c>
      <c r="AG16" s="257" t="str">
        <f>AZ25</f>
        <v>N/A</v>
      </c>
      <c r="AH16" s="263">
        <f>BA25</f>
        <v>0.91</v>
      </c>
      <c r="AI16" s="263" t="s">
        <v>336</v>
      </c>
      <c r="AJ16" s="263" t="s">
        <v>336</v>
      </c>
      <c r="AK16" s="236" t="s">
        <v>336</v>
      </c>
      <c r="AL16" s="253">
        <v>12</v>
      </c>
      <c r="AM16" s="254" t="s">
        <v>336</v>
      </c>
      <c r="AN16" s="254" t="s">
        <v>336</v>
      </c>
      <c r="AO16" s="254" t="s">
        <v>336</v>
      </c>
      <c r="AP16" s="254" t="s">
        <v>336</v>
      </c>
      <c r="AQ16" s="254" t="s">
        <v>336</v>
      </c>
      <c r="AR16" s="390">
        <v>12</v>
      </c>
      <c r="AS16" s="254" t="s">
        <v>336</v>
      </c>
      <c r="AT16" s="254" t="s">
        <v>336</v>
      </c>
      <c r="AU16" s="254" t="s">
        <v>336</v>
      </c>
      <c r="AV16" s="254" t="s">
        <v>336</v>
      </c>
      <c r="AW16" s="254" t="s">
        <v>336</v>
      </c>
      <c r="AX16" s="236"/>
      <c r="AY16" s="245">
        <v>13</v>
      </c>
      <c r="AZ16" s="246" t="s">
        <v>336</v>
      </c>
      <c r="BA16" s="246">
        <v>0.91</v>
      </c>
      <c r="BB16" s="246" t="s">
        <v>336</v>
      </c>
      <c r="BC16" s="246" t="s">
        <v>336</v>
      </c>
      <c r="BD16" s="236"/>
      <c r="BE16" s="404"/>
      <c r="BF16" s="269">
        <v>21</v>
      </c>
      <c r="BG16" s="83" t="str">
        <f>CG25</f>
        <v>N/A</v>
      </c>
      <c r="BH16" s="83" t="str">
        <f>CH25</f>
        <v>N/A</v>
      </c>
      <c r="BI16" s="83" t="str">
        <f>CI25</f>
        <v>N/A</v>
      </c>
      <c r="BJ16" s="83" t="str">
        <f>CJ25</f>
        <v>N/A</v>
      </c>
      <c r="BK16" s="83" t="str">
        <f>CK25</f>
        <v>N/A</v>
      </c>
      <c r="BL16" s="385">
        <v>21</v>
      </c>
      <c r="BM16" s="164" t="str">
        <f>CM25</f>
        <v>N/A</v>
      </c>
      <c r="BN16" s="164" t="str">
        <f>CN25</f>
        <v>N/A</v>
      </c>
      <c r="BO16" s="164" t="str">
        <f>CO25</f>
        <v>N/A</v>
      </c>
      <c r="BP16" s="164" t="str">
        <f>CP25</f>
        <v>N/A</v>
      </c>
      <c r="BQ16" s="164" t="str">
        <f>CQ25</f>
        <v>N/A</v>
      </c>
      <c r="BR16" s="389">
        <v>22</v>
      </c>
      <c r="BS16" s="83" t="str">
        <f>CG26</f>
        <v>N/A</v>
      </c>
      <c r="BT16" s="83" t="str">
        <f>CH26</f>
        <v>N/A</v>
      </c>
      <c r="BU16" s="83" t="str">
        <f>CI26</f>
        <v>N/A</v>
      </c>
      <c r="BV16" s="83" t="str">
        <f>CJ26</f>
        <v>N/A</v>
      </c>
      <c r="BW16" s="83" t="str">
        <f>CK26</f>
        <v>N/A</v>
      </c>
      <c r="BX16" s="380">
        <v>22</v>
      </c>
      <c r="BY16" s="83" t="str">
        <f>CM26</f>
        <v>N/A</v>
      </c>
      <c r="BZ16" s="83" t="str">
        <f>CN26</f>
        <v>N/A</v>
      </c>
      <c r="CA16" s="83" t="str">
        <f>CO26</f>
        <v>N/A</v>
      </c>
      <c r="CB16" s="83" t="str">
        <f>CP26</f>
        <v>N/A</v>
      </c>
      <c r="CC16" s="83" t="str">
        <f>CQ26</f>
        <v>N/A</v>
      </c>
      <c r="CD16" s="260"/>
      <c r="CE16" s="236" t="s">
        <v>336</v>
      </c>
      <c r="CF16" s="595">
        <v>11</v>
      </c>
      <c r="CG16" s="409" t="s">
        <v>336</v>
      </c>
      <c r="CH16" s="409" t="s">
        <v>336</v>
      </c>
      <c r="CI16" s="409" t="s">
        <v>336</v>
      </c>
      <c r="CJ16" s="409" t="s">
        <v>336</v>
      </c>
      <c r="CK16" s="409" t="s">
        <v>336</v>
      </c>
      <c r="CL16" s="390">
        <v>12</v>
      </c>
      <c r="CM16" s="409" t="s">
        <v>336</v>
      </c>
      <c r="CN16" s="409" t="s">
        <v>336</v>
      </c>
      <c r="CO16" s="409" t="s">
        <v>336</v>
      </c>
      <c r="CP16" s="409" t="s">
        <v>336</v>
      </c>
      <c r="CQ16" s="409" t="s">
        <v>336</v>
      </c>
      <c r="CR16" s="236"/>
    </row>
    <row r="17" spans="1:96" ht="15" thickBot="1" x14ac:dyDescent="0.35">
      <c r="A17" s="404"/>
      <c r="B17" s="264">
        <v>23</v>
      </c>
      <c r="C17" s="167" t="str">
        <f>AM27</f>
        <v>N/A</v>
      </c>
      <c r="D17" s="167" t="str">
        <f>AN27</f>
        <v>N/A</v>
      </c>
      <c r="E17" s="167" t="str">
        <f>AO27</f>
        <v>N/A</v>
      </c>
      <c r="F17" s="167" t="str">
        <f>AP27</f>
        <v>N/A</v>
      </c>
      <c r="G17" s="167" t="str">
        <f>AQ27</f>
        <v>N/A</v>
      </c>
      <c r="H17" s="384">
        <v>23</v>
      </c>
      <c r="I17" s="481" t="str">
        <f>AS27</f>
        <v>N/A</v>
      </c>
      <c r="J17" s="481" t="str">
        <f>AT27</f>
        <v>N/A</v>
      </c>
      <c r="K17" s="481" t="str">
        <f>AU27</f>
        <v>N/A</v>
      </c>
      <c r="L17" s="481" t="str">
        <f>AV27</f>
        <v>N/A</v>
      </c>
      <c r="M17" s="481" t="str">
        <f>AW27</f>
        <v>N/A</v>
      </c>
      <c r="N17" s="303">
        <v>24</v>
      </c>
      <c r="O17" s="167" t="str">
        <f>AM28</f>
        <v>N/A</v>
      </c>
      <c r="P17" s="167" t="str">
        <f>AN28</f>
        <v>N/A</v>
      </c>
      <c r="Q17" s="167" t="str">
        <f>AO28</f>
        <v>N/A</v>
      </c>
      <c r="R17" s="167" t="str">
        <f>AP28</f>
        <v>N/A</v>
      </c>
      <c r="S17" s="167" t="str">
        <f>AQ28</f>
        <v>N/A</v>
      </c>
      <c r="T17" s="379">
        <v>24</v>
      </c>
      <c r="U17" s="86" t="str">
        <f>AS28</f>
        <v>N/A</v>
      </c>
      <c r="V17" s="86" t="str">
        <f>AT28</f>
        <v>N/A</v>
      </c>
      <c r="W17" s="86" t="str">
        <f>AU28</f>
        <v>N/A</v>
      </c>
      <c r="X17" s="87" t="str">
        <f>AV28</f>
        <v>N/A</v>
      </c>
      <c r="Y17" s="87" t="str">
        <f>AW28</f>
        <v>N/A</v>
      </c>
      <c r="Z17" s="260"/>
      <c r="AA17" s="264">
        <v>23</v>
      </c>
      <c r="AB17" s="265" t="str">
        <f>AZ26</f>
        <v>N/A</v>
      </c>
      <c r="AC17" s="267">
        <f>BA26</f>
        <v>0.91</v>
      </c>
      <c r="AD17" s="255" t="str">
        <f>BB26</f>
        <v>N/A</v>
      </c>
      <c r="AE17" s="255" t="str">
        <f>BC26</f>
        <v>N/A</v>
      </c>
      <c r="AF17" s="266">
        <v>24</v>
      </c>
      <c r="AG17" s="265" t="str">
        <f>AZ27</f>
        <v>N/A</v>
      </c>
      <c r="AH17" s="268">
        <f>BA27</f>
        <v>0.91</v>
      </c>
      <c r="AI17" s="268" t="s">
        <v>336</v>
      </c>
      <c r="AJ17" s="268" t="s">
        <v>336</v>
      </c>
      <c r="AK17" s="236" t="s">
        <v>336</v>
      </c>
      <c r="AL17" s="245">
        <v>13</v>
      </c>
      <c r="AM17" s="246" t="s">
        <v>336</v>
      </c>
      <c r="AN17" s="246" t="s">
        <v>336</v>
      </c>
      <c r="AO17" s="246" t="s">
        <v>336</v>
      </c>
      <c r="AP17" s="246" t="s">
        <v>336</v>
      </c>
      <c r="AQ17" s="246" t="s">
        <v>336</v>
      </c>
      <c r="AR17" s="388">
        <v>13</v>
      </c>
      <c r="AS17" s="246" t="s">
        <v>336</v>
      </c>
      <c r="AT17" s="246" t="s">
        <v>336</v>
      </c>
      <c r="AU17" s="246" t="s">
        <v>336</v>
      </c>
      <c r="AV17" s="246" t="s">
        <v>336</v>
      </c>
      <c r="AW17" s="246" t="s">
        <v>336</v>
      </c>
      <c r="AX17" s="236"/>
      <c r="AY17" s="253">
        <v>14</v>
      </c>
      <c r="AZ17" s="254" t="s">
        <v>336</v>
      </c>
      <c r="BA17" s="254">
        <v>0.91</v>
      </c>
      <c r="BB17" s="254" t="s">
        <v>336</v>
      </c>
      <c r="BC17" s="254" t="s">
        <v>336</v>
      </c>
      <c r="BD17" s="236"/>
      <c r="BE17" s="404"/>
      <c r="BF17" s="264">
        <v>23</v>
      </c>
      <c r="BG17" s="167" t="str">
        <f>CG27</f>
        <v>N/A</v>
      </c>
      <c r="BH17" s="167" t="str">
        <f>CH27</f>
        <v>N/A</v>
      </c>
      <c r="BI17" s="167" t="str">
        <f>CI27</f>
        <v>N/A</v>
      </c>
      <c r="BJ17" s="167" t="str">
        <f>CJ27</f>
        <v>N/A</v>
      </c>
      <c r="BK17" s="167" t="str">
        <f>CK27</f>
        <v>N/A</v>
      </c>
      <c r="BL17" s="384">
        <v>23</v>
      </c>
      <c r="BM17" s="481" t="str">
        <f>CM27</f>
        <v>N/A</v>
      </c>
      <c r="BN17" s="481" t="str">
        <f>CN27</f>
        <v>N/A</v>
      </c>
      <c r="BO17" s="481" t="str">
        <f>CO27</f>
        <v>N/A</v>
      </c>
      <c r="BP17" s="481" t="str">
        <f>CP27</f>
        <v>N/A</v>
      </c>
      <c r="BQ17" s="481" t="str">
        <f>CQ27</f>
        <v>N/A</v>
      </c>
      <c r="BR17" s="303">
        <v>24</v>
      </c>
      <c r="BS17" s="167" t="str">
        <f>CG28</f>
        <v>N/A</v>
      </c>
      <c r="BT17" s="167" t="str">
        <f>CH28</f>
        <v>N/A</v>
      </c>
      <c r="BU17" s="167" t="str">
        <f>CI28</f>
        <v>N/A</v>
      </c>
      <c r="BV17" s="167" t="str">
        <f>CJ28</f>
        <v>N/A</v>
      </c>
      <c r="BW17" s="167" t="str">
        <f>CK28</f>
        <v>N/A</v>
      </c>
      <c r="BX17" s="379">
        <v>24</v>
      </c>
      <c r="BY17" s="86" t="str">
        <f>CM28</f>
        <v>N/A</v>
      </c>
      <c r="BZ17" s="86" t="str">
        <f>CN28</f>
        <v>N/A</v>
      </c>
      <c r="CA17" s="86" t="str">
        <f>CO28</f>
        <v>N/A</v>
      </c>
      <c r="CB17" s="86" t="str">
        <f>CP28</f>
        <v>N/A</v>
      </c>
      <c r="CC17" s="86" t="str">
        <f>CQ28</f>
        <v>N/A</v>
      </c>
      <c r="CD17" s="260"/>
      <c r="CE17" s="236" t="s">
        <v>336</v>
      </c>
      <c r="CF17" s="594">
        <v>12</v>
      </c>
      <c r="CG17" s="408" t="s">
        <v>336</v>
      </c>
      <c r="CH17" s="408" t="s">
        <v>336</v>
      </c>
      <c r="CI17" s="408" t="s">
        <v>336</v>
      </c>
      <c r="CJ17" s="408" t="s">
        <v>336</v>
      </c>
      <c r="CK17" s="408" t="s">
        <v>336</v>
      </c>
      <c r="CL17" s="388">
        <v>13</v>
      </c>
      <c r="CM17" s="408" t="s">
        <v>336</v>
      </c>
      <c r="CN17" s="408" t="s">
        <v>336</v>
      </c>
      <c r="CO17" s="408" t="s">
        <v>336</v>
      </c>
      <c r="CP17" s="408" t="s">
        <v>336</v>
      </c>
      <c r="CQ17" s="408" t="s">
        <v>336</v>
      </c>
      <c r="CR17" s="236"/>
    </row>
    <row r="18" spans="1:96" x14ac:dyDescent="0.3">
      <c r="A18" s="404"/>
      <c r="B18" s="272" t="s">
        <v>221</v>
      </c>
      <c r="C18" s="89">
        <f>SUM(C6:C17)</f>
        <v>0</v>
      </c>
      <c r="D18" s="89">
        <f>SUM(D6:D17)</f>
        <v>0</v>
      </c>
      <c r="E18" s="89">
        <f>SUM(E6:E17)</f>
        <v>0</v>
      </c>
      <c r="F18" s="89">
        <f>SUM(F6:F17)</f>
        <v>0</v>
      </c>
      <c r="G18" s="89">
        <f>SUM(G6:G17)</f>
        <v>0</v>
      </c>
      <c r="H18" s="90" t="s">
        <v>221</v>
      </c>
      <c r="I18" s="89">
        <f>SUM(I6:I17)</f>
        <v>0</v>
      </c>
      <c r="J18" s="91">
        <f>SUM(J6:J17)</f>
        <v>0</v>
      </c>
      <c r="K18" s="89">
        <f>SUM(K6:K17)</f>
        <v>0</v>
      </c>
      <c r="L18" s="91">
        <f>SUM(L6:L17)</f>
        <v>0</v>
      </c>
      <c r="M18" s="91">
        <f>SUM(M6:M17)</f>
        <v>0</v>
      </c>
      <c r="N18" s="88" t="s">
        <v>221</v>
      </c>
      <c r="O18" s="89">
        <f>SUM(O6:O17)</f>
        <v>0</v>
      </c>
      <c r="P18" s="89">
        <f>SUM(P6:P17)</f>
        <v>0</v>
      </c>
      <c r="Q18" s="89">
        <f>SUM(Q6:Q17)</f>
        <v>0</v>
      </c>
      <c r="R18" s="89">
        <f>SUM(R6:R17)</f>
        <v>0</v>
      </c>
      <c r="S18" s="89">
        <f>SUM(S6:S17)</f>
        <v>0</v>
      </c>
      <c r="T18" s="90" t="s">
        <v>221</v>
      </c>
      <c r="U18" s="89">
        <f>SUM(U6:U17)</f>
        <v>0</v>
      </c>
      <c r="V18" s="91">
        <f>SUM(V6:V17)</f>
        <v>0</v>
      </c>
      <c r="W18" s="89">
        <f>SUM(W6:W17)</f>
        <v>0</v>
      </c>
      <c r="X18" s="91">
        <f>SUM(X6:X17)</f>
        <v>0</v>
      </c>
      <c r="Y18" s="91">
        <f>SUM(Y6:Y17)</f>
        <v>0</v>
      </c>
      <c r="Z18" s="168"/>
      <c r="AA18" s="272" t="s">
        <v>221</v>
      </c>
      <c r="AB18" s="168">
        <f>SUM(AB6:AB17)</f>
        <v>0</v>
      </c>
      <c r="AC18" s="168">
        <f>SUM(AC6:AC17)</f>
        <v>10.92</v>
      </c>
      <c r="AD18" s="168">
        <f>SUM(AD6:AD17)</f>
        <v>0</v>
      </c>
      <c r="AE18" s="168">
        <f>SUM(AE6:AE17)</f>
        <v>0</v>
      </c>
      <c r="AF18" s="273" t="s">
        <v>221</v>
      </c>
      <c r="AG18" s="168">
        <f>SUM(AG6:AG17)</f>
        <v>0</v>
      </c>
      <c r="AH18" s="274">
        <f>SUM(AH6:AH17)</f>
        <v>10.92</v>
      </c>
      <c r="AI18" s="274" t="s">
        <v>336</v>
      </c>
      <c r="AJ18" s="274" t="s">
        <v>336</v>
      </c>
      <c r="AK18" s="236" t="s">
        <v>336</v>
      </c>
      <c r="AL18" s="253">
        <v>14</v>
      </c>
      <c r="AM18" s="254" t="s">
        <v>336</v>
      </c>
      <c r="AN18" s="254" t="s">
        <v>336</v>
      </c>
      <c r="AO18" s="254" t="s">
        <v>336</v>
      </c>
      <c r="AP18" s="254" t="s">
        <v>336</v>
      </c>
      <c r="AQ18" s="254" t="s">
        <v>336</v>
      </c>
      <c r="AR18" s="390">
        <v>14</v>
      </c>
      <c r="AS18" s="254" t="s">
        <v>336</v>
      </c>
      <c r="AT18" s="254" t="s">
        <v>336</v>
      </c>
      <c r="AU18" s="254" t="s">
        <v>336</v>
      </c>
      <c r="AV18" s="254" t="s">
        <v>336</v>
      </c>
      <c r="AW18" s="254" t="s">
        <v>336</v>
      </c>
      <c r="AX18" s="236"/>
      <c r="AY18" s="245">
        <v>15</v>
      </c>
      <c r="AZ18" s="246" t="s">
        <v>336</v>
      </c>
      <c r="BA18" s="246">
        <v>0.91</v>
      </c>
      <c r="BB18" s="246" t="s">
        <v>336</v>
      </c>
      <c r="BC18" s="246" t="s">
        <v>336</v>
      </c>
      <c r="BD18" s="236"/>
      <c r="BE18" s="404"/>
      <c r="BF18" s="272" t="s">
        <v>221</v>
      </c>
      <c r="BG18" s="89">
        <f>SUM(BG6:BG17)</f>
        <v>0</v>
      </c>
      <c r="BH18" s="89">
        <f>SUM(BH6:BH17)</f>
        <v>0</v>
      </c>
      <c r="BI18" s="89">
        <f>SUM(BI6:BI17)</f>
        <v>0</v>
      </c>
      <c r="BJ18" s="89">
        <f>SUM(BJ6:BJ17)</f>
        <v>0</v>
      </c>
      <c r="BK18" s="89">
        <f>SUM(BK6:BK17)</f>
        <v>0</v>
      </c>
      <c r="BL18" s="273" t="s">
        <v>221</v>
      </c>
      <c r="BM18" s="89">
        <f>SUM(BM6:BM17)</f>
        <v>0</v>
      </c>
      <c r="BN18" s="91">
        <f>SUM(BN6:BN17)</f>
        <v>0</v>
      </c>
      <c r="BO18" s="89">
        <f>SUM(BO6:BO17)</f>
        <v>0</v>
      </c>
      <c r="BP18" s="91">
        <f>SUM(BP6:BP17)</f>
        <v>0</v>
      </c>
      <c r="BQ18" s="91">
        <f>SUM(BQ6:BQ17)</f>
        <v>0</v>
      </c>
      <c r="BR18" s="272" t="s">
        <v>221</v>
      </c>
      <c r="BS18" s="89">
        <f>SUM(BS6:BS17)</f>
        <v>0</v>
      </c>
      <c r="BT18" s="89">
        <f>SUM(BT6:BT17)</f>
        <v>0</v>
      </c>
      <c r="BU18" s="89">
        <f>SUM(BU6:BU17)</f>
        <v>0</v>
      </c>
      <c r="BV18" s="89">
        <f>SUM(BV6:BV17)</f>
        <v>0</v>
      </c>
      <c r="BW18" s="89">
        <f>SUM(BW6:BW17)</f>
        <v>0</v>
      </c>
      <c r="BX18" s="273" t="s">
        <v>221</v>
      </c>
      <c r="BY18" s="89">
        <f>SUM(BY6:BY17)</f>
        <v>0</v>
      </c>
      <c r="BZ18" s="91">
        <f>SUM(BZ6:BZ17)</f>
        <v>0</v>
      </c>
      <c r="CA18" s="89">
        <f>SUM(CA6:CA17)</f>
        <v>0</v>
      </c>
      <c r="CB18" s="91">
        <f>SUM(CB6:CB17)</f>
        <v>0</v>
      </c>
      <c r="CC18" s="91">
        <f>SUM(CC6:CC17)</f>
        <v>0</v>
      </c>
      <c r="CD18" s="168"/>
      <c r="CE18" s="236" t="s">
        <v>336</v>
      </c>
      <c r="CF18" s="595">
        <v>13</v>
      </c>
      <c r="CG18" s="409" t="s">
        <v>336</v>
      </c>
      <c r="CH18" s="409" t="s">
        <v>336</v>
      </c>
      <c r="CI18" s="409" t="s">
        <v>336</v>
      </c>
      <c r="CJ18" s="409" t="s">
        <v>336</v>
      </c>
      <c r="CK18" s="409" t="s">
        <v>336</v>
      </c>
      <c r="CL18" s="390">
        <v>14</v>
      </c>
      <c r="CM18" s="409" t="s">
        <v>336</v>
      </c>
      <c r="CN18" s="409" t="s">
        <v>336</v>
      </c>
      <c r="CO18" s="409" t="s">
        <v>336</v>
      </c>
      <c r="CP18" s="409" t="s">
        <v>336</v>
      </c>
      <c r="CQ18" s="409" t="s">
        <v>336</v>
      </c>
      <c r="CR18" s="236"/>
    </row>
    <row r="19" spans="1:96" x14ac:dyDescent="0.3">
      <c r="A19" s="404"/>
      <c r="B19" s="863" t="s">
        <v>455</v>
      </c>
      <c r="C19" s="861"/>
      <c r="D19" s="861"/>
      <c r="E19" s="861"/>
      <c r="F19" s="861"/>
      <c r="G19" s="861"/>
      <c r="H19" s="236"/>
      <c r="I19" s="861" t="s">
        <v>451</v>
      </c>
      <c r="J19" s="861"/>
      <c r="K19" s="861"/>
      <c r="L19" s="861"/>
      <c r="M19" s="885"/>
      <c r="N19" s="241"/>
      <c r="O19" s="861" t="s">
        <v>222</v>
      </c>
      <c r="P19" s="861"/>
      <c r="Q19" s="861"/>
      <c r="R19" s="861"/>
      <c r="S19" s="862"/>
      <c r="T19" s="239"/>
      <c r="U19" s="861" t="s">
        <v>223</v>
      </c>
      <c r="V19" s="861"/>
      <c r="W19" s="861"/>
      <c r="X19" s="861"/>
      <c r="Y19" s="861"/>
      <c r="Z19" s="239"/>
      <c r="AA19" s="861" t="s">
        <v>223</v>
      </c>
      <c r="AB19" s="861"/>
      <c r="AC19" s="861"/>
      <c r="AD19" s="861"/>
      <c r="AE19" s="861"/>
      <c r="AF19" s="239"/>
      <c r="AG19" s="861" t="s">
        <v>223</v>
      </c>
      <c r="AH19" s="861"/>
      <c r="AI19" s="861"/>
      <c r="AJ19" s="861"/>
      <c r="AK19" s="236" t="s">
        <v>336</v>
      </c>
      <c r="AL19" s="245">
        <v>15</v>
      </c>
      <c r="AM19" s="246" t="s">
        <v>336</v>
      </c>
      <c r="AN19" s="246" t="s">
        <v>336</v>
      </c>
      <c r="AO19" s="246" t="s">
        <v>336</v>
      </c>
      <c r="AP19" s="246" t="s">
        <v>336</v>
      </c>
      <c r="AQ19" s="246" t="s">
        <v>336</v>
      </c>
      <c r="AR19" s="388">
        <v>15</v>
      </c>
      <c r="AS19" s="246" t="s">
        <v>336</v>
      </c>
      <c r="AT19" s="246" t="s">
        <v>336</v>
      </c>
      <c r="AU19" s="246" t="s">
        <v>336</v>
      </c>
      <c r="AV19" s="246" t="s">
        <v>336</v>
      </c>
      <c r="AW19" s="246" t="s">
        <v>336</v>
      </c>
      <c r="AX19" s="236"/>
      <c r="AY19" s="253">
        <v>16</v>
      </c>
      <c r="AZ19" s="254" t="s">
        <v>336</v>
      </c>
      <c r="BA19" s="254">
        <v>0.91</v>
      </c>
      <c r="BB19" s="254" t="s">
        <v>336</v>
      </c>
      <c r="BC19" s="254" t="s">
        <v>336</v>
      </c>
      <c r="BD19" s="236"/>
      <c r="BE19" s="404"/>
      <c r="BF19" s="241"/>
      <c r="BG19" s="861" t="s">
        <v>455</v>
      </c>
      <c r="BH19" s="861"/>
      <c r="BI19" s="861"/>
      <c r="BJ19" s="861"/>
      <c r="BK19" s="861"/>
      <c r="BL19" s="236"/>
      <c r="BM19" s="861" t="s">
        <v>451</v>
      </c>
      <c r="BN19" s="861"/>
      <c r="BO19" s="861"/>
      <c r="BP19" s="861"/>
      <c r="BQ19" s="885"/>
      <c r="BR19" s="241"/>
      <c r="BS19" s="861" t="s">
        <v>222</v>
      </c>
      <c r="BT19" s="861"/>
      <c r="BU19" s="861"/>
      <c r="BV19" s="861"/>
      <c r="BW19" s="862"/>
      <c r="BX19" s="239"/>
      <c r="BY19" s="861" t="s">
        <v>223</v>
      </c>
      <c r="BZ19" s="861"/>
      <c r="CA19" s="861"/>
      <c r="CB19" s="861"/>
      <c r="CC19" s="861"/>
      <c r="CD19" s="275"/>
      <c r="CE19" s="236" t="s">
        <v>336</v>
      </c>
      <c r="CF19" s="594">
        <v>14</v>
      </c>
      <c r="CG19" s="408" t="s">
        <v>336</v>
      </c>
      <c r="CH19" s="408" t="s">
        <v>336</v>
      </c>
      <c r="CI19" s="408" t="s">
        <v>336</v>
      </c>
      <c r="CJ19" s="408" t="s">
        <v>336</v>
      </c>
      <c r="CK19" s="408" t="s">
        <v>336</v>
      </c>
      <c r="CL19" s="388">
        <v>15</v>
      </c>
      <c r="CM19" s="408" t="s">
        <v>336</v>
      </c>
      <c r="CN19" s="408" t="s">
        <v>336</v>
      </c>
      <c r="CO19" s="408" t="s">
        <v>336</v>
      </c>
      <c r="CP19" s="408" t="s">
        <v>336</v>
      </c>
      <c r="CQ19" s="408" t="s">
        <v>336</v>
      </c>
      <c r="CR19" s="236"/>
    </row>
    <row r="20" spans="1:96" ht="15" thickBot="1" x14ac:dyDescent="0.35">
      <c r="A20" s="404"/>
      <c r="B20" s="863"/>
      <c r="C20" s="861"/>
      <c r="D20" s="861"/>
      <c r="E20" s="861"/>
      <c r="F20" s="861"/>
      <c r="G20" s="861"/>
      <c r="H20" s="239"/>
      <c r="I20" s="861"/>
      <c r="J20" s="861"/>
      <c r="K20" s="861"/>
      <c r="L20" s="861"/>
      <c r="M20" s="885"/>
      <c r="N20" s="241"/>
      <c r="O20" s="861"/>
      <c r="P20" s="861"/>
      <c r="Q20" s="861"/>
      <c r="R20" s="861"/>
      <c r="S20" s="862"/>
      <c r="T20" s="239"/>
      <c r="U20" s="861"/>
      <c r="V20" s="861"/>
      <c r="W20" s="861"/>
      <c r="X20" s="861"/>
      <c r="Y20" s="861"/>
      <c r="Z20" s="239"/>
      <c r="AA20" s="861"/>
      <c r="AB20" s="861"/>
      <c r="AC20" s="861"/>
      <c r="AD20" s="861"/>
      <c r="AE20" s="861"/>
      <c r="AF20" s="239"/>
      <c r="AG20" s="861"/>
      <c r="AH20" s="861"/>
      <c r="AI20" s="861"/>
      <c r="AJ20" s="861"/>
      <c r="AK20" s="236" t="s">
        <v>336</v>
      </c>
      <c r="AL20" s="253">
        <v>16</v>
      </c>
      <c r="AM20" s="254" t="s">
        <v>336</v>
      </c>
      <c r="AN20" s="254" t="s">
        <v>336</v>
      </c>
      <c r="AO20" s="254" t="s">
        <v>336</v>
      </c>
      <c r="AP20" s="254" t="s">
        <v>336</v>
      </c>
      <c r="AQ20" s="254" t="s">
        <v>336</v>
      </c>
      <c r="AR20" s="390">
        <v>16</v>
      </c>
      <c r="AS20" s="254" t="s">
        <v>336</v>
      </c>
      <c r="AT20" s="254" t="s">
        <v>336</v>
      </c>
      <c r="AU20" s="254" t="s">
        <v>336</v>
      </c>
      <c r="AV20" s="254" t="s">
        <v>336</v>
      </c>
      <c r="AW20" s="254" t="s">
        <v>336</v>
      </c>
      <c r="AX20" s="236"/>
      <c r="AY20" s="245">
        <v>17</v>
      </c>
      <c r="AZ20" s="246" t="s">
        <v>336</v>
      </c>
      <c r="BA20" s="246">
        <v>0.91</v>
      </c>
      <c r="BB20" s="246" t="s">
        <v>336</v>
      </c>
      <c r="BC20" s="246" t="s">
        <v>336</v>
      </c>
      <c r="BD20" s="236"/>
      <c r="BE20" s="404"/>
      <c r="BF20" s="241"/>
      <c r="BG20" s="861"/>
      <c r="BH20" s="861"/>
      <c r="BI20" s="861"/>
      <c r="BJ20" s="861"/>
      <c r="BK20" s="861"/>
      <c r="BL20" s="239"/>
      <c r="BM20" s="861"/>
      <c r="BN20" s="861"/>
      <c r="BO20" s="861"/>
      <c r="BP20" s="861"/>
      <c r="BQ20" s="885"/>
      <c r="BR20" s="241"/>
      <c r="BS20" s="861"/>
      <c r="BT20" s="861"/>
      <c r="BU20" s="861"/>
      <c r="BV20" s="861"/>
      <c r="BW20" s="862"/>
      <c r="BX20" s="239"/>
      <c r="BY20" s="861"/>
      <c r="BZ20" s="861"/>
      <c r="CA20" s="861"/>
      <c r="CB20" s="861"/>
      <c r="CC20" s="861"/>
      <c r="CD20" s="238"/>
      <c r="CE20" s="236" t="s">
        <v>336</v>
      </c>
      <c r="CF20" s="595">
        <v>15</v>
      </c>
      <c r="CG20" s="409" t="s">
        <v>336</v>
      </c>
      <c r="CH20" s="409" t="s">
        <v>336</v>
      </c>
      <c r="CI20" s="409" t="s">
        <v>336</v>
      </c>
      <c r="CJ20" s="409" t="s">
        <v>336</v>
      </c>
      <c r="CK20" s="409" t="s">
        <v>336</v>
      </c>
      <c r="CL20" s="390">
        <v>16</v>
      </c>
      <c r="CM20" s="409" t="s">
        <v>336</v>
      </c>
      <c r="CN20" s="409" t="s">
        <v>336</v>
      </c>
      <c r="CO20" s="409" t="s">
        <v>336</v>
      </c>
      <c r="CP20" s="409" t="s">
        <v>336</v>
      </c>
      <c r="CQ20" s="409" t="s">
        <v>336</v>
      </c>
      <c r="CR20" s="236"/>
    </row>
    <row r="21" spans="1:96" ht="15" thickBot="1" x14ac:dyDescent="0.35">
      <c r="A21" s="404"/>
      <c r="B21" s="247" t="s">
        <v>192</v>
      </c>
      <c r="C21" s="251" t="s">
        <v>219</v>
      </c>
      <c r="D21" s="278" t="s">
        <v>220</v>
      </c>
      <c r="E21" s="249" t="s">
        <v>332</v>
      </c>
      <c r="F21" s="249" t="s">
        <v>333</v>
      </c>
      <c r="G21" s="249"/>
      <c r="H21" s="250" t="s">
        <v>192</v>
      </c>
      <c r="I21" s="251" t="s">
        <v>219</v>
      </c>
      <c r="J21" s="252" t="s">
        <v>220</v>
      </c>
      <c r="K21" s="249" t="s">
        <v>332</v>
      </c>
      <c r="L21" s="249" t="s">
        <v>333</v>
      </c>
      <c r="M21" s="249" t="s">
        <v>333</v>
      </c>
      <c r="N21" s="247" t="s">
        <v>192</v>
      </c>
      <c r="O21" s="251" t="s">
        <v>219</v>
      </c>
      <c r="P21" s="278" t="s">
        <v>220</v>
      </c>
      <c r="Q21" s="249" t="s">
        <v>332</v>
      </c>
      <c r="R21" s="249" t="s">
        <v>333</v>
      </c>
      <c r="S21" s="249"/>
      <c r="T21" s="250" t="s">
        <v>192</v>
      </c>
      <c r="U21" s="251" t="s">
        <v>219</v>
      </c>
      <c r="V21" s="252" t="s">
        <v>220</v>
      </c>
      <c r="W21" s="249" t="s">
        <v>332</v>
      </c>
      <c r="X21" s="406" t="s">
        <v>333</v>
      </c>
      <c r="Y21" s="249"/>
      <c r="Z21" s="249"/>
      <c r="AA21" s="247" t="s">
        <v>192</v>
      </c>
      <c r="AB21" s="251" t="s">
        <v>219</v>
      </c>
      <c r="AC21" s="252" t="s">
        <v>220</v>
      </c>
      <c r="AD21" s="231" t="s">
        <v>332</v>
      </c>
      <c r="AE21" s="231" t="s">
        <v>333</v>
      </c>
      <c r="AF21" s="250" t="s">
        <v>192</v>
      </c>
      <c r="AG21" s="251" t="s">
        <v>219</v>
      </c>
      <c r="AH21" s="252" t="s">
        <v>220</v>
      </c>
      <c r="AI21" s="231" t="s">
        <v>336</v>
      </c>
      <c r="AJ21" s="231" t="s">
        <v>336</v>
      </c>
      <c r="AK21" s="236" t="s">
        <v>336</v>
      </c>
      <c r="AL21" s="245">
        <v>17</v>
      </c>
      <c r="AM21" s="246" t="s">
        <v>336</v>
      </c>
      <c r="AN21" s="246" t="s">
        <v>336</v>
      </c>
      <c r="AO21" s="246" t="s">
        <v>336</v>
      </c>
      <c r="AP21" s="246" t="s">
        <v>336</v>
      </c>
      <c r="AQ21" s="246" t="s">
        <v>336</v>
      </c>
      <c r="AR21" s="388">
        <v>17</v>
      </c>
      <c r="AS21" s="246" t="s">
        <v>336</v>
      </c>
      <c r="AT21" s="246" t="s">
        <v>336</v>
      </c>
      <c r="AU21" s="246" t="s">
        <v>336</v>
      </c>
      <c r="AV21" s="246" t="s">
        <v>336</v>
      </c>
      <c r="AW21" s="246" t="s">
        <v>336</v>
      </c>
      <c r="AX21" s="236"/>
      <c r="AY21" s="253">
        <v>18</v>
      </c>
      <c r="AZ21" s="254" t="s">
        <v>336</v>
      </c>
      <c r="BA21" s="254">
        <v>0.91</v>
      </c>
      <c r="BB21" s="254" t="s">
        <v>336</v>
      </c>
      <c r="BC21" s="254" t="s">
        <v>336</v>
      </c>
      <c r="BD21" s="236"/>
      <c r="BE21" s="404"/>
      <c r="BF21" s="247" t="s">
        <v>192</v>
      </c>
      <c r="BG21" s="251" t="s">
        <v>219</v>
      </c>
      <c r="BH21" s="278" t="s">
        <v>220</v>
      </c>
      <c r="BI21" s="249" t="s">
        <v>332</v>
      </c>
      <c r="BJ21" s="249" t="s">
        <v>333</v>
      </c>
      <c r="BK21" s="249"/>
      <c r="BL21" s="250" t="s">
        <v>192</v>
      </c>
      <c r="BM21" s="251" t="s">
        <v>219</v>
      </c>
      <c r="BN21" s="252" t="s">
        <v>220</v>
      </c>
      <c r="BO21" s="249" t="s">
        <v>332</v>
      </c>
      <c r="BP21" s="249" t="s">
        <v>333</v>
      </c>
      <c r="BQ21" s="249"/>
      <c r="BR21" s="247" t="s">
        <v>192</v>
      </c>
      <c r="BS21" s="248" t="s">
        <v>219</v>
      </c>
      <c r="BT21" s="249" t="s">
        <v>220</v>
      </c>
      <c r="BU21" s="249" t="s">
        <v>332</v>
      </c>
      <c r="BV21" s="249" t="s">
        <v>333</v>
      </c>
      <c r="BW21" s="249"/>
      <c r="BX21" s="250"/>
      <c r="BY21" s="251" t="s">
        <v>219</v>
      </c>
      <c r="BZ21" s="252" t="s">
        <v>220</v>
      </c>
      <c r="CA21" s="231" t="s">
        <v>332</v>
      </c>
      <c r="CB21" s="231" t="s">
        <v>333</v>
      </c>
      <c r="CC21" s="231"/>
      <c r="CD21" s="249"/>
      <c r="CE21" s="236" t="s">
        <v>336</v>
      </c>
      <c r="CF21" s="594">
        <v>16</v>
      </c>
      <c r="CG21" s="408" t="s">
        <v>336</v>
      </c>
      <c r="CH21" s="408" t="s">
        <v>336</v>
      </c>
      <c r="CI21" s="408" t="s">
        <v>336</v>
      </c>
      <c r="CJ21" s="408" t="s">
        <v>336</v>
      </c>
      <c r="CK21" s="408" t="s">
        <v>336</v>
      </c>
      <c r="CL21" s="388">
        <v>17</v>
      </c>
      <c r="CM21" s="408" t="s">
        <v>336</v>
      </c>
      <c r="CN21" s="408" t="s">
        <v>336</v>
      </c>
      <c r="CO21" s="408" t="s">
        <v>336</v>
      </c>
      <c r="CP21" s="408" t="s">
        <v>336</v>
      </c>
      <c r="CQ21" s="408" t="s">
        <v>336</v>
      </c>
      <c r="CR21" s="236"/>
    </row>
    <row r="22" spans="1:96" x14ac:dyDescent="0.3">
      <c r="A22" s="404"/>
      <c r="B22" s="279">
        <v>25</v>
      </c>
      <c r="C22" s="173" t="str">
        <f>AM29</f>
        <v>N/A</v>
      </c>
      <c r="D22" s="173" t="str">
        <f>AN29</f>
        <v>N/A</v>
      </c>
      <c r="E22" s="173" t="str">
        <f>AO29</f>
        <v>N/A</v>
      </c>
      <c r="F22" s="173" t="str">
        <f>AP29</f>
        <v>N/A</v>
      </c>
      <c r="G22" s="173" t="str">
        <f>AQ29</f>
        <v>N/A</v>
      </c>
      <c r="H22" s="400">
        <v>25</v>
      </c>
      <c r="I22" s="83" t="str">
        <f>AS29</f>
        <v>N/A</v>
      </c>
      <c r="J22" s="83" t="str">
        <f>AT29</f>
        <v>N/A</v>
      </c>
      <c r="K22" s="83" t="str">
        <f>AU29</f>
        <v>N/A</v>
      </c>
      <c r="L22" s="83" t="str">
        <f>AV29</f>
        <v>N/A</v>
      </c>
      <c r="M22" s="83" t="str">
        <f>AW29</f>
        <v>N/A</v>
      </c>
      <c r="N22" s="391">
        <v>26</v>
      </c>
      <c r="O22" s="173" t="str">
        <f>AM30</f>
        <v>N/A</v>
      </c>
      <c r="P22" s="173" t="str">
        <f>AN30</f>
        <v>N/A</v>
      </c>
      <c r="Q22" s="173" t="str">
        <f>AO30</f>
        <v>N/A</v>
      </c>
      <c r="R22" s="173" t="str">
        <f>AP30</f>
        <v>N/A</v>
      </c>
      <c r="S22" s="173" t="str">
        <f>AQ30</f>
        <v>N/A</v>
      </c>
      <c r="T22" s="394">
        <v>26</v>
      </c>
      <c r="U22" s="83" t="str">
        <f>AS30</f>
        <v>N/A</v>
      </c>
      <c r="V22" s="83" t="str">
        <f>AT30</f>
        <v>N/A</v>
      </c>
      <c r="W22" s="83" t="str">
        <f>AU30</f>
        <v>N/A</v>
      </c>
      <c r="X22" s="84" t="str">
        <f>AV30</f>
        <v>N/A</v>
      </c>
      <c r="Y22" s="84" t="str">
        <f>AW30</f>
        <v>N/A</v>
      </c>
      <c r="Z22" s="260"/>
      <c r="AA22" s="279">
        <v>25</v>
      </c>
      <c r="AB22" s="257" t="str">
        <f>AZ28</f>
        <v>N/A</v>
      </c>
      <c r="AC22" s="261" t="str">
        <f>BA28</f>
        <v>N/A</v>
      </c>
      <c r="AD22" s="261" t="str">
        <f>BB28</f>
        <v>N/A</v>
      </c>
      <c r="AE22" s="261" t="str">
        <f>BC28</f>
        <v>N/A</v>
      </c>
      <c r="AF22" s="281">
        <v>26</v>
      </c>
      <c r="AG22" s="257" t="str">
        <f>AZ29</f>
        <v>N/A</v>
      </c>
      <c r="AH22" s="263" t="str">
        <f>BA29</f>
        <v>N/A</v>
      </c>
      <c r="AI22" s="263" t="s">
        <v>336</v>
      </c>
      <c r="AJ22" s="263" t="s">
        <v>336</v>
      </c>
      <c r="AK22" s="236" t="s">
        <v>336</v>
      </c>
      <c r="AL22" s="253">
        <v>18</v>
      </c>
      <c r="AM22" s="254" t="s">
        <v>336</v>
      </c>
      <c r="AN22" s="254" t="s">
        <v>336</v>
      </c>
      <c r="AO22" s="254" t="s">
        <v>336</v>
      </c>
      <c r="AP22" s="254" t="s">
        <v>336</v>
      </c>
      <c r="AQ22" s="254" t="s">
        <v>336</v>
      </c>
      <c r="AR22" s="390">
        <v>18</v>
      </c>
      <c r="AS22" s="254" t="s">
        <v>336</v>
      </c>
      <c r="AT22" s="254" t="s">
        <v>336</v>
      </c>
      <c r="AU22" s="254" t="s">
        <v>336</v>
      </c>
      <c r="AV22" s="254" t="s">
        <v>336</v>
      </c>
      <c r="AW22" s="254" t="s">
        <v>336</v>
      </c>
      <c r="AX22" s="236"/>
      <c r="AY22" s="245">
        <v>19</v>
      </c>
      <c r="AZ22" s="246" t="s">
        <v>336</v>
      </c>
      <c r="BA22" s="246">
        <v>0.91</v>
      </c>
      <c r="BB22" s="246" t="s">
        <v>336</v>
      </c>
      <c r="BC22" s="246" t="s">
        <v>336</v>
      </c>
      <c r="BD22" s="236"/>
      <c r="BE22" s="404"/>
      <c r="BF22" s="279">
        <v>25</v>
      </c>
      <c r="BG22" s="173" t="str">
        <f>CG29</f>
        <v>N/A</v>
      </c>
      <c r="BH22" s="173" t="str">
        <f>CH29</f>
        <v>N/A</v>
      </c>
      <c r="BI22" s="173" t="str">
        <f>CI29</f>
        <v>N/A</v>
      </c>
      <c r="BJ22" s="173" t="str">
        <f>CJ29</f>
        <v>N/A</v>
      </c>
      <c r="BK22" s="173" t="str">
        <f>CK29</f>
        <v>N/A</v>
      </c>
      <c r="BL22" s="400">
        <v>25</v>
      </c>
      <c r="BM22" s="83" t="str">
        <f>CM29</f>
        <v>N/A</v>
      </c>
      <c r="BN22" s="83" t="str">
        <f>CN29</f>
        <v>N/A</v>
      </c>
      <c r="BO22" s="83" t="str">
        <f>CO29</f>
        <v>N/A</v>
      </c>
      <c r="BP22" s="83" t="str">
        <f>CP29</f>
        <v>N/A</v>
      </c>
      <c r="BQ22" s="83" t="str">
        <f>CQ29</f>
        <v>N/A</v>
      </c>
      <c r="BR22" s="391">
        <v>26</v>
      </c>
      <c r="BS22" s="173" t="str">
        <f>CG30</f>
        <v>N/A</v>
      </c>
      <c r="BT22" s="173" t="str">
        <f>CH30</f>
        <v>N/A</v>
      </c>
      <c r="BU22" s="173" t="str">
        <f>CI30</f>
        <v>N/A</v>
      </c>
      <c r="BV22" s="173" t="str">
        <f>CJ30</f>
        <v>N/A</v>
      </c>
      <c r="BW22" s="173" t="str">
        <f>CK30</f>
        <v>N/A</v>
      </c>
      <c r="BX22" s="394">
        <v>26</v>
      </c>
      <c r="BY22" s="83" t="str">
        <f>CM30</f>
        <v>N/A</v>
      </c>
      <c r="BZ22" s="83" t="str">
        <f>CN30</f>
        <v>N/A</v>
      </c>
      <c r="CA22" s="83" t="str">
        <f>CO30</f>
        <v>N/A</v>
      </c>
      <c r="CB22" s="83" t="str">
        <f>CP30</f>
        <v>N/A</v>
      </c>
      <c r="CC22" s="83" t="str">
        <f>CQ30</f>
        <v>N/A</v>
      </c>
      <c r="CD22" s="260"/>
      <c r="CE22" s="236" t="s">
        <v>336</v>
      </c>
      <c r="CF22" s="595">
        <v>17</v>
      </c>
      <c r="CG22" s="409" t="s">
        <v>336</v>
      </c>
      <c r="CH22" s="409" t="s">
        <v>336</v>
      </c>
      <c r="CI22" s="409" t="s">
        <v>336</v>
      </c>
      <c r="CJ22" s="409" t="s">
        <v>336</v>
      </c>
      <c r="CK22" s="409" t="s">
        <v>336</v>
      </c>
      <c r="CL22" s="390">
        <v>18</v>
      </c>
      <c r="CM22" s="409" t="s">
        <v>336</v>
      </c>
      <c r="CN22" s="409" t="s">
        <v>336</v>
      </c>
      <c r="CO22" s="409" t="s">
        <v>336</v>
      </c>
      <c r="CP22" s="409" t="s">
        <v>336</v>
      </c>
      <c r="CQ22" s="409" t="s">
        <v>336</v>
      </c>
      <c r="CR22" s="236"/>
    </row>
    <row r="23" spans="1:96" x14ac:dyDescent="0.3">
      <c r="A23" s="404"/>
      <c r="B23" s="282">
        <v>27</v>
      </c>
      <c r="C23" s="174" t="str">
        <f>AM31</f>
        <v>N/A</v>
      </c>
      <c r="D23" s="174" t="str">
        <f>AN31</f>
        <v>N/A</v>
      </c>
      <c r="E23" s="174" t="str">
        <f>AO31</f>
        <v>N/A</v>
      </c>
      <c r="F23" s="174" t="str">
        <f>AP31</f>
        <v>N/A</v>
      </c>
      <c r="G23" s="174" t="str">
        <f>AQ31</f>
        <v>N/A</v>
      </c>
      <c r="H23" s="401">
        <v>27</v>
      </c>
      <c r="I23" s="86" t="str">
        <f>AS31</f>
        <v>N/A</v>
      </c>
      <c r="J23" s="86" t="str">
        <f>AT31</f>
        <v>N/A</v>
      </c>
      <c r="K23" s="86" t="str">
        <f>AU31</f>
        <v>N/A</v>
      </c>
      <c r="L23" s="86" t="str">
        <f>AV31</f>
        <v>N/A</v>
      </c>
      <c r="M23" s="86" t="str">
        <f>AW31</f>
        <v>N/A</v>
      </c>
      <c r="N23" s="392">
        <v>28</v>
      </c>
      <c r="O23" s="174" t="str">
        <f>AM32</f>
        <v>N/A</v>
      </c>
      <c r="P23" s="174" t="str">
        <f>AN32</f>
        <v>N/A</v>
      </c>
      <c r="Q23" s="174" t="str">
        <f>AO32</f>
        <v>N/A</v>
      </c>
      <c r="R23" s="174" t="str">
        <f>AP32</f>
        <v>N/A</v>
      </c>
      <c r="S23" s="174" t="str">
        <f>AQ32</f>
        <v>N/A</v>
      </c>
      <c r="T23" s="395">
        <v>28</v>
      </c>
      <c r="U23" s="86" t="str">
        <f>AS32</f>
        <v>N/A</v>
      </c>
      <c r="V23" s="86" t="str">
        <f>AT32</f>
        <v>N/A</v>
      </c>
      <c r="W23" s="86" t="str">
        <f>AU32</f>
        <v>N/A</v>
      </c>
      <c r="X23" s="87" t="str">
        <f>AV32</f>
        <v>N/A</v>
      </c>
      <c r="Y23" s="87" t="str">
        <f>AW32</f>
        <v>N/A</v>
      </c>
      <c r="Z23" s="260"/>
      <c r="AA23" s="282">
        <v>27</v>
      </c>
      <c r="AB23" s="265" t="str">
        <f>AZ30</f>
        <v>N/A</v>
      </c>
      <c r="AC23" s="267" t="str">
        <f>BA30</f>
        <v>N/A</v>
      </c>
      <c r="AD23" s="267" t="str">
        <f>BB30</f>
        <v>N/A</v>
      </c>
      <c r="AE23" s="267" t="str">
        <f>BC30</f>
        <v>N/A</v>
      </c>
      <c r="AF23" s="284">
        <v>28</v>
      </c>
      <c r="AG23" s="265" t="str">
        <f>AZ31</f>
        <v>N/A</v>
      </c>
      <c r="AH23" s="268" t="str">
        <f>BA31</f>
        <v>N/A</v>
      </c>
      <c r="AI23" s="268" t="s">
        <v>336</v>
      </c>
      <c r="AJ23" s="268" t="s">
        <v>336</v>
      </c>
      <c r="AK23" s="236" t="s">
        <v>336</v>
      </c>
      <c r="AL23" s="245">
        <v>19</v>
      </c>
      <c r="AM23" s="246" t="s">
        <v>336</v>
      </c>
      <c r="AN23" s="246" t="s">
        <v>336</v>
      </c>
      <c r="AO23" s="246" t="s">
        <v>336</v>
      </c>
      <c r="AP23" s="246" t="s">
        <v>336</v>
      </c>
      <c r="AQ23" s="246" t="s">
        <v>336</v>
      </c>
      <c r="AR23" s="388">
        <v>19</v>
      </c>
      <c r="AS23" s="246" t="s">
        <v>336</v>
      </c>
      <c r="AT23" s="246" t="s">
        <v>336</v>
      </c>
      <c r="AU23" s="246" t="s">
        <v>336</v>
      </c>
      <c r="AV23" s="246" t="s">
        <v>336</v>
      </c>
      <c r="AW23" s="246" t="s">
        <v>336</v>
      </c>
      <c r="AX23" s="236"/>
      <c r="AY23" s="253">
        <v>20</v>
      </c>
      <c r="AZ23" s="254" t="s">
        <v>336</v>
      </c>
      <c r="BA23" s="254">
        <v>0.91</v>
      </c>
      <c r="BB23" s="254" t="s">
        <v>336</v>
      </c>
      <c r="BC23" s="254" t="s">
        <v>336</v>
      </c>
      <c r="BD23" s="236"/>
      <c r="BE23" s="404"/>
      <c r="BF23" s="282">
        <v>27</v>
      </c>
      <c r="BG23" s="174" t="str">
        <f>CG31</f>
        <v>N/A</v>
      </c>
      <c r="BH23" s="174" t="str">
        <f>CH31</f>
        <v>N/A</v>
      </c>
      <c r="BI23" s="174" t="str">
        <f>CI31</f>
        <v>N/A</v>
      </c>
      <c r="BJ23" s="174" t="str">
        <f>CJ31</f>
        <v>N/A</v>
      </c>
      <c r="BK23" s="174" t="str">
        <f>CK31</f>
        <v>N/A</v>
      </c>
      <c r="BL23" s="401">
        <v>27</v>
      </c>
      <c r="BM23" s="86" t="str">
        <f>CM31</f>
        <v>N/A</v>
      </c>
      <c r="BN23" s="86" t="str">
        <f>CN31</f>
        <v>N/A</v>
      </c>
      <c r="BO23" s="86" t="str">
        <f>CO31</f>
        <v>N/A</v>
      </c>
      <c r="BP23" s="86" t="str">
        <f>CP31</f>
        <v>N/A</v>
      </c>
      <c r="BQ23" s="86" t="str">
        <f>CQ31</f>
        <v>N/A</v>
      </c>
      <c r="BR23" s="392">
        <v>28</v>
      </c>
      <c r="BS23" s="174" t="str">
        <f>CG32</f>
        <v>N/A</v>
      </c>
      <c r="BT23" s="174" t="str">
        <f>CH32</f>
        <v>N/A</v>
      </c>
      <c r="BU23" s="174" t="str">
        <f>CI32</f>
        <v>N/A</v>
      </c>
      <c r="BV23" s="174" t="str">
        <f>CJ32</f>
        <v>N/A</v>
      </c>
      <c r="BW23" s="174" t="str">
        <f>CK32</f>
        <v>N/A</v>
      </c>
      <c r="BX23" s="395">
        <v>28</v>
      </c>
      <c r="BY23" s="86" t="str">
        <f>CM32</f>
        <v>N/A</v>
      </c>
      <c r="BZ23" s="86" t="str">
        <f>CN32</f>
        <v>N/A</v>
      </c>
      <c r="CA23" s="86" t="str">
        <f>CO32</f>
        <v>N/A</v>
      </c>
      <c r="CB23" s="86" t="str">
        <f>CP32</f>
        <v>N/A</v>
      </c>
      <c r="CC23" s="86" t="str">
        <f>CQ32</f>
        <v>N/A</v>
      </c>
      <c r="CD23" s="260"/>
      <c r="CE23" s="236" t="s">
        <v>336</v>
      </c>
      <c r="CF23" s="594">
        <v>18</v>
      </c>
      <c r="CG23" s="408" t="s">
        <v>336</v>
      </c>
      <c r="CH23" s="408" t="s">
        <v>336</v>
      </c>
      <c r="CI23" s="408" t="s">
        <v>336</v>
      </c>
      <c r="CJ23" s="408" t="s">
        <v>336</v>
      </c>
      <c r="CK23" s="408" t="s">
        <v>336</v>
      </c>
      <c r="CL23" s="388">
        <v>19</v>
      </c>
      <c r="CM23" s="408" t="s">
        <v>336</v>
      </c>
      <c r="CN23" s="408" t="s">
        <v>336</v>
      </c>
      <c r="CO23" s="408" t="s">
        <v>336</v>
      </c>
      <c r="CP23" s="408" t="s">
        <v>336</v>
      </c>
      <c r="CQ23" s="408" t="s">
        <v>336</v>
      </c>
      <c r="CR23" s="236"/>
    </row>
    <row r="24" spans="1:96" x14ac:dyDescent="0.3">
      <c r="A24" s="404"/>
      <c r="B24" s="285">
        <v>29</v>
      </c>
      <c r="C24" s="173" t="str">
        <f>AM33</f>
        <v>N/A</v>
      </c>
      <c r="D24" s="173" t="str">
        <f>AN33</f>
        <v>N/A</v>
      </c>
      <c r="E24" s="173" t="str">
        <f>AO33</f>
        <v>N/A</v>
      </c>
      <c r="F24" s="173" t="str">
        <f>AP33</f>
        <v>N/A</v>
      </c>
      <c r="G24" s="173" t="str">
        <f>AQ33</f>
        <v>N/A</v>
      </c>
      <c r="H24" s="402">
        <v>29</v>
      </c>
      <c r="I24" s="83" t="str">
        <f>AS33</f>
        <v>N/A</v>
      </c>
      <c r="J24" s="83" t="str">
        <f>AT33</f>
        <v>N/A</v>
      </c>
      <c r="K24" s="83" t="str">
        <f>AU33</f>
        <v>N/A</v>
      </c>
      <c r="L24" s="83" t="str">
        <f>AV33</f>
        <v>N/A</v>
      </c>
      <c r="M24" s="83" t="str">
        <f>AW33</f>
        <v>N/A</v>
      </c>
      <c r="N24" s="393">
        <v>30</v>
      </c>
      <c r="O24" s="173" t="str">
        <f>AM34</f>
        <v>N/A</v>
      </c>
      <c r="P24" s="173" t="str">
        <f>AN34</f>
        <v>N/A</v>
      </c>
      <c r="Q24" s="173" t="str">
        <f>AO34</f>
        <v>N/A</v>
      </c>
      <c r="R24" s="173" t="str">
        <f>AP34</f>
        <v>N/A</v>
      </c>
      <c r="S24" s="173" t="str">
        <f>AQ34</f>
        <v>N/A</v>
      </c>
      <c r="T24" s="396">
        <v>30</v>
      </c>
      <c r="U24" s="83" t="str">
        <f>AS34</f>
        <v>N/A</v>
      </c>
      <c r="V24" s="83" t="str">
        <f>AT34</f>
        <v>N/A</v>
      </c>
      <c r="W24" s="83" t="str">
        <f>AU34</f>
        <v>N/A</v>
      </c>
      <c r="X24" s="84" t="str">
        <f>AV34</f>
        <v>N/A</v>
      </c>
      <c r="Y24" s="84" t="str">
        <f>AW34</f>
        <v>N/A</v>
      </c>
      <c r="Z24" s="260"/>
      <c r="AA24" s="285">
        <v>29</v>
      </c>
      <c r="AB24" s="257" t="str">
        <f>AZ32</f>
        <v>N/A</v>
      </c>
      <c r="AC24" s="261" t="str">
        <f>BA32</f>
        <v>N/A</v>
      </c>
      <c r="AD24" s="261" t="str">
        <f>BB32</f>
        <v>N/A</v>
      </c>
      <c r="AE24" s="261" t="str">
        <f>BC32</f>
        <v>N/A</v>
      </c>
      <c r="AF24" s="286">
        <v>30</v>
      </c>
      <c r="AG24" s="257" t="str">
        <f>AZ33</f>
        <v>N/A</v>
      </c>
      <c r="AH24" s="263" t="str">
        <f>BA33</f>
        <v>N/A</v>
      </c>
      <c r="AI24" s="263" t="s">
        <v>336</v>
      </c>
      <c r="AJ24" s="263" t="s">
        <v>336</v>
      </c>
      <c r="AK24" s="236" t="s">
        <v>336</v>
      </c>
      <c r="AL24" s="253">
        <v>20</v>
      </c>
      <c r="AM24" s="254" t="s">
        <v>336</v>
      </c>
      <c r="AN24" s="254" t="s">
        <v>336</v>
      </c>
      <c r="AO24" s="254" t="s">
        <v>336</v>
      </c>
      <c r="AP24" s="254" t="s">
        <v>336</v>
      </c>
      <c r="AQ24" s="254" t="s">
        <v>336</v>
      </c>
      <c r="AR24" s="390">
        <v>20</v>
      </c>
      <c r="AS24" s="254" t="s">
        <v>336</v>
      </c>
      <c r="AT24" s="254" t="s">
        <v>336</v>
      </c>
      <c r="AU24" s="254" t="s">
        <v>336</v>
      </c>
      <c r="AV24" s="254" t="s">
        <v>336</v>
      </c>
      <c r="AW24" s="254" t="s">
        <v>336</v>
      </c>
      <c r="AX24" s="236"/>
      <c r="AY24" s="245">
        <v>21</v>
      </c>
      <c r="AZ24" s="246" t="s">
        <v>336</v>
      </c>
      <c r="BA24" s="246">
        <v>0.91</v>
      </c>
      <c r="BB24" s="246" t="s">
        <v>336</v>
      </c>
      <c r="BC24" s="246" t="s">
        <v>336</v>
      </c>
      <c r="BD24" s="236"/>
      <c r="BE24" s="404"/>
      <c r="BF24" s="285">
        <v>29</v>
      </c>
      <c r="BG24" s="173" t="str">
        <f>CG33</f>
        <v>N/A</v>
      </c>
      <c r="BH24" s="173" t="str">
        <f>CH33</f>
        <v>N/A</v>
      </c>
      <c r="BI24" s="173" t="str">
        <f>CI33</f>
        <v>N/A</v>
      </c>
      <c r="BJ24" s="173" t="str">
        <f>CJ33</f>
        <v>N/A</v>
      </c>
      <c r="BK24" s="173" t="str">
        <f>CK33</f>
        <v>N/A</v>
      </c>
      <c r="BL24" s="402">
        <v>29</v>
      </c>
      <c r="BM24" s="83" t="str">
        <f>CM33</f>
        <v>N/A</v>
      </c>
      <c r="BN24" s="83" t="str">
        <f>CN33</f>
        <v>N/A</v>
      </c>
      <c r="BO24" s="83" t="str">
        <f>CO33</f>
        <v>N/A</v>
      </c>
      <c r="BP24" s="83" t="str">
        <f>CP33</f>
        <v>N/A</v>
      </c>
      <c r="BQ24" s="83" t="str">
        <f>CQ33</f>
        <v>N/A</v>
      </c>
      <c r="BR24" s="393">
        <v>30</v>
      </c>
      <c r="BS24" s="173" t="str">
        <f>CG34</f>
        <v>N/A</v>
      </c>
      <c r="BT24" s="173" t="str">
        <f>CH34</f>
        <v>N/A</v>
      </c>
      <c r="BU24" s="173" t="str">
        <f>CI34</f>
        <v>N/A</v>
      </c>
      <c r="BV24" s="173" t="str">
        <f>CJ34</f>
        <v>N/A</v>
      </c>
      <c r="BW24" s="173" t="str">
        <f>CK34</f>
        <v>N/A</v>
      </c>
      <c r="BX24" s="396">
        <v>30</v>
      </c>
      <c r="BY24" s="83" t="str">
        <f>CM34</f>
        <v>N/A</v>
      </c>
      <c r="BZ24" s="83" t="str">
        <f>CN34</f>
        <v>N/A</v>
      </c>
      <c r="CA24" s="83" t="str">
        <f>CO34</f>
        <v>N/A</v>
      </c>
      <c r="CB24" s="83" t="str">
        <f>CP34</f>
        <v>N/A</v>
      </c>
      <c r="CC24" s="83" t="str">
        <f>CQ34</f>
        <v>N/A</v>
      </c>
      <c r="CD24" s="260"/>
      <c r="CE24" s="236" t="s">
        <v>336</v>
      </c>
      <c r="CF24" s="595">
        <v>19</v>
      </c>
      <c r="CG24" s="409" t="s">
        <v>336</v>
      </c>
      <c r="CH24" s="409" t="s">
        <v>336</v>
      </c>
      <c r="CI24" s="409" t="s">
        <v>336</v>
      </c>
      <c r="CJ24" s="409" t="s">
        <v>336</v>
      </c>
      <c r="CK24" s="409" t="s">
        <v>336</v>
      </c>
      <c r="CL24" s="390">
        <v>20</v>
      </c>
      <c r="CM24" s="409" t="s">
        <v>336</v>
      </c>
      <c r="CN24" s="409" t="s">
        <v>336</v>
      </c>
      <c r="CO24" s="409" t="s">
        <v>336</v>
      </c>
      <c r="CP24" s="409" t="s">
        <v>336</v>
      </c>
      <c r="CQ24" s="409" t="s">
        <v>336</v>
      </c>
      <c r="CR24" s="236"/>
    </row>
    <row r="25" spans="1:96" x14ac:dyDescent="0.3">
      <c r="A25" s="404"/>
      <c r="B25" s="282">
        <v>31</v>
      </c>
      <c r="C25" s="174" t="str">
        <f>AM35</f>
        <v>N/A</v>
      </c>
      <c r="D25" s="174" t="str">
        <f>AN35</f>
        <v>N/A</v>
      </c>
      <c r="E25" s="174" t="str">
        <f>AO35</f>
        <v>N/A</v>
      </c>
      <c r="F25" s="174" t="str">
        <f>AP35</f>
        <v>N/A</v>
      </c>
      <c r="G25" s="174" t="str">
        <f>AQ35</f>
        <v>N/A</v>
      </c>
      <c r="H25" s="401">
        <v>31</v>
      </c>
      <c r="I25" s="86" t="str">
        <f>AS35</f>
        <v>N/A</v>
      </c>
      <c r="J25" s="86" t="str">
        <f>AT35</f>
        <v>N/A</v>
      </c>
      <c r="K25" s="86" t="str">
        <f>AU35</f>
        <v>N/A</v>
      </c>
      <c r="L25" s="86" t="str">
        <f>AV35</f>
        <v>N/A</v>
      </c>
      <c r="M25" s="86" t="str">
        <f>AW35</f>
        <v>N/A</v>
      </c>
      <c r="N25" s="392">
        <v>32</v>
      </c>
      <c r="O25" s="174" t="str">
        <f>AM36</f>
        <v>N/A</v>
      </c>
      <c r="P25" s="174" t="str">
        <f>AN36</f>
        <v>N/A</v>
      </c>
      <c r="Q25" s="174" t="str">
        <f>AO36</f>
        <v>N/A</v>
      </c>
      <c r="R25" s="174" t="str">
        <f>AP36</f>
        <v>N/A</v>
      </c>
      <c r="S25" s="174" t="str">
        <f>AQ36</f>
        <v>N/A</v>
      </c>
      <c r="T25" s="395">
        <v>32</v>
      </c>
      <c r="U25" s="86" t="str">
        <f>AS36</f>
        <v>N/A</v>
      </c>
      <c r="V25" s="86" t="str">
        <f>AT36</f>
        <v>N/A</v>
      </c>
      <c r="W25" s="86" t="str">
        <f>AU36</f>
        <v>N/A</v>
      </c>
      <c r="X25" s="87" t="str">
        <f>AV36</f>
        <v>N/A</v>
      </c>
      <c r="Y25" s="87" t="str">
        <f>AW36</f>
        <v>N/A</v>
      </c>
      <c r="Z25" s="260"/>
      <c r="AA25" s="282">
        <v>31</v>
      </c>
      <c r="AB25" s="265" t="str">
        <f>AZ34</f>
        <v>N/A</v>
      </c>
      <c r="AC25" s="267" t="str">
        <f>BA34</f>
        <v>N/A</v>
      </c>
      <c r="AD25" s="267" t="str">
        <f>BB34</f>
        <v>N/A</v>
      </c>
      <c r="AE25" s="267" t="str">
        <f>BC34</f>
        <v>N/A</v>
      </c>
      <c r="AF25" s="284">
        <v>32</v>
      </c>
      <c r="AG25" s="265" t="str">
        <f>AZ35</f>
        <v>N/A</v>
      </c>
      <c r="AH25" s="268" t="str">
        <f>BA35</f>
        <v>N/A</v>
      </c>
      <c r="AI25" s="268" t="s">
        <v>336</v>
      </c>
      <c r="AJ25" s="268" t="s">
        <v>336</v>
      </c>
      <c r="AK25" s="236" t="s">
        <v>336</v>
      </c>
      <c r="AL25" s="245">
        <v>21</v>
      </c>
      <c r="AM25" s="246" t="s">
        <v>336</v>
      </c>
      <c r="AN25" s="246" t="s">
        <v>336</v>
      </c>
      <c r="AO25" s="246" t="s">
        <v>336</v>
      </c>
      <c r="AP25" s="246" t="s">
        <v>336</v>
      </c>
      <c r="AQ25" s="246" t="s">
        <v>336</v>
      </c>
      <c r="AR25" s="388">
        <v>21</v>
      </c>
      <c r="AS25" s="246" t="s">
        <v>336</v>
      </c>
      <c r="AT25" s="246" t="s">
        <v>336</v>
      </c>
      <c r="AU25" s="246" t="s">
        <v>336</v>
      </c>
      <c r="AV25" s="246" t="s">
        <v>336</v>
      </c>
      <c r="AW25" s="246" t="s">
        <v>336</v>
      </c>
      <c r="AX25" s="236"/>
      <c r="AY25" s="253">
        <v>22</v>
      </c>
      <c r="AZ25" s="254" t="s">
        <v>336</v>
      </c>
      <c r="BA25" s="254">
        <v>0.91</v>
      </c>
      <c r="BB25" s="254" t="s">
        <v>336</v>
      </c>
      <c r="BC25" s="254" t="s">
        <v>336</v>
      </c>
      <c r="BD25" s="236"/>
      <c r="BE25" s="404"/>
      <c r="BF25" s="282">
        <v>31</v>
      </c>
      <c r="BG25" s="174" t="str">
        <f>CG35</f>
        <v>N/A</v>
      </c>
      <c r="BH25" s="174" t="str">
        <f>CH35</f>
        <v>N/A</v>
      </c>
      <c r="BI25" s="174" t="str">
        <f>CI35</f>
        <v>N/A</v>
      </c>
      <c r="BJ25" s="174" t="str">
        <f>CJ35</f>
        <v>N/A</v>
      </c>
      <c r="BK25" s="174" t="str">
        <f>CK35</f>
        <v>N/A</v>
      </c>
      <c r="BL25" s="401">
        <v>31</v>
      </c>
      <c r="BM25" s="86" t="str">
        <f>CM35</f>
        <v>N/A</v>
      </c>
      <c r="BN25" s="86" t="str">
        <f>CN35</f>
        <v>N/A</v>
      </c>
      <c r="BO25" s="86" t="str">
        <f>CO35</f>
        <v>N/A</v>
      </c>
      <c r="BP25" s="86" t="str">
        <f>CP35</f>
        <v>N/A</v>
      </c>
      <c r="BQ25" s="86" t="str">
        <f>CQ35</f>
        <v>N/A</v>
      </c>
      <c r="BR25" s="392">
        <v>32</v>
      </c>
      <c r="BS25" s="174" t="str">
        <f>CG36</f>
        <v>N/A</v>
      </c>
      <c r="BT25" s="174" t="str">
        <f>CH36</f>
        <v>N/A</v>
      </c>
      <c r="BU25" s="174" t="str">
        <f>CI36</f>
        <v>N/A</v>
      </c>
      <c r="BV25" s="174" t="str">
        <f>CJ36</f>
        <v>N/A</v>
      </c>
      <c r="BW25" s="174" t="str">
        <f>CK36</f>
        <v>N/A</v>
      </c>
      <c r="BX25" s="395">
        <v>32</v>
      </c>
      <c r="BY25" s="86" t="str">
        <f>CM36</f>
        <v>N/A</v>
      </c>
      <c r="BZ25" s="86" t="str">
        <f>CN36</f>
        <v>N/A</v>
      </c>
      <c r="CA25" s="86" t="str">
        <f>CO36</f>
        <v>N/A</v>
      </c>
      <c r="CB25" s="86" t="str">
        <f>CP36</f>
        <v>N/A</v>
      </c>
      <c r="CC25" s="86" t="str">
        <f>CQ36</f>
        <v>N/A</v>
      </c>
      <c r="CD25" s="260"/>
      <c r="CE25" s="236" t="s">
        <v>336</v>
      </c>
      <c r="CF25" s="594">
        <v>20</v>
      </c>
      <c r="CG25" s="408" t="s">
        <v>336</v>
      </c>
      <c r="CH25" s="408" t="s">
        <v>336</v>
      </c>
      <c r="CI25" s="408" t="s">
        <v>336</v>
      </c>
      <c r="CJ25" s="408" t="s">
        <v>336</v>
      </c>
      <c r="CK25" s="408" t="s">
        <v>336</v>
      </c>
      <c r="CL25" s="388">
        <v>21</v>
      </c>
      <c r="CM25" s="408" t="s">
        <v>336</v>
      </c>
      <c r="CN25" s="408" t="s">
        <v>336</v>
      </c>
      <c r="CO25" s="408" t="s">
        <v>336</v>
      </c>
      <c r="CP25" s="408" t="s">
        <v>336</v>
      </c>
      <c r="CQ25" s="408" t="s">
        <v>336</v>
      </c>
      <c r="CR25" s="236"/>
    </row>
    <row r="26" spans="1:96" x14ac:dyDescent="0.3">
      <c r="A26" s="404"/>
      <c r="B26" s="285">
        <v>33</v>
      </c>
      <c r="C26" s="173" t="str">
        <f>AM37</f>
        <v>N/A</v>
      </c>
      <c r="D26" s="173" t="str">
        <f>AN37</f>
        <v>N/A</v>
      </c>
      <c r="E26" s="173" t="str">
        <f>AO37</f>
        <v>N/A</v>
      </c>
      <c r="F26" s="173" t="str">
        <f>AP37</f>
        <v>N/A</v>
      </c>
      <c r="G26" s="173" t="str">
        <f>AQ37</f>
        <v>N/A</v>
      </c>
      <c r="H26" s="402">
        <v>33</v>
      </c>
      <c r="I26" s="83" t="str">
        <f>AS37</f>
        <v>N/A</v>
      </c>
      <c r="J26" s="83" t="str">
        <f>AT37</f>
        <v>N/A</v>
      </c>
      <c r="K26" s="83" t="str">
        <f>AU37</f>
        <v>N/A</v>
      </c>
      <c r="L26" s="83" t="str">
        <f>AV37</f>
        <v>N/A</v>
      </c>
      <c r="M26" s="83" t="str">
        <f>AW37</f>
        <v>N/A</v>
      </c>
      <c r="N26" s="393">
        <v>34</v>
      </c>
      <c r="O26" s="173" t="str">
        <f>AM38</f>
        <v>N/A</v>
      </c>
      <c r="P26" s="173" t="str">
        <f>AN38</f>
        <v>N/A</v>
      </c>
      <c r="Q26" s="173" t="str">
        <f>AO38</f>
        <v>N/A</v>
      </c>
      <c r="R26" s="173" t="str">
        <f>AP38</f>
        <v>N/A</v>
      </c>
      <c r="S26" s="173" t="str">
        <f>AQ38</f>
        <v>N/A</v>
      </c>
      <c r="T26" s="396">
        <v>34</v>
      </c>
      <c r="U26" s="83" t="str">
        <f>AS38</f>
        <v>N/A</v>
      </c>
      <c r="V26" s="83" t="str">
        <f>AT38</f>
        <v>N/A</v>
      </c>
      <c r="W26" s="83" t="str">
        <f>AU38</f>
        <v>N/A</v>
      </c>
      <c r="X26" s="84" t="str">
        <f>AV38</f>
        <v>N/A</v>
      </c>
      <c r="Y26" s="84" t="str">
        <f>AW38</f>
        <v>N/A</v>
      </c>
      <c r="Z26" s="260"/>
      <c r="AA26" s="285">
        <v>33</v>
      </c>
      <c r="AB26" s="257" t="str">
        <f>AZ36</f>
        <v>N/A</v>
      </c>
      <c r="AC26" s="261" t="str">
        <f>BA36</f>
        <v>N/A</v>
      </c>
      <c r="AD26" s="261" t="str">
        <f>BB36</f>
        <v>N/A</v>
      </c>
      <c r="AE26" s="261" t="str">
        <f>BC36</f>
        <v>N/A</v>
      </c>
      <c r="AF26" s="286">
        <v>34</v>
      </c>
      <c r="AG26" s="257" t="str">
        <f>AZ37</f>
        <v>N/A</v>
      </c>
      <c r="AH26" s="263" t="str">
        <f>BA37</f>
        <v>N/A</v>
      </c>
      <c r="AI26" s="263" t="s">
        <v>336</v>
      </c>
      <c r="AJ26" s="263" t="s">
        <v>336</v>
      </c>
      <c r="AK26" s="236" t="s">
        <v>336</v>
      </c>
      <c r="AL26" s="253">
        <v>22</v>
      </c>
      <c r="AM26" s="254" t="s">
        <v>336</v>
      </c>
      <c r="AN26" s="254" t="s">
        <v>336</v>
      </c>
      <c r="AO26" s="254" t="s">
        <v>336</v>
      </c>
      <c r="AP26" s="254" t="s">
        <v>336</v>
      </c>
      <c r="AQ26" s="254" t="s">
        <v>336</v>
      </c>
      <c r="AR26" s="390">
        <v>22</v>
      </c>
      <c r="AS26" s="254" t="s">
        <v>336</v>
      </c>
      <c r="AT26" s="254" t="s">
        <v>336</v>
      </c>
      <c r="AU26" s="254" t="s">
        <v>336</v>
      </c>
      <c r="AV26" s="254" t="s">
        <v>336</v>
      </c>
      <c r="AW26" s="254" t="s">
        <v>336</v>
      </c>
      <c r="AX26" s="236"/>
      <c r="AY26" s="245">
        <v>23</v>
      </c>
      <c r="AZ26" s="246" t="s">
        <v>336</v>
      </c>
      <c r="BA26" s="246">
        <v>0.91</v>
      </c>
      <c r="BB26" s="246" t="s">
        <v>336</v>
      </c>
      <c r="BC26" s="246" t="s">
        <v>336</v>
      </c>
      <c r="BD26" s="236"/>
      <c r="BE26" s="404"/>
      <c r="BF26" s="285">
        <v>33</v>
      </c>
      <c r="BG26" s="173" t="str">
        <f>CG37</f>
        <v>N/A</v>
      </c>
      <c r="BH26" s="173" t="str">
        <f>CH37</f>
        <v>N/A</v>
      </c>
      <c r="BI26" s="173" t="str">
        <f>CI37</f>
        <v>N/A</v>
      </c>
      <c r="BJ26" s="173" t="str">
        <f>CJ37</f>
        <v>N/A</v>
      </c>
      <c r="BK26" s="173" t="str">
        <f>CK37</f>
        <v>N/A</v>
      </c>
      <c r="BL26" s="402">
        <v>33</v>
      </c>
      <c r="BM26" s="83" t="str">
        <f>CM37</f>
        <v>N/A</v>
      </c>
      <c r="BN26" s="83" t="str">
        <f>CN37</f>
        <v>N/A</v>
      </c>
      <c r="BO26" s="83" t="str">
        <f>CO37</f>
        <v>N/A</v>
      </c>
      <c r="BP26" s="83" t="str">
        <f>CP37</f>
        <v>N/A</v>
      </c>
      <c r="BQ26" s="83" t="str">
        <f>CQ37</f>
        <v>N/A</v>
      </c>
      <c r="BR26" s="393">
        <v>34</v>
      </c>
      <c r="BS26" s="173" t="str">
        <f>CG38</f>
        <v>N/A</v>
      </c>
      <c r="BT26" s="173" t="str">
        <f>CH38</f>
        <v>N/A</v>
      </c>
      <c r="BU26" s="173" t="str">
        <f>CI38</f>
        <v>N/A</v>
      </c>
      <c r="BV26" s="173" t="str">
        <f>CJ38</f>
        <v>N/A</v>
      </c>
      <c r="BW26" s="173" t="str">
        <f>CK38</f>
        <v>N/A</v>
      </c>
      <c r="BX26" s="396">
        <v>34</v>
      </c>
      <c r="BY26" s="83" t="str">
        <f>CM38</f>
        <v>N/A</v>
      </c>
      <c r="BZ26" s="83" t="str">
        <f>CN38</f>
        <v>N/A</v>
      </c>
      <c r="CA26" s="83" t="str">
        <f>CO38</f>
        <v>N/A</v>
      </c>
      <c r="CB26" s="83" t="str">
        <f>CP38</f>
        <v>N/A</v>
      </c>
      <c r="CC26" s="83" t="str">
        <f>CQ38</f>
        <v>N/A</v>
      </c>
      <c r="CD26" s="260"/>
      <c r="CE26" s="236" t="s">
        <v>336</v>
      </c>
      <c r="CF26" s="595">
        <v>21</v>
      </c>
      <c r="CG26" s="409" t="s">
        <v>336</v>
      </c>
      <c r="CH26" s="409" t="s">
        <v>336</v>
      </c>
      <c r="CI26" s="409" t="s">
        <v>336</v>
      </c>
      <c r="CJ26" s="409" t="s">
        <v>336</v>
      </c>
      <c r="CK26" s="409" t="s">
        <v>336</v>
      </c>
      <c r="CL26" s="390">
        <v>22</v>
      </c>
      <c r="CM26" s="409" t="s">
        <v>336</v>
      </c>
      <c r="CN26" s="409" t="s">
        <v>336</v>
      </c>
      <c r="CO26" s="409" t="s">
        <v>336</v>
      </c>
      <c r="CP26" s="409" t="s">
        <v>336</v>
      </c>
      <c r="CQ26" s="409" t="s">
        <v>336</v>
      </c>
      <c r="CR26" s="236"/>
    </row>
    <row r="27" spans="1:96" x14ac:dyDescent="0.3">
      <c r="A27" s="404"/>
      <c r="B27" s="282">
        <v>35</v>
      </c>
      <c r="C27" s="174" t="str">
        <f>AM39</f>
        <v>N/A</v>
      </c>
      <c r="D27" s="174" t="str">
        <f>AN39</f>
        <v>N/A</v>
      </c>
      <c r="E27" s="174" t="str">
        <f>AO39</f>
        <v>N/A</v>
      </c>
      <c r="F27" s="174" t="str">
        <f>AP39</f>
        <v>N/A</v>
      </c>
      <c r="G27" s="174" t="str">
        <f>AQ39</f>
        <v>N/A</v>
      </c>
      <c r="H27" s="401">
        <v>35</v>
      </c>
      <c r="I27" s="86" t="str">
        <f>AS39</f>
        <v>N/A</v>
      </c>
      <c r="J27" s="86" t="str">
        <f>AT39</f>
        <v>N/A</v>
      </c>
      <c r="K27" s="86" t="str">
        <f>AU39</f>
        <v>N/A</v>
      </c>
      <c r="L27" s="86" t="str">
        <f>AV39</f>
        <v>N/A</v>
      </c>
      <c r="M27" s="86" t="str">
        <f>AW39</f>
        <v>N/A</v>
      </c>
      <c r="N27" s="392">
        <v>36</v>
      </c>
      <c r="O27" s="174" t="str">
        <f>AM40</f>
        <v>N/A</v>
      </c>
      <c r="P27" s="174" t="str">
        <f>AN40</f>
        <v>N/A</v>
      </c>
      <c r="Q27" s="174" t="str">
        <f>AO40</f>
        <v>N/A</v>
      </c>
      <c r="R27" s="174" t="str">
        <f>AP40</f>
        <v>N/A</v>
      </c>
      <c r="S27" s="174" t="str">
        <f>AQ40</f>
        <v>N/A</v>
      </c>
      <c r="T27" s="395">
        <v>36</v>
      </c>
      <c r="U27" s="86" t="str">
        <f>AS40</f>
        <v>N/A</v>
      </c>
      <c r="V27" s="86" t="str">
        <f>AT40</f>
        <v>N/A</v>
      </c>
      <c r="W27" s="86" t="str">
        <f>AU40</f>
        <v>N/A</v>
      </c>
      <c r="X27" s="87" t="str">
        <f>AV40</f>
        <v>N/A</v>
      </c>
      <c r="Y27" s="87" t="str">
        <f>AW40</f>
        <v>N/A</v>
      </c>
      <c r="Z27" s="260"/>
      <c r="AA27" s="282">
        <v>35</v>
      </c>
      <c r="AB27" s="265" t="str">
        <f>AZ38</f>
        <v>N/A</v>
      </c>
      <c r="AC27" s="267" t="str">
        <f>BA38</f>
        <v>N/A</v>
      </c>
      <c r="AD27" s="267" t="str">
        <f>BB38</f>
        <v>N/A</v>
      </c>
      <c r="AE27" s="267" t="str">
        <f>BC38</f>
        <v>N/A</v>
      </c>
      <c r="AF27" s="284">
        <v>36</v>
      </c>
      <c r="AG27" s="265" t="str">
        <f>AZ39</f>
        <v>N/A</v>
      </c>
      <c r="AH27" s="268" t="str">
        <f>BA39</f>
        <v>N/A</v>
      </c>
      <c r="AI27" s="268" t="s">
        <v>336</v>
      </c>
      <c r="AJ27" s="268" t="s">
        <v>336</v>
      </c>
      <c r="AK27" s="236" t="s">
        <v>336</v>
      </c>
      <c r="AL27" s="245">
        <v>23</v>
      </c>
      <c r="AM27" s="246" t="s">
        <v>336</v>
      </c>
      <c r="AN27" s="246" t="s">
        <v>336</v>
      </c>
      <c r="AO27" s="246" t="s">
        <v>336</v>
      </c>
      <c r="AP27" s="246" t="s">
        <v>336</v>
      </c>
      <c r="AQ27" s="246" t="s">
        <v>336</v>
      </c>
      <c r="AR27" s="388">
        <v>23</v>
      </c>
      <c r="AS27" s="246" t="s">
        <v>336</v>
      </c>
      <c r="AT27" s="246" t="s">
        <v>336</v>
      </c>
      <c r="AU27" s="246" t="s">
        <v>336</v>
      </c>
      <c r="AV27" s="246" t="s">
        <v>336</v>
      </c>
      <c r="AW27" s="246" t="s">
        <v>336</v>
      </c>
      <c r="AX27" s="236"/>
      <c r="AY27" s="253">
        <v>24</v>
      </c>
      <c r="AZ27" s="254" t="s">
        <v>336</v>
      </c>
      <c r="BA27" s="254">
        <v>0.91</v>
      </c>
      <c r="BB27" s="254" t="s">
        <v>336</v>
      </c>
      <c r="BC27" s="254" t="s">
        <v>336</v>
      </c>
      <c r="BD27" s="236"/>
      <c r="BE27" s="404"/>
      <c r="BF27" s="282">
        <v>35</v>
      </c>
      <c r="BG27" s="174" t="str">
        <f>CG39</f>
        <v>N/A</v>
      </c>
      <c r="BH27" s="174" t="str">
        <f>CH39</f>
        <v>N/A</v>
      </c>
      <c r="BI27" s="174" t="str">
        <f>CI39</f>
        <v>N/A</v>
      </c>
      <c r="BJ27" s="174" t="str">
        <f>CJ39</f>
        <v>N/A</v>
      </c>
      <c r="BK27" s="174" t="str">
        <f>CK39</f>
        <v>N/A</v>
      </c>
      <c r="BL27" s="401">
        <v>35</v>
      </c>
      <c r="BM27" s="86" t="str">
        <f>CM39</f>
        <v>N/A</v>
      </c>
      <c r="BN27" s="86" t="str">
        <f>CN39</f>
        <v>N/A</v>
      </c>
      <c r="BO27" s="86" t="str">
        <f>CO39</f>
        <v>N/A</v>
      </c>
      <c r="BP27" s="86" t="str">
        <f>CP39</f>
        <v>N/A</v>
      </c>
      <c r="BQ27" s="86" t="str">
        <f>CQ39</f>
        <v>N/A</v>
      </c>
      <c r="BR27" s="392">
        <v>36</v>
      </c>
      <c r="BS27" s="174" t="str">
        <f>CG40</f>
        <v>N/A</v>
      </c>
      <c r="BT27" s="174" t="str">
        <f>CH40</f>
        <v>N/A</v>
      </c>
      <c r="BU27" s="174" t="str">
        <f>CI40</f>
        <v>N/A</v>
      </c>
      <c r="BV27" s="174" t="str">
        <f>CJ40</f>
        <v>N/A</v>
      </c>
      <c r="BW27" s="174" t="str">
        <f>CK40</f>
        <v>N/A</v>
      </c>
      <c r="BX27" s="395">
        <v>36</v>
      </c>
      <c r="BY27" s="86" t="str">
        <f>CM40</f>
        <v>N/A</v>
      </c>
      <c r="BZ27" s="86" t="str">
        <f>CN40</f>
        <v>N/A</v>
      </c>
      <c r="CA27" s="86" t="str">
        <f>CO40</f>
        <v>N/A</v>
      </c>
      <c r="CB27" s="86" t="str">
        <f>CP40</f>
        <v>N/A</v>
      </c>
      <c r="CC27" s="86" t="str">
        <f>CQ40</f>
        <v>N/A</v>
      </c>
      <c r="CD27" s="260"/>
      <c r="CE27" s="236" t="s">
        <v>336</v>
      </c>
      <c r="CF27" s="594">
        <v>22</v>
      </c>
      <c r="CG27" s="408" t="s">
        <v>336</v>
      </c>
      <c r="CH27" s="408" t="s">
        <v>336</v>
      </c>
      <c r="CI27" s="408" t="s">
        <v>336</v>
      </c>
      <c r="CJ27" s="408" t="s">
        <v>336</v>
      </c>
      <c r="CK27" s="408" t="s">
        <v>336</v>
      </c>
      <c r="CL27" s="388">
        <v>23</v>
      </c>
      <c r="CM27" s="408" t="s">
        <v>336</v>
      </c>
      <c r="CN27" s="408" t="s">
        <v>336</v>
      </c>
      <c r="CO27" s="408" t="s">
        <v>336</v>
      </c>
      <c r="CP27" s="408" t="s">
        <v>336</v>
      </c>
      <c r="CQ27" s="408" t="s">
        <v>336</v>
      </c>
      <c r="CR27" s="236"/>
    </row>
    <row r="28" spans="1:96" x14ac:dyDescent="0.3">
      <c r="A28" s="404"/>
      <c r="B28" s="285">
        <v>37</v>
      </c>
      <c r="C28" s="173" t="str">
        <f>AM41</f>
        <v>N/A</v>
      </c>
      <c r="D28" s="173" t="str">
        <f>AN41</f>
        <v>N/A</v>
      </c>
      <c r="E28" s="173" t="str">
        <f>AO41</f>
        <v>N/A</v>
      </c>
      <c r="F28" s="173" t="str">
        <f>AP41</f>
        <v>N/A</v>
      </c>
      <c r="G28" s="173" t="str">
        <f>AQ41</f>
        <v>N/A</v>
      </c>
      <c r="H28" s="402">
        <v>37</v>
      </c>
      <c r="I28" s="83" t="str">
        <f>AS41</f>
        <v>N/A</v>
      </c>
      <c r="J28" s="83" t="str">
        <f>AT41</f>
        <v>N/A</v>
      </c>
      <c r="K28" s="83" t="str">
        <f>AU41</f>
        <v>N/A</v>
      </c>
      <c r="L28" s="83" t="str">
        <f>AV41</f>
        <v>N/A</v>
      </c>
      <c r="M28" s="83" t="str">
        <f>AW41</f>
        <v>N/A</v>
      </c>
      <c r="N28" s="393">
        <v>38</v>
      </c>
      <c r="O28" s="173" t="str">
        <f>AM42</f>
        <v>N/A</v>
      </c>
      <c r="P28" s="173" t="str">
        <f>AN42</f>
        <v>N/A</v>
      </c>
      <c r="Q28" s="173" t="str">
        <f>AO42</f>
        <v>N/A</v>
      </c>
      <c r="R28" s="173" t="str">
        <f>AP42</f>
        <v>N/A</v>
      </c>
      <c r="S28" s="173" t="str">
        <f>AQ42</f>
        <v>N/A</v>
      </c>
      <c r="T28" s="396">
        <v>38</v>
      </c>
      <c r="U28" s="83" t="str">
        <f>AS42</f>
        <v>N/A</v>
      </c>
      <c r="V28" s="83" t="str">
        <f>AT42</f>
        <v>N/A</v>
      </c>
      <c r="W28" s="83" t="str">
        <f>AU42</f>
        <v>N/A</v>
      </c>
      <c r="X28" s="84" t="str">
        <f>AV42</f>
        <v>N/A</v>
      </c>
      <c r="Y28" s="84" t="str">
        <f>AW42</f>
        <v>N/A</v>
      </c>
      <c r="Z28" s="260"/>
      <c r="AA28" s="285">
        <v>37</v>
      </c>
      <c r="AB28" s="257" t="str">
        <f>AZ40</f>
        <v>N/A</v>
      </c>
      <c r="AC28" s="261" t="str">
        <f>BA40</f>
        <v>N/A</v>
      </c>
      <c r="AD28" s="261" t="str">
        <f>BB40</f>
        <v>N/A</v>
      </c>
      <c r="AE28" s="261" t="str">
        <f>BC40</f>
        <v>N/A</v>
      </c>
      <c r="AF28" s="286">
        <v>38</v>
      </c>
      <c r="AG28" s="257" t="str">
        <f>AZ41</f>
        <v>N/A</v>
      </c>
      <c r="AH28" s="263" t="str">
        <f>BA41</f>
        <v>N/A</v>
      </c>
      <c r="AI28" s="263" t="s">
        <v>336</v>
      </c>
      <c r="AJ28" s="263" t="s">
        <v>336</v>
      </c>
      <c r="AK28" s="236" t="s">
        <v>336</v>
      </c>
      <c r="AL28" s="253">
        <v>24</v>
      </c>
      <c r="AM28" s="254" t="s">
        <v>336</v>
      </c>
      <c r="AN28" s="254" t="s">
        <v>336</v>
      </c>
      <c r="AO28" s="254" t="s">
        <v>336</v>
      </c>
      <c r="AP28" s="254" t="s">
        <v>336</v>
      </c>
      <c r="AQ28" s="254" t="s">
        <v>336</v>
      </c>
      <c r="AR28" s="390">
        <v>24</v>
      </c>
      <c r="AS28" s="254" t="s">
        <v>336</v>
      </c>
      <c r="AT28" s="254" t="s">
        <v>336</v>
      </c>
      <c r="AU28" s="254" t="s">
        <v>336</v>
      </c>
      <c r="AV28" s="254" t="s">
        <v>336</v>
      </c>
      <c r="AW28" s="254" t="s">
        <v>336</v>
      </c>
      <c r="AX28" s="236"/>
      <c r="AY28" s="287">
        <v>25</v>
      </c>
      <c r="AZ28" s="246" t="s">
        <v>336</v>
      </c>
      <c r="BA28" s="246" t="s">
        <v>336</v>
      </c>
      <c r="BB28" s="246" t="s">
        <v>336</v>
      </c>
      <c r="BC28" s="246" t="s">
        <v>336</v>
      </c>
      <c r="BD28" s="236"/>
      <c r="BE28" s="404"/>
      <c r="BF28" s="285">
        <v>37</v>
      </c>
      <c r="BG28" s="173" t="str">
        <f>CG41</f>
        <v>N/A</v>
      </c>
      <c r="BH28" s="173" t="str">
        <f>CH41</f>
        <v>N/A</v>
      </c>
      <c r="BI28" s="173" t="str">
        <f>CI41</f>
        <v>N/A</v>
      </c>
      <c r="BJ28" s="173" t="str">
        <f>CJ41</f>
        <v>N/A</v>
      </c>
      <c r="BK28" s="173" t="str">
        <f>CK41</f>
        <v>N/A</v>
      </c>
      <c r="BL28" s="402">
        <v>37</v>
      </c>
      <c r="BM28" s="83" t="str">
        <f>CM41</f>
        <v>N/A</v>
      </c>
      <c r="BN28" s="83" t="str">
        <f>CN41</f>
        <v>N/A</v>
      </c>
      <c r="BO28" s="83" t="str">
        <f>CO41</f>
        <v>N/A</v>
      </c>
      <c r="BP28" s="83" t="str">
        <f>CP41</f>
        <v>N/A</v>
      </c>
      <c r="BQ28" s="83" t="str">
        <f>CQ41</f>
        <v>N/A</v>
      </c>
      <c r="BR28" s="393">
        <v>38</v>
      </c>
      <c r="BS28" s="173" t="str">
        <f>CG42</f>
        <v>N/A</v>
      </c>
      <c r="BT28" s="173" t="str">
        <f>CH42</f>
        <v>N/A</v>
      </c>
      <c r="BU28" s="173" t="str">
        <f>CI42</f>
        <v>N/A</v>
      </c>
      <c r="BV28" s="173" t="str">
        <f>CJ42</f>
        <v>N/A</v>
      </c>
      <c r="BW28" s="173" t="str">
        <f>CK42</f>
        <v>N/A</v>
      </c>
      <c r="BX28" s="396">
        <v>38</v>
      </c>
      <c r="BY28" s="83" t="str">
        <f>CM42</f>
        <v>N/A</v>
      </c>
      <c r="BZ28" s="83" t="str">
        <f>CN42</f>
        <v>N/A</v>
      </c>
      <c r="CA28" s="83" t="str">
        <f>CO42</f>
        <v>N/A</v>
      </c>
      <c r="CB28" s="83" t="str">
        <f>CP42</f>
        <v>N/A</v>
      </c>
      <c r="CC28" s="83" t="str">
        <f>CQ42</f>
        <v>N/A</v>
      </c>
      <c r="CD28" s="260"/>
      <c r="CE28" s="236" t="s">
        <v>336</v>
      </c>
      <c r="CF28" s="595">
        <v>23</v>
      </c>
      <c r="CG28" s="409" t="s">
        <v>336</v>
      </c>
      <c r="CH28" s="409" t="s">
        <v>336</v>
      </c>
      <c r="CI28" s="409" t="s">
        <v>336</v>
      </c>
      <c r="CJ28" s="409" t="s">
        <v>336</v>
      </c>
      <c r="CK28" s="409" t="s">
        <v>336</v>
      </c>
      <c r="CL28" s="390">
        <v>24</v>
      </c>
      <c r="CM28" s="409" t="s">
        <v>336</v>
      </c>
      <c r="CN28" s="409" t="s">
        <v>336</v>
      </c>
      <c r="CO28" s="409" t="s">
        <v>336</v>
      </c>
      <c r="CP28" s="409" t="s">
        <v>336</v>
      </c>
      <c r="CQ28" s="409" t="s">
        <v>336</v>
      </c>
      <c r="CR28" s="236"/>
    </row>
    <row r="29" spans="1:96" x14ac:dyDescent="0.3">
      <c r="A29" s="404"/>
      <c r="B29" s="282">
        <v>39</v>
      </c>
      <c r="C29" s="174" t="str">
        <f>AM43</f>
        <v>N/A</v>
      </c>
      <c r="D29" s="174" t="str">
        <f>AN43</f>
        <v>N/A</v>
      </c>
      <c r="E29" s="174" t="str">
        <f>AO43</f>
        <v>N/A</v>
      </c>
      <c r="F29" s="174" t="str">
        <f>AP43</f>
        <v>N/A</v>
      </c>
      <c r="G29" s="174" t="str">
        <f>AQ43</f>
        <v>N/A</v>
      </c>
      <c r="H29" s="401">
        <v>39</v>
      </c>
      <c r="I29" s="86" t="str">
        <f>AS43</f>
        <v>N/A</v>
      </c>
      <c r="J29" s="86" t="str">
        <f>AT43</f>
        <v>N/A</v>
      </c>
      <c r="K29" s="86" t="str">
        <f>AU43</f>
        <v>N/A</v>
      </c>
      <c r="L29" s="86" t="str">
        <f>AV43</f>
        <v>N/A</v>
      </c>
      <c r="M29" s="86" t="str">
        <f>AW43</f>
        <v>N/A</v>
      </c>
      <c r="N29" s="392">
        <v>40</v>
      </c>
      <c r="O29" s="174" t="str">
        <f>AM44</f>
        <v>N/A</v>
      </c>
      <c r="P29" s="174" t="str">
        <f>AN44</f>
        <v>N/A</v>
      </c>
      <c r="Q29" s="174" t="str">
        <f>AO44</f>
        <v>N/A</v>
      </c>
      <c r="R29" s="174" t="str">
        <f>AP44</f>
        <v>N/A</v>
      </c>
      <c r="S29" s="174" t="str">
        <f>AQ44</f>
        <v>N/A</v>
      </c>
      <c r="T29" s="395">
        <v>40</v>
      </c>
      <c r="U29" s="86" t="str">
        <f>AS44</f>
        <v>N/A</v>
      </c>
      <c r="V29" s="86" t="str">
        <f>AT44</f>
        <v>N/A</v>
      </c>
      <c r="W29" s="86" t="str">
        <f>AU44</f>
        <v>N/A</v>
      </c>
      <c r="X29" s="87" t="str">
        <f>AV44</f>
        <v>N/A</v>
      </c>
      <c r="Y29" s="87" t="str">
        <f>AW44</f>
        <v>N/A</v>
      </c>
      <c r="Z29" s="260"/>
      <c r="AA29" s="282">
        <v>39</v>
      </c>
      <c r="AB29" s="265" t="str">
        <f>AZ42</f>
        <v>N/A</v>
      </c>
      <c r="AC29" s="267" t="str">
        <f>BA42</f>
        <v>N/A</v>
      </c>
      <c r="AD29" s="267" t="str">
        <f>BB42</f>
        <v>N/A</v>
      </c>
      <c r="AE29" s="267" t="str">
        <f>BC42</f>
        <v>N/A</v>
      </c>
      <c r="AF29" s="284">
        <v>40</v>
      </c>
      <c r="AG29" s="265" t="str">
        <f>AZ43</f>
        <v>N/A</v>
      </c>
      <c r="AH29" s="268" t="str">
        <f>BA43</f>
        <v>N/A</v>
      </c>
      <c r="AI29" s="268" t="s">
        <v>336</v>
      </c>
      <c r="AJ29" s="268" t="s">
        <v>336</v>
      </c>
      <c r="AK29" s="236" t="s">
        <v>336</v>
      </c>
      <c r="AL29" s="287">
        <v>25</v>
      </c>
      <c r="AM29" s="246" t="s">
        <v>336</v>
      </c>
      <c r="AN29" s="246" t="s">
        <v>336</v>
      </c>
      <c r="AO29" s="246" t="s">
        <v>336</v>
      </c>
      <c r="AP29" s="246" t="s">
        <v>336</v>
      </c>
      <c r="AQ29" s="246" t="s">
        <v>336</v>
      </c>
      <c r="AR29" s="397">
        <v>25</v>
      </c>
      <c r="AS29" s="246" t="s">
        <v>336</v>
      </c>
      <c r="AT29" s="246" t="s">
        <v>336</v>
      </c>
      <c r="AU29" s="246" t="s">
        <v>336</v>
      </c>
      <c r="AV29" s="246" t="s">
        <v>336</v>
      </c>
      <c r="AW29" s="246" t="s">
        <v>336</v>
      </c>
      <c r="AX29" s="236"/>
      <c r="AY29" s="288">
        <v>26</v>
      </c>
      <c r="AZ29" s="254" t="s">
        <v>336</v>
      </c>
      <c r="BA29" s="254" t="s">
        <v>336</v>
      </c>
      <c r="BB29" s="254" t="s">
        <v>336</v>
      </c>
      <c r="BC29" s="254" t="s">
        <v>336</v>
      </c>
      <c r="BD29" s="236"/>
      <c r="BE29" s="404"/>
      <c r="BF29" s="282">
        <v>39</v>
      </c>
      <c r="BG29" s="174" t="str">
        <f>CG43</f>
        <v>N/A</v>
      </c>
      <c r="BH29" s="174" t="str">
        <f>CH43</f>
        <v>N/A</v>
      </c>
      <c r="BI29" s="174" t="str">
        <f>CI43</f>
        <v>N/A</v>
      </c>
      <c r="BJ29" s="174" t="str">
        <f>CJ43</f>
        <v>N/A</v>
      </c>
      <c r="BK29" s="174" t="str">
        <f>CK43</f>
        <v>N/A</v>
      </c>
      <c r="BL29" s="401">
        <v>39</v>
      </c>
      <c r="BM29" s="86" t="str">
        <f>CM43</f>
        <v>N/A</v>
      </c>
      <c r="BN29" s="86" t="str">
        <f>CN43</f>
        <v>N/A</v>
      </c>
      <c r="BO29" s="86" t="str">
        <f>CO43</f>
        <v>N/A</v>
      </c>
      <c r="BP29" s="86" t="str">
        <f>CP43</f>
        <v>N/A</v>
      </c>
      <c r="BQ29" s="86" t="str">
        <f>CQ43</f>
        <v>N/A</v>
      </c>
      <c r="BR29" s="392">
        <v>40</v>
      </c>
      <c r="BS29" s="174" t="str">
        <f>CG44</f>
        <v>N/A</v>
      </c>
      <c r="BT29" s="174" t="str">
        <f>CH44</f>
        <v>N/A</v>
      </c>
      <c r="BU29" s="174" t="str">
        <f>CI44</f>
        <v>N/A</v>
      </c>
      <c r="BV29" s="174" t="str">
        <f>CJ44</f>
        <v>N/A</v>
      </c>
      <c r="BW29" s="174" t="str">
        <f>CK44</f>
        <v>N/A</v>
      </c>
      <c r="BX29" s="395">
        <v>40</v>
      </c>
      <c r="BY29" s="86" t="str">
        <f>CM44</f>
        <v>N/A</v>
      </c>
      <c r="BZ29" s="86" t="str">
        <f>CN44</f>
        <v>N/A</v>
      </c>
      <c r="CA29" s="86" t="str">
        <f>CO44</f>
        <v>N/A</v>
      </c>
      <c r="CB29" s="86" t="str">
        <f>CP44</f>
        <v>N/A</v>
      </c>
      <c r="CC29" s="86" t="str">
        <f>CQ44</f>
        <v>N/A</v>
      </c>
      <c r="CD29" s="260"/>
      <c r="CE29" s="236" t="s">
        <v>336</v>
      </c>
      <c r="CF29" s="596">
        <v>24</v>
      </c>
      <c r="CG29" s="408" t="s">
        <v>336</v>
      </c>
      <c r="CH29" s="408" t="s">
        <v>336</v>
      </c>
      <c r="CI29" s="408" t="s">
        <v>336</v>
      </c>
      <c r="CJ29" s="408" t="s">
        <v>336</v>
      </c>
      <c r="CK29" s="408" t="s">
        <v>336</v>
      </c>
      <c r="CL29" s="397">
        <v>25</v>
      </c>
      <c r="CM29" s="408" t="s">
        <v>336</v>
      </c>
      <c r="CN29" s="408" t="s">
        <v>336</v>
      </c>
      <c r="CO29" s="408" t="s">
        <v>336</v>
      </c>
      <c r="CP29" s="408" t="s">
        <v>336</v>
      </c>
      <c r="CQ29" s="408" t="s">
        <v>336</v>
      </c>
      <c r="CR29" s="236"/>
    </row>
    <row r="30" spans="1:96" x14ac:dyDescent="0.3">
      <c r="A30" s="404"/>
      <c r="B30" s="285">
        <v>41</v>
      </c>
      <c r="C30" s="173" t="str">
        <f>AM45</f>
        <v>N/A</v>
      </c>
      <c r="D30" s="173" t="str">
        <f>AN45</f>
        <v>N/A</v>
      </c>
      <c r="E30" s="173" t="str">
        <f>AO45</f>
        <v>N/A</v>
      </c>
      <c r="F30" s="173" t="str">
        <f>AP45</f>
        <v>N/A</v>
      </c>
      <c r="G30" s="173" t="str">
        <f>AQ45</f>
        <v>N/A</v>
      </c>
      <c r="H30" s="402">
        <v>41</v>
      </c>
      <c r="I30" s="83" t="str">
        <f>AS45</f>
        <v>N/A</v>
      </c>
      <c r="J30" s="83" t="str">
        <f>AT45</f>
        <v>N/A</v>
      </c>
      <c r="K30" s="83" t="str">
        <f>AU45</f>
        <v>N/A</v>
      </c>
      <c r="L30" s="83" t="str">
        <f>AV45</f>
        <v>N/A</v>
      </c>
      <c r="M30" s="83" t="str">
        <f>AW45</f>
        <v>N/A</v>
      </c>
      <c r="N30" s="393">
        <v>42</v>
      </c>
      <c r="O30" s="173" t="str">
        <f>AM46</f>
        <v>N/A</v>
      </c>
      <c r="P30" s="173" t="str">
        <f>AN46</f>
        <v>N/A</v>
      </c>
      <c r="Q30" s="173" t="str">
        <f>AO46</f>
        <v>N/A</v>
      </c>
      <c r="R30" s="173" t="str">
        <f>AP46</f>
        <v>N/A</v>
      </c>
      <c r="S30" s="173" t="str">
        <f>AQ46</f>
        <v>N/A</v>
      </c>
      <c r="T30" s="396">
        <v>42</v>
      </c>
      <c r="U30" s="83" t="str">
        <f>AS46</f>
        <v>N/A</v>
      </c>
      <c r="V30" s="83" t="str">
        <f>AT46</f>
        <v>N/A</v>
      </c>
      <c r="W30" s="83" t="str">
        <f>AU46</f>
        <v>N/A</v>
      </c>
      <c r="X30" s="84" t="str">
        <f>AV46</f>
        <v>N/A</v>
      </c>
      <c r="Y30" s="84" t="str">
        <f>AW46</f>
        <v>N/A</v>
      </c>
      <c r="Z30" s="260"/>
      <c r="AA30" s="285">
        <v>41</v>
      </c>
      <c r="AB30" s="257" t="str">
        <f>AZ44</f>
        <v>N/A</v>
      </c>
      <c r="AC30" s="261" t="str">
        <f>BA44</f>
        <v>N/A</v>
      </c>
      <c r="AD30" s="261" t="str">
        <f>BB44</f>
        <v>N/A</v>
      </c>
      <c r="AE30" s="261" t="str">
        <f>BC44</f>
        <v>N/A</v>
      </c>
      <c r="AF30" s="286">
        <v>42</v>
      </c>
      <c r="AG30" s="257" t="str">
        <f>AZ45</f>
        <v>N/A</v>
      </c>
      <c r="AH30" s="263" t="str">
        <f>BA45</f>
        <v>N/A</v>
      </c>
      <c r="AI30" s="263" t="s">
        <v>336</v>
      </c>
      <c r="AJ30" s="263" t="s">
        <v>336</v>
      </c>
      <c r="AK30" s="236" t="s">
        <v>336</v>
      </c>
      <c r="AL30" s="288">
        <v>26</v>
      </c>
      <c r="AM30" s="254" t="s">
        <v>336</v>
      </c>
      <c r="AN30" s="254" t="s">
        <v>336</v>
      </c>
      <c r="AO30" s="254" t="s">
        <v>336</v>
      </c>
      <c r="AP30" s="254" t="s">
        <v>336</v>
      </c>
      <c r="AQ30" s="254" t="s">
        <v>336</v>
      </c>
      <c r="AR30" s="398">
        <v>26</v>
      </c>
      <c r="AS30" s="254" t="s">
        <v>336</v>
      </c>
      <c r="AT30" s="254" t="s">
        <v>336</v>
      </c>
      <c r="AU30" s="254" t="s">
        <v>336</v>
      </c>
      <c r="AV30" s="254" t="s">
        <v>336</v>
      </c>
      <c r="AW30" s="254" t="s">
        <v>336</v>
      </c>
      <c r="AX30" s="236"/>
      <c r="AY30" s="287">
        <v>27</v>
      </c>
      <c r="AZ30" s="246" t="s">
        <v>336</v>
      </c>
      <c r="BA30" s="246" t="s">
        <v>336</v>
      </c>
      <c r="BB30" s="246" t="s">
        <v>336</v>
      </c>
      <c r="BC30" s="246" t="s">
        <v>336</v>
      </c>
      <c r="BD30" s="236"/>
      <c r="BE30" s="404"/>
      <c r="BF30" s="285">
        <v>41</v>
      </c>
      <c r="BG30" s="173" t="str">
        <f>CG45</f>
        <v>N/A</v>
      </c>
      <c r="BH30" s="173" t="str">
        <f>CH45</f>
        <v>N/A</v>
      </c>
      <c r="BI30" s="173" t="str">
        <f>CI45</f>
        <v>N/A</v>
      </c>
      <c r="BJ30" s="173" t="str">
        <f>CJ45</f>
        <v>N/A</v>
      </c>
      <c r="BK30" s="173" t="str">
        <f>CK45</f>
        <v>N/A</v>
      </c>
      <c r="BL30" s="402">
        <v>41</v>
      </c>
      <c r="BM30" s="83" t="str">
        <f>CM45</f>
        <v>N/A</v>
      </c>
      <c r="BN30" s="83" t="str">
        <f>CN45</f>
        <v>N/A</v>
      </c>
      <c r="BO30" s="83" t="str">
        <f>CO45</f>
        <v>N/A</v>
      </c>
      <c r="BP30" s="83" t="str">
        <f>CP45</f>
        <v>N/A</v>
      </c>
      <c r="BQ30" s="83" t="str">
        <f>CQ45</f>
        <v>N/A</v>
      </c>
      <c r="BR30" s="393">
        <v>42</v>
      </c>
      <c r="BS30" s="173" t="str">
        <f>CG46</f>
        <v>N/A</v>
      </c>
      <c r="BT30" s="173" t="str">
        <f>CH46</f>
        <v>N/A</v>
      </c>
      <c r="BU30" s="173" t="str">
        <f>CI46</f>
        <v>N/A</v>
      </c>
      <c r="BV30" s="173" t="str">
        <f>CJ46</f>
        <v>N/A</v>
      </c>
      <c r="BW30" s="173" t="str">
        <f>CK46</f>
        <v>N/A</v>
      </c>
      <c r="BX30" s="396">
        <v>42</v>
      </c>
      <c r="BY30" s="83" t="str">
        <f>CM46</f>
        <v>N/A</v>
      </c>
      <c r="BZ30" s="83" t="str">
        <f>CN46</f>
        <v>N/A</v>
      </c>
      <c r="CA30" s="83" t="str">
        <f>CO46</f>
        <v>N/A</v>
      </c>
      <c r="CB30" s="83" t="str">
        <f>CP46</f>
        <v>N/A</v>
      </c>
      <c r="CC30" s="83" t="str">
        <f>CQ46</f>
        <v>N/A</v>
      </c>
      <c r="CD30" s="260"/>
      <c r="CE30" s="236" t="s">
        <v>336</v>
      </c>
      <c r="CF30" s="597">
        <v>25</v>
      </c>
      <c r="CG30" s="409" t="s">
        <v>336</v>
      </c>
      <c r="CH30" s="409" t="s">
        <v>336</v>
      </c>
      <c r="CI30" s="409" t="s">
        <v>336</v>
      </c>
      <c r="CJ30" s="409" t="s">
        <v>336</v>
      </c>
      <c r="CK30" s="409" t="s">
        <v>336</v>
      </c>
      <c r="CL30" s="398">
        <v>26</v>
      </c>
      <c r="CM30" s="409" t="s">
        <v>336</v>
      </c>
      <c r="CN30" s="409" t="s">
        <v>336</v>
      </c>
      <c r="CO30" s="409" t="s">
        <v>336</v>
      </c>
      <c r="CP30" s="409" t="s">
        <v>336</v>
      </c>
      <c r="CQ30" s="409" t="s">
        <v>336</v>
      </c>
      <c r="CR30" s="236"/>
    </row>
    <row r="31" spans="1:96" ht="15" thickBot="1" x14ac:dyDescent="0.35">
      <c r="A31" s="404"/>
      <c r="B31" s="282">
        <v>43</v>
      </c>
      <c r="C31" s="174" t="str">
        <f>AM47</f>
        <v>N/A</v>
      </c>
      <c r="D31" s="174" t="str">
        <f>AN47</f>
        <v>N/A</v>
      </c>
      <c r="E31" s="174" t="str">
        <f>AO47</f>
        <v>N/A</v>
      </c>
      <c r="F31" s="174" t="str">
        <f>AP47</f>
        <v>N/A</v>
      </c>
      <c r="G31" s="174" t="str">
        <f>AQ47</f>
        <v>N/A</v>
      </c>
      <c r="H31" s="401">
        <v>43</v>
      </c>
      <c r="I31" s="86" t="str">
        <f>AS47</f>
        <v>N/A</v>
      </c>
      <c r="J31" s="86" t="str">
        <f>AT47</f>
        <v>N/A</v>
      </c>
      <c r="K31" s="86" t="str">
        <f>AU47</f>
        <v>N/A</v>
      </c>
      <c r="L31" s="86" t="str">
        <f>AV47</f>
        <v>N/A</v>
      </c>
      <c r="M31" s="86" t="str">
        <f>AW47</f>
        <v>N/A</v>
      </c>
      <c r="N31" s="392">
        <v>44</v>
      </c>
      <c r="O31" s="174" t="str">
        <f>AM48</f>
        <v>N/A</v>
      </c>
      <c r="P31" s="174" t="str">
        <f>AN48</f>
        <v>N/A</v>
      </c>
      <c r="Q31" s="174" t="str">
        <f>AO48</f>
        <v>N/A</v>
      </c>
      <c r="R31" s="174" t="str">
        <f>AP48</f>
        <v>N/A</v>
      </c>
      <c r="S31" s="174" t="str">
        <f>AQ48</f>
        <v>N/A</v>
      </c>
      <c r="T31" s="395">
        <v>44</v>
      </c>
      <c r="U31" s="86" t="str">
        <f>AS48</f>
        <v>N/A</v>
      </c>
      <c r="V31" s="86" t="str">
        <f>AT48</f>
        <v>N/A</v>
      </c>
      <c r="W31" s="86" t="str">
        <f>AU48</f>
        <v>N/A</v>
      </c>
      <c r="X31" s="87" t="str">
        <f>AV48</f>
        <v>N/A</v>
      </c>
      <c r="Y31" s="87" t="str">
        <f>AW48</f>
        <v>N/A</v>
      </c>
      <c r="Z31" s="260"/>
      <c r="AA31" s="282">
        <v>43</v>
      </c>
      <c r="AB31" s="265" t="str">
        <f>AZ46</f>
        <v>N/A</v>
      </c>
      <c r="AC31" s="267" t="str">
        <f>BA46</f>
        <v>N/A</v>
      </c>
      <c r="AD31" s="267" t="str">
        <f>BB46</f>
        <v>N/A</v>
      </c>
      <c r="AE31" s="267" t="str">
        <f>BC46</f>
        <v>N/A</v>
      </c>
      <c r="AF31" s="284">
        <v>44</v>
      </c>
      <c r="AG31" s="265" t="str">
        <f>AZ47</f>
        <v>N/A</v>
      </c>
      <c r="AH31" s="268" t="str">
        <f>BA47</f>
        <v>N/A</v>
      </c>
      <c r="AI31" s="268" t="s">
        <v>336</v>
      </c>
      <c r="AJ31" s="268" t="s">
        <v>336</v>
      </c>
      <c r="AK31" s="236" t="s">
        <v>336</v>
      </c>
      <c r="AL31" s="287">
        <v>27</v>
      </c>
      <c r="AM31" s="246" t="s">
        <v>336</v>
      </c>
      <c r="AN31" s="246" t="s">
        <v>336</v>
      </c>
      <c r="AO31" s="246" t="s">
        <v>336</v>
      </c>
      <c r="AP31" s="246" t="s">
        <v>336</v>
      </c>
      <c r="AQ31" s="246" t="s">
        <v>336</v>
      </c>
      <c r="AR31" s="397">
        <v>27</v>
      </c>
      <c r="AS31" s="246" t="s">
        <v>336</v>
      </c>
      <c r="AT31" s="246" t="s">
        <v>336</v>
      </c>
      <c r="AU31" s="246" t="s">
        <v>336</v>
      </c>
      <c r="AV31" s="246" t="s">
        <v>336</v>
      </c>
      <c r="AW31" s="246" t="s">
        <v>336</v>
      </c>
      <c r="AX31" s="236"/>
      <c r="AY31" s="288">
        <v>28</v>
      </c>
      <c r="AZ31" s="254" t="s">
        <v>336</v>
      </c>
      <c r="BA31" s="254" t="s">
        <v>336</v>
      </c>
      <c r="BB31" s="254" t="s">
        <v>336</v>
      </c>
      <c r="BC31" s="254" t="s">
        <v>336</v>
      </c>
      <c r="BD31" s="236"/>
      <c r="BE31" s="404"/>
      <c r="BF31" s="282">
        <v>43</v>
      </c>
      <c r="BG31" s="174" t="str">
        <f>CG47</f>
        <v>N/A</v>
      </c>
      <c r="BH31" s="174" t="str">
        <f>CH47</f>
        <v>N/A</v>
      </c>
      <c r="BI31" s="174" t="str">
        <f>CI47</f>
        <v>N/A</v>
      </c>
      <c r="BJ31" s="174" t="str">
        <f>CJ47</f>
        <v>N/A</v>
      </c>
      <c r="BK31" s="174" t="str">
        <f>CK47</f>
        <v>N/A</v>
      </c>
      <c r="BL31" s="401">
        <v>43</v>
      </c>
      <c r="BM31" s="86" t="str">
        <f>CM47</f>
        <v>N/A</v>
      </c>
      <c r="BN31" s="86" t="str">
        <f>CN47</f>
        <v>N/A</v>
      </c>
      <c r="BO31" s="86" t="str">
        <f>CO47</f>
        <v>N/A</v>
      </c>
      <c r="BP31" s="86" t="str">
        <f>CP47</f>
        <v>N/A</v>
      </c>
      <c r="BQ31" s="86" t="str">
        <f>CQ47</f>
        <v>N/A</v>
      </c>
      <c r="BR31" s="392">
        <v>44</v>
      </c>
      <c r="BS31" s="174" t="str">
        <f>CG48</f>
        <v>N/A</v>
      </c>
      <c r="BT31" s="174" t="str">
        <f>CH48</f>
        <v>N/A</v>
      </c>
      <c r="BU31" s="174" t="str">
        <f>CI48</f>
        <v>N/A</v>
      </c>
      <c r="BV31" s="174" t="str">
        <f>CJ48</f>
        <v>N/A</v>
      </c>
      <c r="BW31" s="174" t="str">
        <f>CK48</f>
        <v>N/A</v>
      </c>
      <c r="BX31" s="395">
        <v>44</v>
      </c>
      <c r="BY31" s="86" t="str">
        <f>CM48</f>
        <v>N/A</v>
      </c>
      <c r="BZ31" s="86" t="str">
        <f>CN48</f>
        <v>N/A</v>
      </c>
      <c r="CA31" s="86" t="str">
        <f>CO48</f>
        <v>N/A</v>
      </c>
      <c r="CB31" s="86" t="str">
        <f>CP48</f>
        <v>N/A</v>
      </c>
      <c r="CC31" s="86" t="str">
        <f>CQ48</f>
        <v>N/A</v>
      </c>
      <c r="CD31" s="260"/>
      <c r="CE31" s="236" t="s">
        <v>336</v>
      </c>
      <c r="CF31" s="596">
        <v>26</v>
      </c>
      <c r="CG31" s="408" t="s">
        <v>336</v>
      </c>
      <c r="CH31" s="408" t="s">
        <v>336</v>
      </c>
      <c r="CI31" s="408" t="s">
        <v>336</v>
      </c>
      <c r="CJ31" s="408" t="s">
        <v>336</v>
      </c>
      <c r="CK31" s="408" t="s">
        <v>336</v>
      </c>
      <c r="CL31" s="397">
        <v>27</v>
      </c>
      <c r="CM31" s="408" t="s">
        <v>336</v>
      </c>
      <c r="CN31" s="408" t="s">
        <v>336</v>
      </c>
      <c r="CO31" s="408" t="s">
        <v>336</v>
      </c>
      <c r="CP31" s="408" t="s">
        <v>336</v>
      </c>
      <c r="CQ31" s="408" t="s">
        <v>336</v>
      </c>
      <c r="CR31" s="236"/>
    </row>
    <row r="32" spans="1:96" x14ac:dyDescent="0.3">
      <c r="A32" s="404"/>
      <c r="B32" s="272" t="s">
        <v>221</v>
      </c>
      <c r="C32" s="484">
        <f>SUM(C22:C31)</f>
        <v>0</v>
      </c>
      <c r="D32" s="89">
        <f>SUM(D22:D31)</f>
        <v>0</v>
      </c>
      <c r="E32" s="89">
        <f>SUM(E22:E31)</f>
        <v>0</v>
      </c>
      <c r="F32" s="89">
        <f>SUM(F22:F31)</f>
        <v>0</v>
      </c>
      <c r="G32" s="89">
        <f>SUM(G22:G31)</f>
        <v>0</v>
      </c>
      <c r="H32" s="90" t="s">
        <v>221</v>
      </c>
      <c r="I32" s="89">
        <f>SUM(I22:I31)</f>
        <v>0</v>
      </c>
      <c r="J32" s="91">
        <f>SUM(J22:J31)</f>
        <v>0</v>
      </c>
      <c r="K32" s="89">
        <f>SUM(K22:K31)</f>
        <v>0</v>
      </c>
      <c r="L32" s="91">
        <f>SUM(L22:L31)</f>
        <v>0</v>
      </c>
      <c r="M32" s="91">
        <f>SUM(M22:M31)</f>
        <v>0</v>
      </c>
      <c r="N32" s="88" t="s">
        <v>221</v>
      </c>
      <c r="O32" s="89">
        <f>SUM(PowerHBottomSingle)</f>
        <v>0</v>
      </c>
      <c r="P32" s="89">
        <f>SUM(P22:P31)</f>
        <v>0</v>
      </c>
      <c r="Q32" s="89">
        <f>SUM(Q22:Q31)</f>
        <v>0</v>
      </c>
      <c r="R32" s="89">
        <f>SUM(R22:R31)</f>
        <v>0</v>
      </c>
      <c r="S32" s="89">
        <f>SUM(S22:S31)</f>
        <v>0</v>
      </c>
      <c r="T32" s="90" t="s">
        <v>221</v>
      </c>
      <c r="U32" s="89">
        <f>SUM(U22:U31)</f>
        <v>0</v>
      </c>
      <c r="V32" s="91">
        <f>SUM(V22:V31)</f>
        <v>0</v>
      </c>
      <c r="W32" s="89">
        <f>SUM(W22:W31)</f>
        <v>0</v>
      </c>
      <c r="X32" s="91">
        <f>SUM(X22:X31)</f>
        <v>0</v>
      </c>
      <c r="Y32" s="91">
        <f>SUM(Y22:Y31)</f>
        <v>0</v>
      </c>
      <c r="Z32" s="168"/>
      <c r="AA32" s="272" t="s">
        <v>221</v>
      </c>
      <c r="AB32" s="168">
        <f>SUM(AB22:AB31)</f>
        <v>0</v>
      </c>
      <c r="AC32" s="168">
        <f>SUM(AC22:AC31)</f>
        <v>0</v>
      </c>
      <c r="AD32" s="168">
        <f>SUM(AD22:AD31)</f>
        <v>0</v>
      </c>
      <c r="AE32" s="168">
        <f>SUM(AE22:AE31)</f>
        <v>0</v>
      </c>
      <c r="AF32" s="273" t="s">
        <v>221</v>
      </c>
      <c r="AG32" s="168">
        <f>SUM(AG22:AG31)</f>
        <v>0</v>
      </c>
      <c r="AH32" s="274">
        <f>SUM(AH22:AH31)</f>
        <v>0</v>
      </c>
      <c r="AI32" s="274" t="s">
        <v>336</v>
      </c>
      <c r="AJ32" s="274" t="s">
        <v>336</v>
      </c>
      <c r="AK32" s="236" t="s">
        <v>336</v>
      </c>
      <c r="AL32" s="288">
        <v>28</v>
      </c>
      <c r="AM32" s="254" t="s">
        <v>336</v>
      </c>
      <c r="AN32" s="254" t="s">
        <v>336</v>
      </c>
      <c r="AO32" s="254" t="s">
        <v>336</v>
      </c>
      <c r="AP32" s="254" t="s">
        <v>336</v>
      </c>
      <c r="AQ32" s="254" t="s">
        <v>336</v>
      </c>
      <c r="AR32" s="398">
        <v>28</v>
      </c>
      <c r="AS32" s="254" t="s">
        <v>336</v>
      </c>
      <c r="AT32" s="254" t="s">
        <v>336</v>
      </c>
      <c r="AU32" s="254" t="s">
        <v>336</v>
      </c>
      <c r="AV32" s="254" t="s">
        <v>336</v>
      </c>
      <c r="AW32" s="254" t="s">
        <v>336</v>
      </c>
      <c r="AX32" s="236"/>
      <c r="AY32" s="287">
        <v>29</v>
      </c>
      <c r="AZ32" s="246" t="s">
        <v>336</v>
      </c>
      <c r="BA32" s="246" t="s">
        <v>336</v>
      </c>
      <c r="BB32" s="246" t="s">
        <v>336</v>
      </c>
      <c r="BC32" s="246" t="s">
        <v>336</v>
      </c>
      <c r="BD32" s="236"/>
      <c r="BE32" s="404"/>
      <c r="BF32" s="272" t="s">
        <v>221</v>
      </c>
      <c r="BG32" s="484">
        <f>SUM(BG22:BG31)</f>
        <v>0</v>
      </c>
      <c r="BH32" s="89">
        <f>SUM(BH22:BH31)</f>
        <v>0</v>
      </c>
      <c r="BI32" s="89">
        <f>SUM(BI22:BI31)</f>
        <v>0</v>
      </c>
      <c r="BJ32" s="89">
        <f>SUM(BJ22:BJ31)</f>
        <v>0</v>
      </c>
      <c r="BK32" s="89">
        <f>SUM(BK22:BK31)</f>
        <v>0</v>
      </c>
      <c r="BL32" s="273" t="s">
        <v>221</v>
      </c>
      <c r="BM32" s="89">
        <f>SUM(BM22:BM31)</f>
        <v>0</v>
      </c>
      <c r="BN32" s="91">
        <f>SUM(BN22:BN31)</f>
        <v>0</v>
      </c>
      <c r="BO32" s="89">
        <f>SUM(BO22:BO31)</f>
        <v>0</v>
      </c>
      <c r="BP32" s="91">
        <f>SUM(BP22:BP31)</f>
        <v>0</v>
      </c>
      <c r="BQ32" s="91">
        <f>SUM(BQ22:BQ31)</f>
        <v>0</v>
      </c>
      <c r="BR32" s="272" t="s">
        <v>221</v>
      </c>
      <c r="BS32" s="89">
        <f>SUM(BS22:BS31)</f>
        <v>0</v>
      </c>
      <c r="BT32" s="91">
        <f>SUM(BT22:BT31)</f>
        <v>0</v>
      </c>
      <c r="BU32" s="89">
        <f>SUM(BU22:BU31)</f>
        <v>0</v>
      </c>
      <c r="BV32" s="91">
        <f>SUM(BV22:BV31)</f>
        <v>0</v>
      </c>
      <c r="BW32" s="91">
        <f>SUM(BW22:BW31)</f>
        <v>0</v>
      </c>
      <c r="BX32" s="273" t="s">
        <v>221</v>
      </c>
      <c r="BY32" s="89">
        <f>SUM(BY22:BY31)</f>
        <v>0</v>
      </c>
      <c r="BZ32" s="91">
        <f>SUM(BZ22:BZ31)</f>
        <v>0</v>
      </c>
      <c r="CA32" s="89">
        <f>SUM(CA22:CA31)</f>
        <v>0</v>
      </c>
      <c r="CB32" s="91">
        <f>SUM(CB22:CB31)</f>
        <v>0</v>
      </c>
      <c r="CC32" s="91">
        <f>SUM(CC22:CC31)</f>
        <v>0</v>
      </c>
      <c r="CD32" s="168"/>
      <c r="CE32" s="236" t="s">
        <v>336</v>
      </c>
      <c r="CF32" s="597">
        <v>27</v>
      </c>
      <c r="CG32" s="409" t="s">
        <v>336</v>
      </c>
      <c r="CH32" s="409" t="s">
        <v>336</v>
      </c>
      <c r="CI32" s="409" t="s">
        <v>336</v>
      </c>
      <c r="CJ32" s="409" t="s">
        <v>336</v>
      </c>
      <c r="CK32" s="409" t="s">
        <v>336</v>
      </c>
      <c r="CL32" s="398">
        <v>28</v>
      </c>
      <c r="CM32" s="409" t="s">
        <v>336</v>
      </c>
      <c r="CN32" s="409" t="s">
        <v>336</v>
      </c>
      <c r="CO32" s="409" t="s">
        <v>336</v>
      </c>
      <c r="CP32" s="409" t="s">
        <v>336</v>
      </c>
      <c r="CQ32" s="409" t="s">
        <v>336</v>
      </c>
      <c r="CR32" s="236"/>
    </row>
    <row r="33" spans="1:96" x14ac:dyDescent="0.3">
      <c r="A33" s="404"/>
      <c r="B33" s="382"/>
      <c r="C33" s="382"/>
      <c r="D33" s="382"/>
      <c r="E33" s="382"/>
      <c r="F33" s="382"/>
      <c r="G33" s="382"/>
      <c r="H33" s="382"/>
      <c r="I33" s="382"/>
      <c r="J33" s="382"/>
      <c r="K33" s="382"/>
      <c r="L33" s="382"/>
      <c r="M33" s="382"/>
      <c r="N33" s="828"/>
      <c r="O33" s="829"/>
      <c r="P33" s="829"/>
      <c r="Q33" s="829"/>
      <c r="R33" s="829"/>
      <c r="S33" s="829"/>
      <c r="T33" s="829"/>
      <c r="U33" s="829"/>
      <c r="V33" s="829"/>
      <c r="W33" s="829"/>
      <c r="X33" s="881"/>
      <c r="Y33" s="546"/>
      <c r="Z33" s="236"/>
      <c r="AA33" s="840"/>
      <c r="AB33" s="841"/>
      <c r="AC33" s="841"/>
      <c r="AD33" s="841"/>
      <c r="AE33" s="841"/>
      <c r="AF33" s="841"/>
      <c r="AG33" s="841"/>
      <c r="AH33" s="841"/>
      <c r="AI33" s="841"/>
      <c r="AJ33" s="841"/>
      <c r="AK33" s="236" t="s">
        <v>336</v>
      </c>
      <c r="AL33" s="287">
        <v>29</v>
      </c>
      <c r="AM33" s="246" t="s">
        <v>336</v>
      </c>
      <c r="AN33" s="246" t="s">
        <v>336</v>
      </c>
      <c r="AO33" s="246" t="s">
        <v>336</v>
      </c>
      <c r="AP33" s="246" t="s">
        <v>336</v>
      </c>
      <c r="AQ33" s="246" t="s">
        <v>336</v>
      </c>
      <c r="AR33" s="397">
        <v>29</v>
      </c>
      <c r="AS33" s="246" t="s">
        <v>336</v>
      </c>
      <c r="AT33" s="246" t="s">
        <v>336</v>
      </c>
      <c r="AU33" s="246" t="s">
        <v>336</v>
      </c>
      <c r="AV33" s="246" t="s">
        <v>336</v>
      </c>
      <c r="AW33" s="246" t="s">
        <v>336</v>
      </c>
      <c r="AX33" s="236"/>
      <c r="AY33" s="288">
        <v>30</v>
      </c>
      <c r="AZ33" s="254" t="s">
        <v>336</v>
      </c>
      <c r="BA33" s="254" t="s">
        <v>336</v>
      </c>
      <c r="BB33" s="254" t="s">
        <v>336</v>
      </c>
      <c r="BC33" s="254" t="s">
        <v>336</v>
      </c>
      <c r="BD33" s="236"/>
      <c r="BE33" s="404"/>
      <c r="BF33" s="841" t="s">
        <v>336</v>
      </c>
      <c r="BG33" s="841"/>
      <c r="BH33" s="841"/>
      <c r="BI33" s="841"/>
      <c r="BJ33" s="841"/>
      <c r="BK33" s="841"/>
      <c r="BL33" s="841"/>
      <c r="BM33" s="841"/>
      <c r="BN33" s="841"/>
      <c r="BO33" s="841"/>
      <c r="BP33" s="841"/>
      <c r="BQ33" s="841"/>
      <c r="BR33" s="841"/>
      <c r="BS33" s="841"/>
      <c r="BT33" s="841"/>
      <c r="BU33" s="841"/>
      <c r="BV33" s="841"/>
      <c r="BW33" s="841"/>
      <c r="BX33" s="841"/>
      <c r="BY33" s="841"/>
      <c r="BZ33" s="841"/>
      <c r="CA33" s="841"/>
      <c r="CB33" s="841"/>
      <c r="CC33" s="841"/>
      <c r="CD33" s="236"/>
      <c r="CE33" s="236" t="s">
        <v>336</v>
      </c>
      <c r="CF33" s="596">
        <v>28</v>
      </c>
      <c r="CG33" s="408" t="s">
        <v>336</v>
      </c>
      <c r="CH33" s="408" t="s">
        <v>336</v>
      </c>
      <c r="CI33" s="408" t="s">
        <v>336</v>
      </c>
      <c r="CJ33" s="408" t="s">
        <v>336</v>
      </c>
      <c r="CK33" s="408" t="s">
        <v>336</v>
      </c>
      <c r="CL33" s="397">
        <v>29</v>
      </c>
      <c r="CM33" s="408" t="s">
        <v>336</v>
      </c>
      <c r="CN33" s="408" t="s">
        <v>336</v>
      </c>
      <c r="CO33" s="408" t="s">
        <v>336</v>
      </c>
      <c r="CP33" s="408" t="s">
        <v>336</v>
      </c>
      <c r="CQ33" s="408" t="s">
        <v>336</v>
      </c>
      <c r="CR33" s="236"/>
    </row>
    <row r="34" spans="1:96" x14ac:dyDescent="0.3">
      <c r="A34" s="404"/>
      <c r="B34" s="831" t="s">
        <v>456</v>
      </c>
      <c r="C34" s="832"/>
      <c r="D34" s="832"/>
      <c r="E34" s="832"/>
      <c r="F34" s="833"/>
      <c r="G34" s="541"/>
      <c r="H34" s="831" t="s">
        <v>457</v>
      </c>
      <c r="I34" s="832"/>
      <c r="J34" s="832"/>
      <c r="K34" s="832"/>
      <c r="L34" s="833"/>
      <c r="M34" s="541"/>
      <c r="N34" s="831" t="s">
        <v>224</v>
      </c>
      <c r="O34" s="832"/>
      <c r="P34" s="832"/>
      <c r="Q34" s="832"/>
      <c r="R34" s="833"/>
      <c r="S34" s="541"/>
      <c r="T34" s="831" t="s">
        <v>225</v>
      </c>
      <c r="U34" s="832"/>
      <c r="V34" s="832"/>
      <c r="W34" s="832"/>
      <c r="X34" s="833"/>
      <c r="Y34" s="542"/>
      <c r="Z34" s="236"/>
      <c r="AA34" s="831" t="s">
        <v>224</v>
      </c>
      <c r="AB34" s="832"/>
      <c r="AC34" s="832"/>
      <c r="AD34" s="832"/>
      <c r="AE34" s="868"/>
      <c r="AF34" s="870" t="s">
        <v>225</v>
      </c>
      <c r="AG34" s="838"/>
      <c r="AH34" s="838"/>
      <c r="AI34" s="838"/>
      <c r="AJ34" s="838"/>
      <c r="AK34" s="236" t="s">
        <v>336</v>
      </c>
      <c r="AL34" s="288">
        <v>30</v>
      </c>
      <c r="AM34" s="254" t="s">
        <v>336</v>
      </c>
      <c r="AN34" s="254" t="s">
        <v>336</v>
      </c>
      <c r="AO34" s="254" t="s">
        <v>336</v>
      </c>
      <c r="AP34" s="254" t="s">
        <v>336</v>
      </c>
      <c r="AQ34" s="254" t="s">
        <v>336</v>
      </c>
      <c r="AR34" s="398">
        <v>30</v>
      </c>
      <c r="AS34" s="254" t="s">
        <v>336</v>
      </c>
      <c r="AT34" s="254" t="s">
        <v>336</v>
      </c>
      <c r="AU34" s="254" t="s">
        <v>336</v>
      </c>
      <c r="AV34" s="254" t="s">
        <v>336</v>
      </c>
      <c r="AW34" s="254" t="s">
        <v>336</v>
      </c>
      <c r="AX34" s="236"/>
      <c r="AY34" s="287">
        <v>31</v>
      </c>
      <c r="AZ34" s="246" t="s">
        <v>336</v>
      </c>
      <c r="BA34" s="246" t="s">
        <v>336</v>
      </c>
      <c r="BB34" s="246" t="s">
        <v>336</v>
      </c>
      <c r="BC34" s="246" t="s">
        <v>336</v>
      </c>
      <c r="BD34" s="236"/>
      <c r="BE34" s="404"/>
      <c r="BF34" s="831" t="s">
        <v>456</v>
      </c>
      <c r="BG34" s="832"/>
      <c r="BH34" s="832"/>
      <c r="BI34" s="832"/>
      <c r="BJ34" s="833"/>
      <c r="BK34" s="541"/>
      <c r="BL34" s="831" t="s">
        <v>457</v>
      </c>
      <c r="BM34" s="832"/>
      <c r="BN34" s="832"/>
      <c r="BO34" s="832"/>
      <c r="BP34" s="833"/>
      <c r="BQ34" s="541"/>
      <c r="BR34" s="831" t="s">
        <v>224</v>
      </c>
      <c r="BS34" s="832"/>
      <c r="BT34" s="832"/>
      <c r="BU34" s="832"/>
      <c r="BV34" s="833"/>
      <c r="BW34" s="541"/>
      <c r="BX34" s="831" t="s">
        <v>225</v>
      </c>
      <c r="BY34" s="832"/>
      <c r="BZ34" s="832"/>
      <c r="CA34" s="832"/>
      <c r="CB34" s="833"/>
      <c r="CC34" s="542"/>
      <c r="CD34" s="236"/>
      <c r="CE34" s="236" t="s">
        <v>336</v>
      </c>
      <c r="CF34" s="597">
        <v>29</v>
      </c>
      <c r="CG34" s="409" t="s">
        <v>336</v>
      </c>
      <c r="CH34" s="409" t="s">
        <v>336</v>
      </c>
      <c r="CI34" s="409" t="s">
        <v>336</v>
      </c>
      <c r="CJ34" s="409" t="s">
        <v>336</v>
      </c>
      <c r="CK34" s="409" t="s">
        <v>336</v>
      </c>
      <c r="CL34" s="398">
        <v>30</v>
      </c>
      <c r="CM34" s="409" t="s">
        <v>336</v>
      </c>
      <c r="CN34" s="409" t="s">
        <v>336</v>
      </c>
      <c r="CO34" s="409" t="s">
        <v>336</v>
      </c>
      <c r="CP34" s="409" t="s">
        <v>336</v>
      </c>
      <c r="CQ34" s="409" t="s">
        <v>336</v>
      </c>
      <c r="CR34" s="236"/>
    </row>
    <row r="35" spans="1:96" x14ac:dyDescent="0.3">
      <c r="A35" s="404"/>
      <c r="B35" s="837"/>
      <c r="C35" s="838"/>
      <c r="D35" s="838"/>
      <c r="E35" s="838"/>
      <c r="F35" s="839"/>
      <c r="G35" s="542"/>
      <c r="H35" s="834"/>
      <c r="I35" s="835"/>
      <c r="J35" s="835"/>
      <c r="K35" s="835"/>
      <c r="L35" s="836"/>
      <c r="M35" s="542"/>
      <c r="N35" s="837"/>
      <c r="O35" s="838"/>
      <c r="P35" s="838"/>
      <c r="Q35" s="838"/>
      <c r="R35" s="839"/>
      <c r="S35" s="542"/>
      <c r="T35" s="834"/>
      <c r="U35" s="835"/>
      <c r="V35" s="835"/>
      <c r="W35" s="835"/>
      <c r="X35" s="836"/>
      <c r="Y35" s="542"/>
      <c r="Z35" s="236"/>
      <c r="AA35" s="837"/>
      <c r="AB35" s="838"/>
      <c r="AC35" s="838"/>
      <c r="AD35" s="838"/>
      <c r="AE35" s="869"/>
      <c r="AF35" s="870"/>
      <c r="AG35" s="838"/>
      <c r="AH35" s="838"/>
      <c r="AI35" s="838"/>
      <c r="AJ35" s="838"/>
      <c r="AK35" s="236" t="s">
        <v>336</v>
      </c>
      <c r="AL35" s="287">
        <v>31</v>
      </c>
      <c r="AM35" s="246" t="s">
        <v>336</v>
      </c>
      <c r="AN35" s="246" t="s">
        <v>336</v>
      </c>
      <c r="AO35" s="246" t="s">
        <v>336</v>
      </c>
      <c r="AP35" s="246" t="s">
        <v>336</v>
      </c>
      <c r="AQ35" s="246" t="s">
        <v>336</v>
      </c>
      <c r="AR35" s="397">
        <v>31</v>
      </c>
      <c r="AS35" s="246" t="s">
        <v>336</v>
      </c>
      <c r="AT35" s="246" t="s">
        <v>336</v>
      </c>
      <c r="AU35" s="246" t="s">
        <v>336</v>
      </c>
      <c r="AV35" s="246" t="s">
        <v>336</v>
      </c>
      <c r="AW35" s="246" t="s">
        <v>336</v>
      </c>
      <c r="AX35" s="236"/>
      <c r="AY35" s="288">
        <v>32</v>
      </c>
      <c r="AZ35" s="254" t="s">
        <v>336</v>
      </c>
      <c r="BA35" s="254" t="s">
        <v>336</v>
      </c>
      <c r="BB35" s="254" t="s">
        <v>336</v>
      </c>
      <c r="BC35" s="254" t="s">
        <v>336</v>
      </c>
      <c r="BD35" s="236"/>
      <c r="BE35" s="404"/>
      <c r="BF35" s="837"/>
      <c r="BG35" s="838"/>
      <c r="BH35" s="838"/>
      <c r="BI35" s="838"/>
      <c r="BJ35" s="839"/>
      <c r="BK35" s="542"/>
      <c r="BL35" s="834"/>
      <c r="BM35" s="835"/>
      <c r="BN35" s="835"/>
      <c r="BO35" s="835"/>
      <c r="BP35" s="836"/>
      <c r="BQ35" s="542"/>
      <c r="BR35" s="837"/>
      <c r="BS35" s="838"/>
      <c r="BT35" s="838"/>
      <c r="BU35" s="838"/>
      <c r="BV35" s="839"/>
      <c r="BW35" s="542"/>
      <c r="BX35" s="834"/>
      <c r="BY35" s="835"/>
      <c r="BZ35" s="835"/>
      <c r="CA35" s="835"/>
      <c r="CB35" s="836"/>
      <c r="CC35" s="542"/>
      <c r="CD35" s="236"/>
      <c r="CE35" s="236" t="s">
        <v>336</v>
      </c>
      <c r="CF35" s="596">
        <v>30</v>
      </c>
      <c r="CG35" s="408" t="s">
        <v>336</v>
      </c>
      <c r="CH35" s="408" t="s">
        <v>336</v>
      </c>
      <c r="CI35" s="408" t="s">
        <v>336</v>
      </c>
      <c r="CJ35" s="408" t="s">
        <v>336</v>
      </c>
      <c r="CK35" s="408" t="s">
        <v>336</v>
      </c>
      <c r="CL35" s="397">
        <v>31</v>
      </c>
      <c r="CM35" s="408" t="s">
        <v>336</v>
      </c>
      <c r="CN35" s="408" t="s">
        <v>336</v>
      </c>
      <c r="CO35" s="408" t="s">
        <v>336</v>
      </c>
      <c r="CP35" s="408" t="s">
        <v>336</v>
      </c>
      <c r="CQ35" s="408" t="s">
        <v>336</v>
      </c>
      <c r="CR35" s="236"/>
    </row>
    <row r="36" spans="1:96" x14ac:dyDescent="0.3">
      <c r="A36" s="404"/>
      <c r="B36" s="820" t="s">
        <v>226</v>
      </c>
      <c r="C36" s="821"/>
      <c r="D36" s="584">
        <f>C18</f>
        <v>0</v>
      </c>
      <c r="E36" s="872" t="s">
        <v>543</v>
      </c>
      <c r="F36" s="873"/>
      <c r="G36" s="551">
        <f>G18</f>
        <v>0</v>
      </c>
      <c r="H36" s="820" t="s">
        <v>226</v>
      </c>
      <c r="I36" s="821"/>
      <c r="J36" s="584">
        <f>I18</f>
        <v>0</v>
      </c>
      <c r="K36" s="872" t="s">
        <v>543</v>
      </c>
      <c r="L36" s="873"/>
      <c r="M36" s="551">
        <f>M18</f>
        <v>0</v>
      </c>
      <c r="N36" s="820" t="s">
        <v>226</v>
      </c>
      <c r="O36" s="821"/>
      <c r="P36" s="584">
        <f>O18</f>
        <v>0</v>
      </c>
      <c r="Q36" s="872" t="s">
        <v>543</v>
      </c>
      <c r="R36" s="873"/>
      <c r="S36" s="551">
        <f>S18</f>
        <v>0</v>
      </c>
      <c r="T36" s="820" t="s">
        <v>226</v>
      </c>
      <c r="U36" s="821"/>
      <c r="V36" s="584">
        <f>U18</f>
        <v>0</v>
      </c>
      <c r="W36" s="872" t="s">
        <v>543</v>
      </c>
      <c r="X36" s="873"/>
      <c r="Y36" s="551">
        <f>Y18</f>
        <v>0</v>
      </c>
      <c r="Z36" s="236"/>
      <c r="AA36" s="820" t="s">
        <v>226</v>
      </c>
      <c r="AB36" s="821"/>
      <c r="AC36" s="871">
        <f>AB18</f>
        <v>0</v>
      </c>
      <c r="AD36" s="871"/>
      <c r="AE36" s="871"/>
      <c r="AF36" s="820" t="s">
        <v>226</v>
      </c>
      <c r="AG36" s="821"/>
      <c r="AH36" s="871">
        <f>AG18</f>
        <v>0</v>
      </c>
      <c r="AI36" s="871"/>
      <c r="AJ36" s="871"/>
      <c r="AK36" s="236" t="s">
        <v>336</v>
      </c>
      <c r="AL36" s="288">
        <v>32</v>
      </c>
      <c r="AM36" s="254" t="s">
        <v>336</v>
      </c>
      <c r="AN36" s="254" t="s">
        <v>336</v>
      </c>
      <c r="AO36" s="254" t="s">
        <v>336</v>
      </c>
      <c r="AP36" s="254" t="s">
        <v>336</v>
      </c>
      <c r="AQ36" s="254" t="s">
        <v>336</v>
      </c>
      <c r="AR36" s="398">
        <v>32</v>
      </c>
      <c r="AS36" s="254" t="s">
        <v>336</v>
      </c>
      <c r="AT36" s="254" t="s">
        <v>336</v>
      </c>
      <c r="AU36" s="254" t="s">
        <v>336</v>
      </c>
      <c r="AV36" s="254" t="s">
        <v>336</v>
      </c>
      <c r="AW36" s="254" t="s">
        <v>336</v>
      </c>
      <c r="AX36" s="236"/>
      <c r="AY36" s="287">
        <v>33</v>
      </c>
      <c r="AZ36" s="246" t="s">
        <v>336</v>
      </c>
      <c r="BA36" s="246" t="s">
        <v>336</v>
      </c>
      <c r="BB36" s="246" t="s">
        <v>336</v>
      </c>
      <c r="BC36" s="246" t="s">
        <v>336</v>
      </c>
      <c r="BD36" s="236"/>
      <c r="BE36" s="404"/>
      <c r="BF36" s="820" t="s">
        <v>226</v>
      </c>
      <c r="BG36" s="821"/>
      <c r="BH36" s="584">
        <f>BG18</f>
        <v>0</v>
      </c>
      <c r="BI36" s="877" t="s">
        <v>543</v>
      </c>
      <c r="BJ36" s="878"/>
      <c r="BK36" s="551">
        <f>BK18</f>
        <v>0</v>
      </c>
      <c r="BL36" s="820" t="s">
        <v>226</v>
      </c>
      <c r="BM36" s="821"/>
      <c r="BN36" s="584">
        <f>BM18</f>
        <v>0</v>
      </c>
      <c r="BO36" s="879" t="s">
        <v>543</v>
      </c>
      <c r="BP36" s="880"/>
      <c r="BQ36" s="551">
        <f>BQ18</f>
        <v>0</v>
      </c>
      <c r="BR36" s="820" t="s">
        <v>226</v>
      </c>
      <c r="BS36" s="821"/>
      <c r="BT36" s="584">
        <f>BS18</f>
        <v>0</v>
      </c>
      <c r="BU36" s="879" t="s">
        <v>543</v>
      </c>
      <c r="BV36" s="880"/>
      <c r="BW36" s="551">
        <f>BW18</f>
        <v>0</v>
      </c>
      <c r="BX36" s="820" t="s">
        <v>226</v>
      </c>
      <c r="BY36" s="821"/>
      <c r="BZ36" s="584">
        <f>BY18</f>
        <v>0</v>
      </c>
      <c r="CA36" s="879" t="s">
        <v>543</v>
      </c>
      <c r="CB36" s="880"/>
      <c r="CC36" s="551">
        <f>CC18</f>
        <v>0</v>
      </c>
      <c r="CD36" s="236"/>
      <c r="CE36" s="236" t="s">
        <v>336</v>
      </c>
      <c r="CF36" s="597">
        <v>31</v>
      </c>
      <c r="CG36" s="409" t="s">
        <v>336</v>
      </c>
      <c r="CH36" s="409" t="s">
        <v>336</v>
      </c>
      <c r="CI36" s="409" t="s">
        <v>336</v>
      </c>
      <c r="CJ36" s="409" t="s">
        <v>336</v>
      </c>
      <c r="CK36" s="409" t="s">
        <v>336</v>
      </c>
      <c r="CL36" s="398">
        <v>32</v>
      </c>
      <c r="CM36" s="409" t="s">
        <v>336</v>
      </c>
      <c r="CN36" s="409" t="s">
        <v>336</v>
      </c>
      <c r="CO36" s="409" t="s">
        <v>336</v>
      </c>
      <c r="CP36" s="409" t="s">
        <v>336</v>
      </c>
      <c r="CQ36" s="409" t="s">
        <v>336</v>
      </c>
      <c r="CR36" s="236"/>
    </row>
    <row r="37" spans="1:96" ht="15" thickBot="1" x14ac:dyDescent="0.35">
      <c r="A37" s="404"/>
      <c r="B37" s="813" t="s">
        <v>227</v>
      </c>
      <c r="C37" s="814"/>
      <c r="D37" s="585">
        <f>D18</f>
        <v>0</v>
      </c>
      <c r="E37" s="586"/>
      <c r="F37" s="586"/>
      <c r="G37" s="588"/>
      <c r="H37" s="813" t="s">
        <v>227</v>
      </c>
      <c r="I37" s="814"/>
      <c r="J37" s="585">
        <f>J18</f>
        <v>0</v>
      </c>
      <c r="K37" s="586"/>
      <c r="L37" s="586"/>
      <c r="M37" s="588"/>
      <c r="N37" s="813" t="s">
        <v>227</v>
      </c>
      <c r="O37" s="814"/>
      <c r="P37" s="585">
        <f>P18</f>
        <v>0</v>
      </c>
      <c r="Q37" s="586"/>
      <c r="R37" s="586"/>
      <c r="S37" s="588"/>
      <c r="T37" s="813" t="s">
        <v>227</v>
      </c>
      <c r="U37" s="814"/>
      <c r="V37" s="585">
        <f>V18</f>
        <v>0</v>
      </c>
      <c r="W37" s="586"/>
      <c r="X37" s="586"/>
      <c r="Y37" s="588"/>
      <c r="Z37" s="236"/>
      <c r="AA37" s="813" t="s">
        <v>227</v>
      </c>
      <c r="AB37" s="814"/>
      <c r="AC37" s="874">
        <f>AC18</f>
        <v>10.92</v>
      </c>
      <c r="AD37" s="874"/>
      <c r="AE37" s="874"/>
      <c r="AF37" s="813" t="s">
        <v>227</v>
      </c>
      <c r="AG37" s="814"/>
      <c r="AH37" s="874">
        <f>AH18</f>
        <v>10.92</v>
      </c>
      <c r="AI37" s="874"/>
      <c r="AJ37" s="874"/>
      <c r="AK37" s="236" t="s">
        <v>336</v>
      </c>
      <c r="AL37" s="287">
        <v>33</v>
      </c>
      <c r="AM37" s="246" t="s">
        <v>336</v>
      </c>
      <c r="AN37" s="246" t="s">
        <v>336</v>
      </c>
      <c r="AO37" s="246" t="s">
        <v>336</v>
      </c>
      <c r="AP37" s="246" t="s">
        <v>336</v>
      </c>
      <c r="AQ37" s="246" t="s">
        <v>336</v>
      </c>
      <c r="AR37" s="397">
        <v>33</v>
      </c>
      <c r="AS37" s="246" t="s">
        <v>336</v>
      </c>
      <c r="AT37" s="246" t="s">
        <v>336</v>
      </c>
      <c r="AU37" s="246" t="s">
        <v>336</v>
      </c>
      <c r="AV37" s="246" t="s">
        <v>336</v>
      </c>
      <c r="AW37" s="246" t="s">
        <v>336</v>
      </c>
      <c r="AX37" s="236"/>
      <c r="AY37" s="288">
        <v>34</v>
      </c>
      <c r="AZ37" s="254" t="s">
        <v>336</v>
      </c>
      <c r="BA37" s="254" t="s">
        <v>336</v>
      </c>
      <c r="BB37" s="254" t="s">
        <v>336</v>
      </c>
      <c r="BC37" s="254" t="s">
        <v>336</v>
      </c>
      <c r="BD37" s="236"/>
      <c r="BE37" s="404"/>
      <c r="BF37" s="813" t="s">
        <v>227</v>
      </c>
      <c r="BG37" s="814"/>
      <c r="BH37" s="585">
        <f>BH18</f>
        <v>0</v>
      </c>
      <c r="BI37" s="586"/>
      <c r="BJ37" s="586"/>
      <c r="BK37" s="588"/>
      <c r="BL37" s="813" t="s">
        <v>227</v>
      </c>
      <c r="BM37" s="814"/>
      <c r="BN37" s="585">
        <f>BN18</f>
        <v>0</v>
      </c>
      <c r="BO37" s="586"/>
      <c r="BP37" s="586"/>
      <c r="BQ37" s="588"/>
      <c r="BR37" s="813" t="s">
        <v>227</v>
      </c>
      <c r="BS37" s="814"/>
      <c r="BT37" s="585">
        <f>BT18</f>
        <v>0</v>
      </c>
      <c r="BU37" s="586"/>
      <c r="BV37" s="586"/>
      <c r="BW37" s="588"/>
      <c r="BX37" s="813" t="s">
        <v>227</v>
      </c>
      <c r="BY37" s="814"/>
      <c r="BZ37" s="585">
        <f>BZ18</f>
        <v>0</v>
      </c>
      <c r="CA37" s="586"/>
      <c r="CB37" s="586"/>
      <c r="CC37" s="588"/>
      <c r="CD37" s="236"/>
      <c r="CE37" s="236" t="s">
        <v>336</v>
      </c>
      <c r="CF37" s="596">
        <v>32</v>
      </c>
      <c r="CG37" s="408" t="s">
        <v>336</v>
      </c>
      <c r="CH37" s="408" t="s">
        <v>336</v>
      </c>
      <c r="CI37" s="408" t="s">
        <v>336</v>
      </c>
      <c r="CJ37" s="408" t="s">
        <v>336</v>
      </c>
      <c r="CK37" s="408" t="s">
        <v>336</v>
      </c>
      <c r="CL37" s="397">
        <v>33</v>
      </c>
      <c r="CM37" s="408" t="s">
        <v>336</v>
      </c>
      <c r="CN37" s="408" t="s">
        <v>336</v>
      </c>
      <c r="CO37" s="408" t="s">
        <v>336</v>
      </c>
      <c r="CP37" s="408" t="s">
        <v>336</v>
      </c>
      <c r="CQ37" s="408" t="s">
        <v>336</v>
      </c>
      <c r="CR37" s="236"/>
    </row>
    <row r="38" spans="1:96" x14ac:dyDescent="0.3">
      <c r="A38" s="404"/>
      <c r="B38" s="820" t="s">
        <v>334</v>
      </c>
      <c r="C38" s="821"/>
      <c r="D38" s="429">
        <f>E18</f>
        <v>0</v>
      </c>
      <c r="E38" s="587"/>
      <c r="F38" s="587"/>
      <c r="G38" s="589"/>
      <c r="H38" s="820" t="s">
        <v>334</v>
      </c>
      <c r="I38" s="821"/>
      <c r="J38" s="429">
        <f>K18</f>
        <v>0</v>
      </c>
      <c r="K38" s="587"/>
      <c r="L38" s="587"/>
      <c r="M38" s="589"/>
      <c r="N38" s="820" t="s">
        <v>334</v>
      </c>
      <c r="O38" s="821"/>
      <c r="P38" s="429">
        <f>Q18</f>
        <v>0</v>
      </c>
      <c r="Q38" s="587"/>
      <c r="R38" s="587"/>
      <c r="S38" s="589"/>
      <c r="T38" s="820" t="s">
        <v>334</v>
      </c>
      <c r="U38" s="821"/>
      <c r="V38" s="429">
        <f>W18</f>
        <v>0</v>
      </c>
      <c r="W38" s="587"/>
      <c r="X38" s="587"/>
      <c r="Y38" s="589"/>
      <c r="Z38" s="236"/>
      <c r="AA38" s="820" t="s">
        <v>334</v>
      </c>
      <c r="AB38" s="821"/>
      <c r="AC38" s="875">
        <f>AD18</f>
        <v>0</v>
      </c>
      <c r="AD38" s="875"/>
      <c r="AE38" s="875"/>
      <c r="AF38" s="820" t="s">
        <v>334</v>
      </c>
      <c r="AG38" s="821"/>
      <c r="AH38" s="875" t="str">
        <f>AI18</f>
        <v>N/A</v>
      </c>
      <c r="AI38" s="875"/>
      <c r="AJ38" s="875"/>
      <c r="AK38" s="236" t="s">
        <v>336</v>
      </c>
      <c r="AL38" s="288">
        <v>34</v>
      </c>
      <c r="AM38" s="254" t="s">
        <v>336</v>
      </c>
      <c r="AN38" s="254" t="s">
        <v>336</v>
      </c>
      <c r="AO38" s="254" t="s">
        <v>336</v>
      </c>
      <c r="AP38" s="254" t="s">
        <v>336</v>
      </c>
      <c r="AQ38" s="254" t="s">
        <v>336</v>
      </c>
      <c r="AR38" s="398">
        <v>34</v>
      </c>
      <c r="AS38" s="254" t="s">
        <v>336</v>
      </c>
      <c r="AT38" s="254" t="s">
        <v>336</v>
      </c>
      <c r="AU38" s="254" t="s">
        <v>336</v>
      </c>
      <c r="AV38" s="254" t="s">
        <v>336</v>
      </c>
      <c r="AW38" s="254" t="s">
        <v>336</v>
      </c>
      <c r="AX38" s="236"/>
      <c r="AY38" s="287">
        <v>35</v>
      </c>
      <c r="AZ38" s="246" t="s">
        <v>336</v>
      </c>
      <c r="BA38" s="246" t="s">
        <v>336</v>
      </c>
      <c r="BB38" s="246" t="s">
        <v>336</v>
      </c>
      <c r="BC38" s="246" t="s">
        <v>336</v>
      </c>
      <c r="BD38" s="236"/>
      <c r="BE38" s="404"/>
      <c r="BF38" s="820" t="s">
        <v>334</v>
      </c>
      <c r="BG38" s="821"/>
      <c r="BH38" s="429">
        <f>BI18</f>
        <v>0</v>
      </c>
      <c r="BI38" s="587"/>
      <c r="BJ38" s="587"/>
      <c r="BK38" s="589"/>
      <c r="BL38" s="820" t="s">
        <v>334</v>
      </c>
      <c r="BM38" s="821"/>
      <c r="BN38" s="429">
        <f>BO18</f>
        <v>0</v>
      </c>
      <c r="BO38" s="587"/>
      <c r="BP38" s="587"/>
      <c r="BQ38" s="589"/>
      <c r="BR38" s="820" t="s">
        <v>334</v>
      </c>
      <c r="BS38" s="821"/>
      <c r="BT38" s="429">
        <f>BU18</f>
        <v>0</v>
      </c>
      <c r="BU38" s="587"/>
      <c r="BV38" s="587"/>
      <c r="BW38" s="589"/>
      <c r="BX38" s="820" t="s">
        <v>334</v>
      </c>
      <c r="BY38" s="821"/>
      <c r="BZ38" s="429">
        <f>CA18</f>
        <v>0</v>
      </c>
      <c r="CA38" s="587"/>
      <c r="CB38" s="587"/>
      <c r="CC38" s="589"/>
      <c r="CD38" s="236"/>
      <c r="CE38" s="236" t="s">
        <v>336</v>
      </c>
      <c r="CF38" s="597">
        <v>33</v>
      </c>
      <c r="CG38" s="409" t="s">
        <v>336</v>
      </c>
      <c r="CH38" s="409" t="s">
        <v>336</v>
      </c>
      <c r="CI38" s="409" t="s">
        <v>336</v>
      </c>
      <c r="CJ38" s="409" t="s">
        <v>336</v>
      </c>
      <c r="CK38" s="409" t="s">
        <v>336</v>
      </c>
      <c r="CL38" s="398">
        <v>34</v>
      </c>
      <c r="CM38" s="409" t="s">
        <v>336</v>
      </c>
      <c r="CN38" s="409" t="s">
        <v>336</v>
      </c>
      <c r="CO38" s="409" t="s">
        <v>336</v>
      </c>
      <c r="CP38" s="409" t="s">
        <v>336</v>
      </c>
      <c r="CQ38" s="409" t="s">
        <v>336</v>
      </c>
      <c r="CR38" s="236"/>
    </row>
    <row r="39" spans="1:96" ht="15" thickBot="1" x14ac:dyDescent="0.35">
      <c r="A39" s="404"/>
      <c r="B39" s="813" t="s">
        <v>335</v>
      </c>
      <c r="C39" s="814"/>
      <c r="D39" s="431">
        <f>F18</f>
        <v>0</v>
      </c>
      <c r="E39" s="587"/>
      <c r="F39" s="587"/>
      <c r="G39" s="589"/>
      <c r="H39" s="813" t="s">
        <v>335</v>
      </c>
      <c r="I39" s="814"/>
      <c r="J39" s="431">
        <f>L18</f>
        <v>0</v>
      </c>
      <c r="K39" s="587"/>
      <c r="L39" s="587"/>
      <c r="M39" s="589"/>
      <c r="N39" s="813" t="s">
        <v>335</v>
      </c>
      <c r="O39" s="814"/>
      <c r="P39" s="431">
        <f>R18</f>
        <v>0</v>
      </c>
      <c r="Q39" s="587"/>
      <c r="R39" s="587"/>
      <c r="S39" s="589"/>
      <c r="T39" s="813" t="s">
        <v>335</v>
      </c>
      <c r="U39" s="814"/>
      <c r="V39" s="431">
        <f>X18</f>
        <v>0</v>
      </c>
      <c r="W39" s="587"/>
      <c r="X39" s="587"/>
      <c r="Y39" s="589"/>
      <c r="Z39" s="236"/>
      <c r="AA39" s="813" t="s">
        <v>335</v>
      </c>
      <c r="AB39" s="814"/>
      <c r="AC39" s="889">
        <f>AE18</f>
        <v>0</v>
      </c>
      <c r="AD39" s="889"/>
      <c r="AE39" s="889"/>
      <c r="AF39" s="813" t="s">
        <v>335</v>
      </c>
      <c r="AG39" s="814"/>
      <c r="AH39" s="889" t="str">
        <f>AJ18</f>
        <v>N/A</v>
      </c>
      <c r="AI39" s="889"/>
      <c r="AJ39" s="889"/>
      <c r="AK39" s="236" t="s">
        <v>336</v>
      </c>
      <c r="AL39" s="287">
        <v>35</v>
      </c>
      <c r="AM39" s="246" t="s">
        <v>336</v>
      </c>
      <c r="AN39" s="246" t="s">
        <v>336</v>
      </c>
      <c r="AO39" s="246" t="s">
        <v>336</v>
      </c>
      <c r="AP39" s="246" t="s">
        <v>336</v>
      </c>
      <c r="AQ39" s="246" t="s">
        <v>336</v>
      </c>
      <c r="AR39" s="397">
        <v>35</v>
      </c>
      <c r="AS39" s="246" t="s">
        <v>336</v>
      </c>
      <c r="AT39" s="246" t="s">
        <v>336</v>
      </c>
      <c r="AU39" s="246" t="s">
        <v>336</v>
      </c>
      <c r="AV39" s="246" t="s">
        <v>336</v>
      </c>
      <c r="AW39" s="246" t="s">
        <v>336</v>
      </c>
      <c r="AX39" s="236"/>
      <c r="AY39" s="288">
        <v>36</v>
      </c>
      <c r="AZ39" s="254" t="s">
        <v>336</v>
      </c>
      <c r="BA39" s="254" t="s">
        <v>336</v>
      </c>
      <c r="BB39" s="254" t="s">
        <v>336</v>
      </c>
      <c r="BC39" s="254" t="s">
        <v>336</v>
      </c>
      <c r="BD39" s="236"/>
      <c r="BE39" s="404"/>
      <c r="BF39" s="813" t="s">
        <v>335</v>
      </c>
      <c r="BG39" s="814"/>
      <c r="BH39" s="431">
        <f>BJ18</f>
        <v>0</v>
      </c>
      <c r="BI39" s="587"/>
      <c r="BJ39" s="587"/>
      <c r="BK39" s="589"/>
      <c r="BL39" s="813" t="s">
        <v>335</v>
      </c>
      <c r="BM39" s="814"/>
      <c r="BN39" s="431">
        <f>BP18</f>
        <v>0</v>
      </c>
      <c r="BO39" s="587"/>
      <c r="BP39" s="587"/>
      <c r="BQ39" s="589"/>
      <c r="BR39" s="813" t="s">
        <v>335</v>
      </c>
      <c r="BS39" s="814"/>
      <c r="BT39" s="431">
        <f>BV18</f>
        <v>0</v>
      </c>
      <c r="BU39" s="587"/>
      <c r="BV39" s="587"/>
      <c r="BW39" s="589"/>
      <c r="BX39" s="813" t="s">
        <v>335</v>
      </c>
      <c r="BY39" s="814"/>
      <c r="BZ39" s="431">
        <f>CB18</f>
        <v>0</v>
      </c>
      <c r="CA39" s="587"/>
      <c r="CB39" s="587"/>
      <c r="CC39" s="589"/>
      <c r="CD39" s="236"/>
      <c r="CE39" s="236" t="s">
        <v>336</v>
      </c>
      <c r="CF39" s="596">
        <v>34</v>
      </c>
      <c r="CG39" s="408" t="s">
        <v>336</v>
      </c>
      <c r="CH39" s="408" t="s">
        <v>336</v>
      </c>
      <c r="CI39" s="408" t="s">
        <v>336</v>
      </c>
      <c r="CJ39" s="408" t="s">
        <v>336</v>
      </c>
      <c r="CK39" s="408" t="s">
        <v>336</v>
      </c>
      <c r="CL39" s="397">
        <v>35</v>
      </c>
      <c r="CM39" s="408" t="s">
        <v>336</v>
      </c>
      <c r="CN39" s="408" t="s">
        <v>336</v>
      </c>
      <c r="CO39" s="408" t="s">
        <v>336</v>
      </c>
      <c r="CP39" s="408" t="s">
        <v>336</v>
      </c>
      <c r="CQ39" s="408" t="s">
        <v>336</v>
      </c>
      <c r="CR39" s="236"/>
    </row>
    <row r="40" spans="1:96" x14ac:dyDescent="0.3">
      <c r="A40" s="404"/>
      <c r="B40" s="817" t="s">
        <v>221</v>
      </c>
      <c r="C40" s="818"/>
      <c r="D40" s="866">
        <f>SUM(D36:G39)</f>
        <v>0</v>
      </c>
      <c r="E40" s="866"/>
      <c r="F40" s="866"/>
      <c r="G40" s="867"/>
      <c r="H40" s="817" t="s">
        <v>221</v>
      </c>
      <c r="I40" s="818"/>
      <c r="J40" s="866">
        <f>SUM(J36:M39)</f>
        <v>0</v>
      </c>
      <c r="K40" s="866"/>
      <c r="L40" s="866"/>
      <c r="M40" s="867"/>
      <c r="N40" s="817" t="s">
        <v>221</v>
      </c>
      <c r="O40" s="818"/>
      <c r="P40" s="866">
        <f>SUM(P36:R39)</f>
        <v>0</v>
      </c>
      <c r="Q40" s="866"/>
      <c r="R40" s="866"/>
      <c r="S40" s="867"/>
      <c r="T40" s="817" t="s">
        <v>221</v>
      </c>
      <c r="U40" s="818"/>
      <c r="V40" s="866">
        <f>SUM(V36:Y39)</f>
        <v>0</v>
      </c>
      <c r="W40" s="866"/>
      <c r="X40" s="866"/>
      <c r="Y40" s="867"/>
      <c r="Z40" s="236"/>
      <c r="AA40" s="817" t="s">
        <v>221</v>
      </c>
      <c r="AB40" s="818"/>
      <c r="AC40" s="845">
        <f>SUM(AC36:AE39)</f>
        <v>10.92</v>
      </c>
      <c r="AD40" s="845"/>
      <c r="AE40" s="846"/>
      <c r="AF40" s="817" t="s">
        <v>221</v>
      </c>
      <c r="AG40" s="818"/>
      <c r="AH40" s="845">
        <f>SUM(AH36:AJ39)</f>
        <v>10.92</v>
      </c>
      <c r="AI40" s="845"/>
      <c r="AJ40" s="846"/>
      <c r="AK40" s="236" t="s">
        <v>336</v>
      </c>
      <c r="AL40" s="288">
        <v>36</v>
      </c>
      <c r="AM40" s="254" t="s">
        <v>336</v>
      </c>
      <c r="AN40" s="254" t="s">
        <v>336</v>
      </c>
      <c r="AO40" s="254" t="s">
        <v>336</v>
      </c>
      <c r="AP40" s="254" t="s">
        <v>336</v>
      </c>
      <c r="AQ40" s="254" t="s">
        <v>336</v>
      </c>
      <c r="AR40" s="398">
        <v>36</v>
      </c>
      <c r="AS40" s="254" t="s">
        <v>336</v>
      </c>
      <c r="AT40" s="254" t="s">
        <v>336</v>
      </c>
      <c r="AU40" s="254" t="s">
        <v>336</v>
      </c>
      <c r="AV40" s="254" t="s">
        <v>336</v>
      </c>
      <c r="AW40" s="254" t="s">
        <v>336</v>
      </c>
      <c r="AX40" s="236"/>
      <c r="AY40" s="287">
        <v>37</v>
      </c>
      <c r="AZ40" s="246" t="s">
        <v>336</v>
      </c>
      <c r="BA40" s="246" t="s">
        <v>336</v>
      </c>
      <c r="BB40" s="246" t="s">
        <v>336</v>
      </c>
      <c r="BC40" s="246" t="s">
        <v>336</v>
      </c>
      <c r="BD40" s="236"/>
      <c r="BE40" s="404"/>
      <c r="BF40" s="817" t="s">
        <v>221</v>
      </c>
      <c r="BG40" s="818"/>
      <c r="BH40" s="866">
        <f>SUM(BH36:BK39)</f>
        <v>0</v>
      </c>
      <c r="BI40" s="866"/>
      <c r="BJ40" s="866"/>
      <c r="BK40" s="867"/>
      <c r="BL40" s="817" t="s">
        <v>221</v>
      </c>
      <c r="BM40" s="818"/>
      <c r="BN40" s="866">
        <f>SUM(BN36:BQ39)</f>
        <v>0</v>
      </c>
      <c r="BO40" s="866"/>
      <c r="BP40" s="866"/>
      <c r="BQ40" s="867"/>
      <c r="BR40" s="817" t="s">
        <v>221</v>
      </c>
      <c r="BS40" s="818"/>
      <c r="BT40" s="866">
        <f>SUM(BT36:BW39)</f>
        <v>0</v>
      </c>
      <c r="BU40" s="866"/>
      <c r="BV40" s="866"/>
      <c r="BW40" s="867"/>
      <c r="BX40" s="817" t="s">
        <v>221</v>
      </c>
      <c r="BY40" s="818"/>
      <c r="BZ40" s="866">
        <f>SUM(BZ36:CC39)</f>
        <v>0</v>
      </c>
      <c r="CA40" s="866"/>
      <c r="CB40" s="866"/>
      <c r="CC40" s="867"/>
      <c r="CD40" s="236"/>
      <c r="CE40" s="236" t="s">
        <v>336</v>
      </c>
      <c r="CF40" s="597">
        <v>35</v>
      </c>
      <c r="CG40" s="409" t="s">
        <v>336</v>
      </c>
      <c r="CH40" s="409" t="s">
        <v>336</v>
      </c>
      <c r="CI40" s="409" t="s">
        <v>336</v>
      </c>
      <c r="CJ40" s="409" t="s">
        <v>336</v>
      </c>
      <c r="CK40" s="409" t="s">
        <v>336</v>
      </c>
      <c r="CL40" s="398">
        <v>36</v>
      </c>
      <c r="CM40" s="409" t="s">
        <v>336</v>
      </c>
      <c r="CN40" s="409" t="s">
        <v>336</v>
      </c>
      <c r="CO40" s="409" t="s">
        <v>336</v>
      </c>
      <c r="CP40" s="409" t="s">
        <v>336</v>
      </c>
      <c r="CQ40" s="409" t="s">
        <v>336</v>
      </c>
      <c r="CR40" s="236"/>
    </row>
    <row r="41" spans="1:96" x14ac:dyDescent="0.3">
      <c r="A41" s="404"/>
      <c r="B41" s="842"/>
      <c r="C41" s="843"/>
      <c r="D41" s="858"/>
      <c r="E41" s="858"/>
      <c r="F41" s="859"/>
      <c r="G41" s="548"/>
      <c r="H41" s="909"/>
      <c r="I41" s="909"/>
      <c r="J41" s="910"/>
      <c r="K41" s="911"/>
      <c r="L41" s="912"/>
      <c r="M41" s="547"/>
      <c r="N41" s="842"/>
      <c r="O41" s="843"/>
      <c r="P41" s="858"/>
      <c r="Q41" s="858"/>
      <c r="R41" s="859"/>
      <c r="S41" s="548"/>
      <c r="T41" s="909"/>
      <c r="U41" s="909"/>
      <c r="V41" s="910"/>
      <c r="W41" s="911"/>
      <c r="X41" s="912"/>
      <c r="Y41" s="547"/>
      <c r="Z41" s="236"/>
      <c r="AA41" s="842" t="s">
        <v>252</v>
      </c>
      <c r="AB41" s="843"/>
      <c r="AC41" s="858">
        <f>COUNT(AB6:AE17)</f>
        <v>12</v>
      </c>
      <c r="AD41" s="858"/>
      <c r="AE41" s="859"/>
      <c r="AF41" s="842" t="s">
        <v>252</v>
      </c>
      <c r="AG41" s="843"/>
      <c r="AH41" s="858">
        <f>COUNT(AG6:AJ17)</f>
        <v>12</v>
      </c>
      <c r="AI41" s="858"/>
      <c r="AJ41" s="859"/>
      <c r="AK41" s="236" t="s">
        <v>336</v>
      </c>
      <c r="AL41" s="287">
        <v>37</v>
      </c>
      <c r="AM41" s="246" t="s">
        <v>336</v>
      </c>
      <c r="AN41" s="246" t="s">
        <v>336</v>
      </c>
      <c r="AO41" s="246" t="s">
        <v>336</v>
      </c>
      <c r="AP41" s="246" t="s">
        <v>336</v>
      </c>
      <c r="AQ41" s="246" t="s">
        <v>336</v>
      </c>
      <c r="AR41" s="397">
        <v>37</v>
      </c>
      <c r="AS41" s="246" t="s">
        <v>336</v>
      </c>
      <c r="AT41" s="246" t="s">
        <v>336</v>
      </c>
      <c r="AU41" s="246" t="s">
        <v>336</v>
      </c>
      <c r="AV41" s="246" t="s">
        <v>336</v>
      </c>
      <c r="AW41" s="246" t="s">
        <v>336</v>
      </c>
      <c r="AX41" s="236"/>
      <c r="AY41" s="288">
        <v>38</v>
      </c>
      <c r="AZ41" s="254" t="s">
        <v>336</v>
      </c>
      <c r="BA41" s="254" t="s">
        <v>336</v>
      </c>
      <c r="BB41" s="254" t="s">
        <v>336</v>
      </c>
      <c r="BC41" s="254" t="s">
        <v>336</v>
      </c>
      <c r="BD41" s="236"/>
      <c r="BE41" s="404"/>
      <c r="BF41" s="842"/>
      <c r="BG41" s="843"/>
      <c r="BH41" s="858"/>
      <c r="BI41" s="858"/>
      <c r="BJ41" s="859"/>
      <c r="BK41" s="548"/>
      <c r="BL41" s="842"/>
      <c r="BM41" s="843"/>
      <c r="BN41" s="858"/>
      <c r="BO41" s="858"/>
      <c r="BP41" s="859"/>
      <c r="BQ41" s="548"/>
      <c r="BR41" s="842"/>
      <c r="BS41" s="843"/>
      <c r="BT41" s="858"/>
      <c r="BU41" s="858"/>
      <c r="BV41" s="859"/>
      <c r="BW41" s="548"/>
      <c r="BX41" s="842"/>
      <c r="BY41" s="843"/>
      <c r="BZ41" s="858"/>
      <c r="CA41" s="858"/>
      <c r="CB41" s="859"/>
      <c r="CC41" s="548"/>
      <c r="CD41" s="236"/>
      <c r="CE41" s="236" t="s">
        <v>336</v>
      </c>
      <c r="CF41" s="596">
        <v>36</v>
      </c>
      <c r="CG41" s="408" t="s">
        <v>336</v>
      </c>
      <c r="CH41" s="408" t="s">
        <v>336</v>
      </c>
      <c r="CI41" s="408" t="s">
        <v>336</v>
      </c>
      <c r="CJ41" s="408" t="s">
        <v>336</v>
      </c>
      <c r="CK41" s="408" t="s">
        <v>336</v>
      </c>
      <c r="CL41" s="397">
        <v>37</v>
      </c>
      <c r="CM41" s="408" t="s">
        <v>336</v>
      </c>
      <c r="CN41" s="408" t="s">
        <v>336</v>
      </c>
      <c r="CO41" s="408" t="s">
        <v>336</v>
      </c>
      <c r="CP41" s="408" t="s">
        <v>336</v>
      </c>
      <c r="CQ41" s="408" t="s">
        <v>336</v>
      </c>
      <c r="CR41" s="236"/>
    </row>
    <row r="42" spans="1:96" x14ac:dyDescent="0.3">
      <c r="A42" s="404"/>
      <c r="B42" s="382"/>
      <c r="C42" s="382"/>
      <c r="D42" s="382"/>
      <c r="E42" s="382"/>
      <c r="F42" s="382"/>
      <c r="G42" s="382"/>
      <c r="H42" s="382"/>
      <c r="I42" s="382"/>
      <c r="J42" s="382"/>
      <c r="K42" s="382"/>
      <c r="L42" s="382"/>
      <c r="M42" s="382"/>
      <c r="N42" s="382"/>
      <c r="O42" s="382"/>
      <c r="P42" s="382"/>
      <c r="Q42" s="382"/>
      <c r="R42" s="382"/>
      <c r="S42" s="382"/>
      <c r="T42" s="382"/>
      <c r="U42" s="382"/>
      <c r="V42" s="382"/>
      <c r="W42" s="382"/>
      <c r="X42" s="382"/>
      <c r="Y42" s="382"/>
      <c r="Z42" s="236"/>
      <c r="AA42" s="822"/>
      <c r="AB42" s="823"/>
      <c r="AC42" s="823"/>
      <c r="AD42" s="823"/>
      <c r="AE42" s="823"/>
      <c r="AF42" s="823"/>
      <c r="AG42" s="823"/>
      <c r="AH42" s="823"/>
      <c r="AI42" s="823"/>
      <c r="AJ42" s="823"/>
      <c r="AK42" s="236" t="s">
        <v>336</v>
      </c>
      <c r="AL42" s="288">
        <v>38</v>
      </c>
      <c r="AM42" s="254" t="s">
        <v>336</v>
      </c>
      <c r="AN42" s="254" t="s">
        <v>336</v>
      </c>
      <c r="AO42" s="254" t="s">
        <v>336</v>
      </c>
      <c r="AP42" s="254" t="s">
        <v>336</v>
      </c>
      <c r="AQ42" s="254" t="s">
        <v>336</v>
      </c>
      <c r="AR42" s="398">
        <v>38</v>
      </c>
      <c r="AS42" s="254" t="s">
        <v>336</v>
      </c>
      <c r="AT42" s="254" t="s">
        <v>336</v>
      </c>
      <c r="AU42" s="254" t="s">
        <v>336</v>
      </c>
      <c r="AV42" s="254" t="s">
        <v>336</v>
      </c>
      <c r="AW42" s="254" t="s">
        <v>336</v>
      </c>
      <c r="AX42" s="236"/>
      <c r="AY42" s="287">
        <v>39</v>
      </c>
      <c r="AZ42" s="246" t="s">
        <v>336</v>
      </c>
      <c r="BA42" s="246" t="s">
        <v>336</v>
      </c>
      <c r="BB42" s="246" t="s">
        <v>336</v>
      </c>
      <c r="BC42" s="246" t="s">
        <v>336</v>
      </c>
      <c r="BD42" s="236"/>
      <c r="BE42" s="404"/>
      <c r="BF42" s="876"/>
      <c r="BG42" s="876"/>
      <c r="BH42" s="876"/>
      <c r="BI42" s="876"/>
      <c r="BJ42" s="876"/>
      <c r="BK42" s="876"/>
      <c r="BL42" s="876"/>
      <c r="BM42" s="876"/>
      <c r="BN42" s="876"/>
      <c r="BO42" s="876"/>
      <c r="BP42" s="876"/>
      <c r="BQ42" s="876"/>
      <c r="BR42" s="876"/>
      <c r="BS42" s="876"/>
      <c r="BT42" s="876"/>
      <c r="BU42" s="876"/>
      <c r="BV42" s="876"/>
      <c r="BW42" s="876"/>
      <c r="BX42" s="876"/>
      <c r="BY42" s="876"/>
      <c r="BZ42" s="876"/>
      <c r="CA42" s="876"/>
      <c r="CB42" s="876"/>
      <c r="CC42" s="876"/>
      <c r="CD42" s="236"/>
      <c r="CE42" s="236" t="s">
        <v>336</v>
      </c>
      <c r="CF42" s="597">
        <v>37</v>
      </c>
      <c r="CG42" s="409" t="s">
        <v>336</v>
      </c>
      <c r="CH42" s="409" t="s">
        <v>336</v>
      </c>
      <c r="CI42" s="409" t="s">
        <v>336</v>
      </c>
      <c r="CJ42" s="409" t="s">
        <v>336</v>
      </c>
      <c r="CK42" s="409" t="s">
        <v>336</v>
      </c>
      <c r="CL42" s="398">
        <v>38</v>
      </c>
      <c r="CM42" s="409" t="s">
        <v>336</v>
      </c>
      <c r="CN42" s="409" t="s">
        <v>336</v>
      </c>
      <c r="CO42" s="409" t="s">
        <v>336</v>
      </c>
      <c r="CP42" s="409" t="s">
        <v>336</v>
      </c>
      <c r="CQ42" s="409" t="s">
        <v>336</v>
      </c>
      <c r="CR42" s="236"/>
    </row>
    <row r="43" spans="1:96" x14ac:dyDescent="0.3">
      <c r="A43" s="404"/>
      <c r="B43" s="820" t="s">
        <v>226</v>
      </c>
      <c r="C43" s="821"/>
      <c r="D43" s="584">
        <f>C32</f>
        <v>0</v>
      </c>
      <c r="E43" s="872" t="s">
        <v>543</v>
      </c>
      <c r="F43" s="873"/>
      <c r="G43" s="551">
        <f>G32</f>
        <v>0</v>
      </c>
      <c r="H43" s="820" t="s">
        <v>226</v>
      </c>
      <c r="I43" s="821"/>
      <c r="J43" s="584">
        <f>I32</f>
        <v>0</v>
      </c>
      <c r="K43" s="872" t="s">
        <v>543</v>
      </c>
      <c r="L43" s="873"/>
      <c r="M43" s="551">
        <f>M32</f>
        <v>0</v>
      </c>
      <c r="N43" s="820" t="s">
        <v>226</v>
      </c>
      <c r="O43" s="821"/>
      <c r="P43" s="584">
        <f>O32</f>
        <v>0</v>
      </c>
      <c r="Q43" s="872" t="s">
        <v>543</v>
      </c>
      <c r="R43" s="873"/>
      <c r="S43" s="551">
        <f>S32</f>
        <v>0</v>
      </c>
      <c r="T43" s="820" t="s">
        <v>226</v>
      </c>
      <c r="U43" s="821"/>
      <c r="V43" s="584">
        <f>U32</f>
        <v>0</v>
      </c>
      <c r="W43" s="872" t="s">
        <v>543</v>
      </c>
      <c r="X43" s="873"/>
      <c r="Y43" s="551">
        <f>Y32</f>
        <v>0</v>
      </c>
      <c r="Z43" s="236"/>
      <c r="AA43" s="820" t="s">
        <v>228</v>
      </c>
      <c r="AB43" s="821"/>
      <c r="AC43" s="875">
        <f>AB32</f>
        <v>0</v>
      </c>
      <c r="AD43" s="875"/>
      <c r="AE43" s="875"/>
      <c r="AF43" s="820" t="s">
        <v>228</v>
      </c>
      <c r="AG43" s="821"/>
      <c r="AH43" s="875">
        <f>AG32</f>
        <v>0</v>
      </c>
      <c r="AI43" s="875"/>
      <c r="AJ43" s="875"/>
      <c r="AK43" s="236" t="s">
        <v>336</v>
      </c>
      <c r="AL43" s="287">
        <v>39</v>
      </c>
      <c r="AM43" s="246" t="s">
        <v>336</v>
      </c>
      <c r="AN43" s="246" t="s">
        <v>336</v>
      </c>
      <c r="AO43" s="246" t="s">
        <v>336</v>
      </c>
      <c r="AP43" s="246" t="s">
        <v>336</v>
      </c>
      <c r="AQ43" s="246" t="s">
        <v>336</v>
      </c>
      <c r="AR43" s="397">
        <v>39</v>
      </c>
      <c r="AS43" s="246" t="s">
        <v>336</v>
      </c>
      <c r="AT43" s="246" t="s">
        <v>336</v>
      </c>
      <c r="AU43" s="246" t="s">
        <v>336</v>
      </c>
      <c r="AV43" s="246" t="s">
        <v>336</v>
      </c>
      <c r="AW43" s="246" t="s">
        <v>336</v>
      </c>
      <c r="AX43" s="236"/>
      <c r="AY43" s="288">
        <v>40</v>
      </c>
      <c r="AZ43" s="254" t="s">
        <v>336</v>
      </c>
      <c r="BA43" s="254" t="s">
        <v>336</v>
      </c>
      <c r="BB43" s="254" t="s">
        <v>336</v>
      </c>
      <c r="BC43" s="254" t="s">
        <v>336</v>
      </c>
      <c r="BD43" s="236"/>
      <c r="BE43" s="404"/>
      <c r="BF43" s="590" t="s">
        <v>226</v>
      </c>
      <c r="BG43" s="591"/>
      <c r="BH43" s="584">
        <f>BG32</f>
        <v>0</v>
      </c>
      <c r="BI43" s="877" t="s">
        <v>543</v>
      </c>
      <c r="BJ43" s="878"/>
      <c r="BK43" s="551">
        <f>BK32</f>
        <v>0</v>
      </c>
      <c r="BL43" s="590" t="s">
        <v>226</v>
      </c>
      <c r="BM43" s="591"/>
      <c r="BN43" s="584">
        <f>BM32</f>
        <v>0</v>
      </c>
      <c r="BO43" s="877" t="s">
        <v>543</v>
      </c>
      <c r="BP43" s="878"/>
      <c r="BQ43" s="551">
        <f>BQ32</f>
        <v>0</v>
      </c>
      <c r="BR43" s="590" t="s">
        <v>226</v>
      </c>
      <c r="BS43" s="591"/>
      <c r="BT43" s="584">
        <f>BS32</f>
        <v>0</v>
      </c>
      <c r="BU43" s="877" t="s">
        <v>543</v>
      </c>
      <c r="BV43" s="878"/>
      <c r="BW43" s="551">
        <f>BW32</f>
        <v>0</v>
      </c>
      <c r="BX43" s="590" t="s">
        <v>226</v>
      </c>
      <c r="BY43" s="591"/>
      <c r="BZ43" s="584">
        <f>BY32</f>
        <v>0</v>
      </c>
      <c r="CA43" s="877" t="s">
        <v>543</v>
      </c>
      <c r="CB43" s="878"/>
      <c r="CC43" s="551">
        <f>CC32</f>
        <v>0</v>
      </c>
      <c r="CD43" s="236"/>
      <c r="CE43" s="236" t="s">
        <v>336</v>
      </c>
      <c r="CF43" s="596">
        <v>38</v>
      </c>
      <c r="CG43" s="408" t="s">
        <v>336</v>
      </c>
      <c r="CH43" s="408" t="s">
        <v>336</v>
      </c>
      <c r="CI43" s="408" t="s">
        <v>336</v>
      </c>
      <c r="CJ43" s="408" t="s">
        <v>336</v>
      </c>
      <c r="CK43" s="408" t="s">
        <v>336</v>
      </c>
      <c r="CL43" s="397">
        <v>39</v>
      </c>
      <c r="CM43" s="408" t="s">
        <v>336</v>
      </c>
      <c r="CN43" s="408" t="s">
        <v>336</v>
      </c>
      <c r="CO43" s="408" t="s">
        <v>336</v>
      </c>
      <c r="CP43" s="408" t="s">
        <v>336</v>
      </c>
      <c r="CQ43" s="408" t="s">
        <v>336</v>
      </c>
      <c r="CR43" s="236"/>
    </row>
    <row r="44" spans="1:96" ht="15" thickBot="1" x14ac:dyDescent="0.35">
      <c r="A44" s="404"/>
      <c r="B44" s="813" t="s">
        <v>227</v>
      </c>
      <c r="C44" s="814"/>
      <c r="D44" s="585">
        <f>D32</f>
        <v>0</v>
      </c>
      <c r="E44" s="586"/>
      <c r="F44" s="586"/>
      <c r="G44" s="588"/>
      <c r="H44" s="813" t="s">
        <v>227</v>
      </c>
      <c r="I44" s="814"/>
      <c r="J44" s="585">
        <f>J32</f>
        <v>0</v>
      </c>
      <c r="K44" s="586"/>
      <c r="L44" s="586"/>
      <c r="M44" s="588"/>
      <c r="N44" s="813" t="s">
        <v>227</v>
      </c>
      <c r="O44" s="814"/>
      <c r="P44" s="585">
        <f>P32</f>
        <v>0</v>
      </c>
      <c r="Q44" s="586"/>
      <c r="R44" s="586"/>
      <c r="S44" s="588"/>
      <c r="T44" s="813" t="s">
        <v>227</v>
      </c>
      <c r="U44" s="814"/>
      <c r="V44" s="585">
        <f>V32</f>
        <v>0</v>
      </c>
      <c r="W44" s="586"/>
      <c r="X44" s="586"/>
      <c r="Y44" s="588"/>
      <c r="Z44" s="236"/>
      <c r="AA44" s="289" t="s">
        <v>229</v>
      </c>
      <c r="AB44" s="290"/>
      <c r="AC44" s="908">
        <f>AC32</f>
        <v>0</v>
      </c>
      <c r="AD44" s="908"/>
      <c r="AE44" s="908"/>
      <c r="AF44" s="289" t="s">
        <v>229</v>
      </c>
      <c r="AG44" s="290"/>
      <c r="AH44" s="908">
        <f>AH32</f>
        <v>0</v>
      </c>
      <c r="AI44" s="908"/>
      <c r="AJ44" s="908"/>
      <c r="AK44" s="236" t="s">
        <v>336</v>
      </c>
      <c r="AL44" s="288">
        <v>40</v>
      </c>
      <c r="AM44" s="254" t="s">
        <v>336</v>
      </c>
      <c r="AN44" s="254" t="s">
        <v>336</v>
      </c>
      <c r="AO44" s="254" t="s">
        <v>336</v>
      </c>
      <c r="AP44" s="254" t="s">
        <v>336</v>
      </c>
      <c r="AQ44" s="254" t="s">
        <v>336</v>
      </c>
      <c r="AR44" s="398">
        <v>40</v>
      </c>
      <c r="AS44" s="254" t="s">
        <v>336</v>
      </c>
      <c r="AT44" s="254" t="s">
        <v>336</v>
      </c>
      <c r="AU44" s="254" t="s">
        <v>336</v>
      </c>
      <c r="AV44" s="254" t="s">
        <v>336</v>
      </c>
      <c r="AW44" s="254" t="s">
        <v>336</v>
      </c>
      <c r="AX44" s="236"/>
      <c r="AY44" s="287">
        <v>41</v>
      </c>
      <c r="AZ44" s="246" t="s">
        <v>336</v>
      </c>
      <c r="BA44" s="246" t="s">
        <v>336</v>
      </c>
      <c r="BB44" s="246" t="s">
        <v>336</v>
      </c>
      <c r="BC44" s="246" t="s">
        <v>336</v>
      </c>
      <c r="BD44" s="236"/>
      <c r="BE44" s="404"/>
      <c r="BF44" s="813" t="s">
        <v>227</v>
      </c>
      <c r="BG44" s="814"/>
      <c r="BH44" s="585">
        <f>BH32</f>
        <v>0</v>
      </c>
      <c r="BI44" s="586"/>
      <c r="BJ44" s="586"/>
      <c r="BK44" s="588"/>
      <c r="BL44" s="813" t="s">
        <v>227</v>
      </c>
      <c r="BM44" s="814"/>
      <c r="BN44" s="585">
        <f>BN32</f>
        <v>0</v>
      </c>
      <c r="BO44" s="586"/>
      <c r="BP44" s="586"/>
      <c r="BQ44" s="588"/>
      <c r="BR44" s="813" t="s">
        <v>227</v>
      </c>
      <c r="BS44" s="814"/>
      <c r="BT44" s="585">
        <f>BT32</f>
        <v>0</v>
      </c>
      <c r="BU44" s="586"/>
      <c r="BV44" s="586"/>
      <c r="BW44" s="588"/>
      <c r="BX44" s="813" t="s">
        <v>227</v>
      </c>
      <c r="BY44" s="814"/>
      <c r="BZ44" s="585">
        <f>BZ32</f>
        <v>0</v>
      </c>
      <c r="CA44" s="586"/>
      <c r="CB44" s="586"/>
      <c r="CC44" s="588"/>
      <c r="CD44" s="236"/>
      <c r="CE44" s="236" t="s">
        <v>336</v>
      </c>
      <c r="CF44" s="597">
        <v>39</v>
      </c>
      <c r="CG44" s="409" t="s">
        <v>336</v>
      </c>
      <c r="CH44" s="409" t="s">
        <v>336</v>
      </c>
      <c r="CI44" s="409" t="s">
        <v>336</v>
      </c>
      <c r="CJ44" s="409" t="s">
        <v>336</v>
      </c>
      <c r="CK44" s="409" t="s">
        <v>336</v>
      </c>
      <c r="CL44" s="398">
        <v>40</v>
      </c>
      <c r="CM44" s="409" t="s">
        <v>336</v>
      </c>
      <c r="CN44" s="409" t="s">
        <v>336</v>
      </c>
      <c r="CO44" s="409" t="s">
        <v>336</v>
      </c>
      <c r="CP44" s="409" t="s">
        <v>336</v>
      </c>
      <c r="CQ44" s="409" t="s">
        <v>336</v>
      </c>
      <c r="CR44" s="236"/>
    </row>
    <row r="45" spans="1:96" x14ac:dyDescent="0.3">
      <c r="A45" s="404"/>
      <c r="B45" s="820" t="s">
        <v>334</v>
      </c>
      <c r="C45" s="821"/>
      <c r="D45" s="429">
        <f>E32</f>
        <v>0</v>
      </c>
      <c r="E45" s="587"/>
      <c r="F45" s="587"/>
      <c r="G45" s="589"/>
      <c r="H45" s="820" t="s">
        <v>334</v>
      </c>
      <c r="I45" s="821"/>
      <c r="J45" s="429">
        <f>K32</f>
        <v>0</v>
      </c>
      <c r="K45" s="587"/>
      <c r="L45" s="587"/>
      <c r="M45" s="589"/>
      <c r="N45" s="820" t="s">
        <v>334</v>
      </c>
      <c r="O45" s="821"/>
      <c r="P45" s="429">
        <f>Q32</f>
        <v>0</v>
      </c>
      <c r="Q45" s="587"/>
      <c r="R45" s="587"/>
      <c r="S45" s="589"/>
      <c r="T45" s="820" t="s">
        <v>334</v>
      </c>
      <c r="U45" s="821"/>
      <c r="V45" s="429">
        <f>W32</f>
        <v>0</v>
      </c>
      <c r="W45" s="587"/>
      <c r="X45" s="587"/>
      <c r="Y45" s="589"/>
      <c r="Z45" s="236"/>
      <c r="AA45" s="820" t="s">
        <v>334</v>
      </c>
      <c r="AB45" s="821"/>
      <c r="AC45" s="875">
        <f>AD18</f>
        <v>0</v>
      </c>
      <c r="AD45" s="875"/>
      <c r="AE45" s="875"/>
      <c r="AF45" s="820" t="s">
        <v>384</v>
      </c>
      <c r="AG45" s="821"/>
      <c r="AH45" s="875" t="str">
        <f>AI32</f>
        <v>N/A</v>
      </c>
      <c r="AI45" s="875"/>
      <c r="AJ45" s="875"/>
      <c r="AK45" s="236" t="s">
        <v>336</v>
      </c>
      <c r="AL45" s="287">
        <v>41</v>
      </c>
      <c r="AM45" s="246" t="s">
        <v>336</v>
      </c>
      <c r="AN45" s="246" t="s">
        <v>336</v>
      </c>
      <c r="AO45" s="246" t="s">
        <v>336</v>
      </c>
      <c r="AP45" s="246" t="s">
        <v>336</v>
      </c>
      <c r="AQ45" s="246" t="s">
        <v>336</v>
      </c>
      <c r="AR45" s="397">
        <v>41</v>
      </c>
      <c r="AS45" s="246" t="s">
        <v>336</v>
      </c>
      <c r="AT45" s="246" t="s">
        <v>336</v>
      </c>
      <c r="AU45" s="246" t="s">
        <v>336</v>
      </c>
      <c r="AV45" s="246" t="s">
        <v>336</v>
      </c>
      <c r="AW45" s="246" t="s">
        <v>336</v>
      </c>
      <c r="AX45" s="236"/>
      <c r="AY45" s="288">
        <v>42</v>
      </c>
      <c r="AZ45" s="254" t="s">
        <v>336</v>
      </c>
      <c r="BA45" s="254" t="s">
        <v>336</v>
      </c>
      <c r="BB45" s="254" t="s">
        <v>336</v>
      </c>
      <c r="BC45" s="254" t="s">
        <v>336</v>
      </c>
      <c r="BD45" s="236"/>
      <c r="BE45" s="404"/>
      <c r="BF45" s="820" t="s">
        <v>334</v>
      </c>
      <c r="BG45" s="821"/>
      <c r="BH45" s="429">
        <f>BI32</f>
        <v>0</v>
      </c>
      <c r="BI45" s="587"/>
      <c r="BJ45" s="587"/>
      <c r="BK45" s="589"/>
      <c r="BL45" s="820" t="s">
        <v>334</v>
      </c>
      <c r="BM45" s="821"/>
      <c r="BN45" s="429">
        <f>BO32</f>
        <v>0</v>
      </c>
      <c r="BO45" s="587"/>
      <c r="BP45" s="587"/>
      <c r="BQ45" s="589"/>
      <c r="BR45" s="820" t="s">
        <v>334</v>
      </c>
      <c r="BS45" s="821"/>
      <c r="BT45" s="429">
        <f>BU32</f>
        <v>0</v>
      </c>
      <c r="BU45" s="587"/>
      <c r="BV45" s="587"/>
      <c r="BW45" s="589"/>
      <c r="BX45" s="820" t="s">
        <v>334</v>
      </c>
      <c r="BY45" s="821"/>
      <c r="BZ45" s="429">
        <f>CA32</f>
        <v>0</v>
      </c>
      <c r="CA45" s="587"/>
      <c r="CB45" s="587"/>
      <c r="CC45" s="589"/>
      <c r="CD45" s="236"/>
      <c r="CE45" s="236" t="s">
        <v>336</v>
      </c>
      <c r="CF45" s="596">
        <v>40</v>
      </c>
      <c r="CG45" s="408" t="s">
        <v>336</v>
      </c>
      <c r="CH45" s="408" t="s">
        <v>336</v>
      </c>
      <c r="CI45" s="408" t="s">
        <v>336</v>
      </c>
      <c r="CJ45" s="408" t="s">
        <v>336</v>
      </c>
      <c r="CK45" s="408" t="s">
        <v>336</v>
      </c>
      <c r="CL45" s="397">
        <v>41</v>
      </c>
      <c r="CM45" s="408" t="s">
        <v>336</v>
      </c>
      <c r="CN45" s="408" t="s">
        <v>336</v>
      </c>
      <c r="CO45" s="408" t="s">
        <v>336</v>
      </c>
      <c r="CP45" s="408" t="s">
        <v>336</v>
      </c>
      <c r="CQ45" s="408" t="s">
        <v>336</v>
      </c>
      <c r="CR45" s="236"/>
    </row>
    <row r="46" spans="1:96" ht="15" thickBot="1" x14ac:dyDescent="0.35">
      <c r="A46" s="404"/>
      <c r="B46" s="813" t="s">
        <v>335</v>
      </c>
      <c r="C46" s="814"/>
      <c r="D46" s="431">
        <f>F32</f>
        <v>0</v>
      </c>
      <c r="E46" s="587"/>
      <c r="F46" s="587"/>
      <c r="G46" s="589"/>
      <c r="H46" s="813" t="s">
        <v>335</v>
      </c>
      <c r="I46" s="814"/>
      <c r="J46" s="431">
        <f>L32</f>
        <v>0</v>
      </c>
      <c r="K46" s="587"/>
      <c r="L46" s="587"/>
      <c r="M46" s="589"/>
      <c r="N46" s="813" t="s">
        <v>335</v>
      </c>
      <c r="O46" s="814"/>
      <c r="P46" s="431">
        <f>R32</f>
        <v>0</v>
      </c>
      <c r="Q46" s="587"/>
      <c r="R46" s="587"/>
      <c r="S46" s="589"/>
      <c r="T46" s="813" t="s">
        <v>335</v>
      </c>
      <c r="U46" s="814"/>
      <c r="V46" s="431">
        <f>X32</f>
        <v>0</v>
      </c>
      <c r="W46" s="587"/>
      <c r="X46" s="587"/>
      <c r="Y46" s="589"/>
      <c r="Z46" s="236"/>
      <c r="AA46" s="811" t="s">
        <v>335</v>
      </c>
      <c r="AB46" s="812"/>
      <c r="AC46" s="889">
        <f>AE18</f>
        <v>0</v>
      </c>
      <c r="AD46" s="889"/>
      <c r="AE46" s="889"/>
      <c r="AF46" s="811" t="s">
        <v>385</v>
      </c>
      <c r="AG46" s="812"/>
      <c r="AH46" s="889" t="str">
        <f>AJ32</f>
        <v>N/A</v>
      </c>
      <c r="AI46" s="889"/>
      <c r="AJ46" s="889"/>
      <c r="AK46" s="236" t="s">
        <v>336</v>
      </c>
      <c r="AL46" s="288">
        <v>42</v>
      </c>
      <c r="AM46" s="254" t="s">
        <v>336</v>
      </c>
      <c r="AN46" s="254" t="s">
        <v>336</v>
      </c>
      <c r="AO46" s="254" t="s">
        <v>336</v>
      </c>
      <c r="AP46" s="254" t="s">
        <v>336</v>
      </c>
      <c r="AQ46" s="254" t="s">
        <v>336</v>
      </c>
      <c r="AR46" s="398">
        <v>42</v>
      </c>
      <c r="AS46" s="254" t="s">
        <v>336</v>
      </c>
      <c r="AT46" s="254" t="s">
        <v>336</v>
      </c>
      <c r="AU46" s="254" t="s">
        <v>336</v>
      </c>
      <c r="AV46" s="254" t="s">
        <v>336</v>
      </c>
      <c r="AW46" s="254" t="s">
        <v>336</v>
      </c>
      <c r="AX46" s="236"/>
      <c r="AY46" s="287">
        <v>43</v>
      </c>
      <c r="AZ46" s="246" t="s">
        <v>336</v>
      </c>
      <c r="BA46" s="246" t="s">
        <v>336</v>
      </c>
      <c r="BB46" s="246" t="s">
        <v>336</v>
      </c>
      <c r="BC46" s="246" t="s">
        <v>336</v>
      </c>
      <c r="BD46" s="236"/>
      <c r="BE46" s="404"/>
      <c r="BF46" s="813" t="s">
        <v>335</v>
      </c>
      <c r="BG46" s="814"/>
      <c r="BH46" s="431">
        <f>BJ32</f>
        <v>0</v>
      </c>
      <c r="BI46" s="587"/>
      <c r="BJ46" s="587"/>
      <c r="BK46" s="589"/>
      <c r="BL46" s="813" t="s">
        <v>335</v>
      </c>
      <c r="BM46" s="814"/>
      <c r="BN46" s="431">
        <f>BP32</f>
        <v>0</v>
      </c>
      <c r="BO46" s="587"/>
      <c r="BP46" s="587"/>
      <c r="BQ46" s="589"/>
      <c r="BR46" s="813" t="s">
        <v>335</v>
      </c>
      <c r="BS46" s="814"/>
      <c r="BT46" s="431">
        <f>BV32</f>
        <v>0</v>
      </c>
      <c r="BU46" s="587"/>
      <c r="BV46" s="587"/>
      <c r="BW46" s="589"/>
      <c r="BX46" s="813" t="s">
        <v>335</v>
      </c>
      <c r="BY46" s="814"/>
      <c r="BZ46" s="431">
        <f>CB32</f>
        <v>0</v>
      </c>
      <c r="CA46" s="587"/>
      <c r="CB46" s="587"/>
      <c r="CC46" s="589"/>
      <c r="CD46" s="236"/>
      <c r="CE46" s="236" t="s">
        <v>336</v>
      </c>
      <c r="CF46" s="597">
        <v>41</v>
      </c>
      <c r="CG46" s="409" t="s">
        <v>336</v>
      </c>
      <c r="CH46" s="409" t="s">
        <v>336</v>
      </c>
      <c r="CI46" s="409" t="s">
        <v>336</v>
      </c>
      <c r="CJ46" s="409" t="s">
        <v>336</v>
      </c>
      <c r="CK46" s="409" t="s">
        <v>336</v>
      </c>
      <c r="CL46" s="398">
        <v>42</v>
      </c>
      <c r="CM46" s="409" t="s">
        <v>336</v>
      </c>
      <c r="CN46" s="409" t="s">
        <v>336</v>
      </c>
      <c r="CO46" s="409" t="s">
        <v>336</v>
      </c>
      <c r="CP46" s="409" t="s">
        <v>336</v>
      </c>
      <c r="CQ46" s="409" t="s">
        <v>336</v>
      </c>
      <c r="CR46" s="236"/>
    </row>
    <row r="47" spans="1:96" x14ac:dyDescent="0.3">
      <c r="A47" s="404"/>
      <c r="B47" s="817" t="s">
        <v>221</v>
      </c>
      <c r="C47" s="818"/>
      <c r="D47" s="866">
        <f>SUM(D43:G46)</f>
        <v>0</v>
      </c>
      <c r="E47" s="866"/>
      <c r="F47" s="866"/>
      <c r="G47" s="867"/>
      <c r="H47" s="817" t="s">
        <v>221</v>
      </c>
      <c r="I47" s="818"/>
      <c r="J47" s="866">
        <f>SUM(J43:M46)</f>
        <v>0</v>
      </c>
      <c r="K47" s="866"/>
      <c r="L47" s="866"/>
      <c r="M47" s="867"/>
      <c r="N47" s="817" t="s">
        <v>221</v>
      </c>
      <c r="O47" s="818"/>
      <c r="P47" s="866">
        <f>SUM(P43:S46)</f>
        <v>0</v>
      </c>
      <c r="Q47" s="866"/>
      <c r="R47" s="866"/>
      <c r="S47" s="867"/>
      <c r="T47" s="817" t="s">
        <v>221</v>
      </c>
      <c r="U47" s="818"/>
      <c r="V47" s="866">
        <f>SUM(V43:Y46)</f>
        <v>0</v>
      </c>
      <c r="W47" s="866"/>
      <c r="X47" s="866"/>
      <c r="Y47" s="867"/>
      <c r="Z47" s="236"/>
      <c r="AA47" s="291" t="s">
        <v>221</v>
      </c>
      <c r="AB47" s="291"/>
      <c r="AC47" s="850">
        <f>SUM(AC43:AE46)</f>
        <v>0</v>
      </c>
      <c r="AD47" s="851"/>
      <c r="AE47" s="852"/>
      <c r="AF47" s="291" t="s">
        <v>221</v>
      </c>
      <c r="AG47" s="291"/>
      <c r="AH47" s="850">
        <f>SUM(AH43:AJ46)</f>
        <v>0</v>
      </c>
      <c r="AI47" s="851"/>
      <c r="AJ47" s="852"/>
      <c r="AK47" s="236" t="s">
        <v>336</v>
      </c>
      <c r="AL47" s="287">
        <v>43</v>
      </c>
      <c r="AM47" s="246" t="s">
        <v>336</v>
      </c>
      <c r="AN47" s="246" t="s">
        <v>336</v>
      </c>
      <c r="AO47" s="246" t="s">
        <v>336</v>
      </c>
      <c r="AP47" s="246" t="s">
        <v>336</v>
      </c>
      <c r="AQ47" s="246" t="s">
        <v>336</v>
      </c>
      <c r="AR47" s="397">
        <v>43</v>
      </c>
      <c r="AS47" s="246" t="s">
        <v>336</v>
      </c>
      <c r="AT47" s="246" t="s">
        <v>336</v>
      </c>
      <c r="AU47" s="246" t="s">
        <v>336</v>
      </c>
      <c r="AV47" s="246" t="s">
        <v>336</v>
      </c>
      <c r="AW47" s="246" t="s">
        <v>336</v>
      </c>
      <c r="AX47" s="236"/>
      <c r="AY47" s="292">
        <v>44</v>
      </c>
      <c r="AZ47" s="293" t="s">
        <v>336</v>
      </c>
      <c r="BA47" s="293" t="s">
        <v>336</v>
      </c>
      <c r="BB47" s="293" t="s">
        <v>336</v>
      </c>
      <c r="BC47" s="254" t="s">
        <v>336</v>
      </c>
      <c r="BD47" s="236"/>
      <c r="BE47" s="404"/>
      <c r="BF47" s="817" t="s">
        <v>221</v>
      </c>
      <c r="BG47" s="818"/>
      <c r="BH47" s="866">
        <f>SUM(BH43:BK46)</f>
        <v>0</v>
      </c>
      <c r="BI47" s="866"/>
      <c r="BJ47" s="866"/>
      <c r="BK47" s="867"/>
      <c r="BL47" s="817" t="s">
        <v>221</v>
      </c>
      <c r="BM47" s="818"/>
      <c r="BN47" s="866">
        <f>SUM(BN43:BQ46)</f>
        <v>0</v>
      </c>
      <c r="BO47" s="866"/>
      <c r="BP47" s="866"/>
      <c r="BQ47" s="867"/>
      <c r="BR47" s="817" t="s">
        <v>221</v>
      </c>
      <c r="BS47" s="818"/>
      <c r="BT47" s="866">
        <f>SUM(BT43:BW46)</f>
        <v>0</v>
      </c>
      <c r="BU47" s="866"/>
      <c r="BV47" s="866"/>
      <c r="BW47" s="867"/>
      <c r="BX47" s="817" t="s">
        <v>221</v>
      </c>
      <c r="BY47" s="818"/>
      <c r="BZ47" s="866">
        <f>SUM(BZ43:CC46)</f>
        <v>0</v>
      </c>
      <c r="CA47" s="866"/>
      <c r="CB47" s="866"/>
      <c r="CC47" s="867"/>
      <c r="CD47" s="236"/>
      <c r="CE47" s="236" t="s">
        <v>336</v>
      </c>
      <c r="CF47" s="596">
        <v>42</v>
      </c>
      <c r="CG47" s="408" t="s">
        <v>336</v>
      </c>
      <c r="CH47" s="408" t="s">
        <v>336</v>
      </c>
      <c r="CI47" s="408" t="s">
        <v>336</v>
      </c>
      <c r="CJ47" s="408" t="s">
        <v>336</v>
      </c>
      <c r="CK47" s="408" t="s">
        <v>336</v>
      </c>
      <c r="CL47" s="397">
        <v>43</v>
      </c>
      <c r="CM47" s="408" t="s">
        <v>336</v>
      </c>
      <c r="CN47" s="408" t="s">
        <v>336</v>
      </c>
      <c r="CO47" s="408" t="s">
        <v>336</v>
      </c>
      <c r="CP47" s="408" t="s">
        <v>336</v>
      </c>
      <c r="CQ47" s="408" t="s">
        <v>336</v>
      </c>
      <c r="CR47" s="236"/>
    </row>
    <row r="48" spans="1:96" x14ac:dyDescent="0.3">
      <c r="A48" s="404"/>
      <c r="B48" s="294"/>
      <c r="C48" s="294"/>
      <c r="D48" s="381"/>
      <c r="E48" s="403"/>
      <c r="F48" s="387"/>
      <c r="G48" s="387"/>
      <c r="H48" s="386"/>
      <c r="I48" s="294"/>
      <c r="J48" s="898"/>
      <c r="K48" s="898"/>
      <c r="L48" s="898"/>
      <c r="M48" s="556"/>
      <c r="N48" s="294"/>
      <c r="O48" s="294"/>
      <c r="P48" s="381"/>
      <c r="Q48" s="403"/>
      <c r="R48" s="387"/>
      <c r="S48" s="387"/>
      <c r="T48" s="386"/>
      <c r="U48" s="294"/>
      <c r="V48" s="898"/>
      <c r="W48" s="898"/>
      <c r="X48" s="898"/>
      <c r="Y48" s="556"/>
      <c r="Z48" s="236"/>
      <c r="AA48" s="294" t="s">
        <v>253</v>
      </c>
      <c r="AB48" s="294"/>
      <c r="AC48" s="857">
        <f>COUNT(#REF!,AB22:AC31)</f>
        <v>0</v>
      </c>
      <c r="AD48" s="858"/>
      <c r="AE48" s="859"/>
      <c r="AF48" s="294" t="s">
        <v>253</v>
      </c>
      <c r="AG48" s="294"/>
      <c r="AH48" s="857">
        <f>COUNT(#REF!,AG22:AH31)</f>
        <v>0</v>
      </c>
      <c r="AI48" s="858"/>
      <c r="AJ48" s="859"/>
      <c r="AK48" s="236" t="s">
        <v>336</v>
      </c>
      <c r="AL48" s="292">
        <v>44</v>
      </c>
      <c r="AM48" s="293" t="s">
        <v>336</v>
      </c>
      <c r="AN48" s="293" t="s">
        <v>336</v>
      </c>
      <c r="AO48" s="293" t="s">
        <v>336</v>
      </c>
      <c r="AP48" s="254" t="s">
        <v>336</v>
      </c>
      <c r="AQ48" s="254" t="s">
        <v>336</v>
      </c>
      <c r="AR48" s="399">
        <v>44</v>
      </c>
      <c r="AS48" s="293" t="s">
        <v>336</v>
      </c>
      <c r="AT48" s="293" t="s">
        <v>336</v>
      </c>
      <c r="AU48" s="293" t="s">
        <v>336</v>
      </c>
      <c r="AV48" s="254" t="s">
        <v>336</v>
      </c>
      <c r="AW48" s="254" t="s">
        <v>336</v>
      </c>
      <c r="AX48" s="236"/>
      <c r="AY48" s="236"/>
      <c r="AZ48" s="236"/>
      <c r="BA48" s="236">
        <v>0.75</v>
      </c>
      <c r="BB48" s="236"/>
      <c r="BC48" s="236"/>
      <c r="BD48" s="236"/>
      <c r="BE48" s="404"/>
      <c r="BF48" s="592"/>
      <c r="BG48" s="592"/>
      <c r="BH48" s="381"/>
      <c r="BI48" s="403"/>
      <c r="BJ48" s="387"/>
      <c r="BK48" s="387"/>
      <c r="BL48" s="592"/>
      <c r="BM48" s="592"/>
      <c r="BN48" s="381"/>
      <c r="BO48" s="403"/>
      <c r="BP48" s="387"/>
      <c r="BQ48" s="387"/>
      <c r="BR48" s="592"/>
      <c r="BS48" s="592"/>
      <c r="BT48" s="381"/>
      <c r="BU48" s="403"/>
      <c r="BV48" s="387"/>
      <c r="BW48" s="387"/>
      <c r="BX48" s="592"/>
      <c r="BY48" s="592"/>
      <c r="BZ48" s="381"/>
      <c r="CA48" s="403"/>
      <c r="CB48" s="387"/>
      <c r="CC48" s="387"/>
      <c r="CD48" s="236"/>
      <c r="CE48" s="236" t="s">
        <v>336</v>
      </c>
      <c r="CF48" s="598">
        <v>43</v>
      </c>
      <c r="CG48" s="411" t="s">
        <v>336</v>
      </c>
      <c r="CH48" s="411" t="s">
        <v>336</v>
      </c>
      <c r="CI48" s="411" t="s">
        <v>336</v>
      </c>
      <c r="CJ48" s="409" t="s">
        <v>336</v>
      </c>
      <c r="CK48" s="409" t="s">
        <v>336</v>
      </c>
      <c r="CL48" s="399">
        <v>44</v>
      </c>
      <c r="CM48" s="411" t="s">
        <v>336</v>
      </c>
      <c r="CN48" s="411" t="s">
        <v>336</v>
      </c>
      <c r="CO48" s="411" t="s">
        <v>336</v>
      </c>
      <c r="CP48" s="409" t="s">
        <v>336</v>
      </c>
      <c r="CQ48" s="409" t="s">
        <v>336</v>
      </c>
      <c r="CR48" s="236"/>
    </row>
    <row r="49" spans="1:96" x14ac:dyDescent="0.3">
      <c r="A49" s="404"/>
      <c r="B49" s="382"/>
      <c r="C49" s="382"/>
      <c r="D49" s="382"/>
      <c r="E49" s="382"/>
      <c r="F49" s="382"/>
      <c r="G49" s="382"/>
      <c r="H49" s="382"/>
      <c r="I49" s="382"/>
      <c r="J49" s="382"/>
      <c r="K49" s="382"/>
      <c r="L49" s="382"/>
      <c r="M49" s="382"/>
      <c r="N49" s="382"/>
      <c r="O49" s="382"/>
      <c r="P49" s="382"/>
      <c r="Q49" s="382"/>
      <c r="R49" s="382"/>
      <c r="S49" s="382"/>
      <c r="T49" s="382"/>
      <c r="U49" s="382"/>
      <c r="V49" s="382"/>
      <c r="W49" s="382"/>
      <c r="X49" s="382"/>
      <c r="Y49" s="382"/>
      <c r="Z49" s="236"/>
      <c r="AA49" s="906"/>
      <c r="AB49" s="907"/>
      <c r="AC49" s="907"/>
      <c r="AD49" s="907"/>
      <c r="AE49" s="907"/>
      <c r="AF49" s="907"/>
      <c r="AG49" s="907"/>
      <c r="AH49" s="907"/>
      <c r="AI49" s="907"/>
      <c r="AJ49" s="907"/>
      <c r="AK49" s="236"/>
      <c r="AL49" s="236"/>
      <c r="AM49" s="236"/>
      <c r="AN49" s="236"/>
      <c r="AO49" s="236">
        <v>1.8333333333333333</v>
      </c>
      <c r="AP49" s="236"/>
      <c r="AQ49" s="236"/>
      <c r="AR49" s="236"/>
      <c r="AS49" s="236"/>
      <c r="AT49" s="236"/>
      <c r="AU49" s="236">
        <v>1.8333333333333333</v>
      </c>
      <c r="AV49" s="236"/>
      <c r="AW49" s="236"/>
      <c r="AX49" s="236"/>
      <c r="AY49" s="236"/>
      <c r="AZ49" s="236"/>
      <c r="BA49" s="236"/>
      <c r="BB49" s="236"/>
      <c r="BC49" s="236"/>
      <c r="BD49" s="236"/>
      <c r="BE49" s="404"/>
      <c r="BF49" s="926"/>
      <c r="BG49" s="927"/>
      <c r="BH49" s="927"/>
      <c r="BI49" s="927"/>
      <c r="BJ49" s="927"/>
      <c r="BK49" s="927"/>
      <c r="BL49" s="927"/>
      <c r="BM49" s="927"/>
      <c r="BN49" s="927"/>
      <c r="BO49" s="927"/>
      <c r="BP49" s="927"/>
      <c r="BQ49" s="927"/>
      <c r="BR49" s="927"/>
      <c r="BS49" s="927"/>
      <c r="BT49" s="927"/>
      <c r="BU49" s="927"/>
      <c r="BV49" s="927"/>
      <c r="BW49" s="927"/>
      <c r="BX49" s="927"/>
      <c r="BY49" s="927"/>
      <c r="BZ49" s="927"/>
      <c r="CA49" s="927"/>
      <c r="CB49" s="927"/>
      <c r="CC49" s="928"/>
      <c r="CD49" s="236"/>
      <c r="CE49" s="236"/>
      <c r="CF49" s="522">
        <v>44</v>
      </c>
      <c r="CG49" s="236"/>
      <c r="CH49" s="236"/>
      <c r="CI49" s="236">
        <v>1.8333333333333333</v>
      </c>
      <c r="CJ49" s="236"/>
      <c r="CK49" s="236"/>
      <c r="CL49" s="236"/>
      <c r="CM49" s="236">
        <v>0.99</v>
      </c>
      <c r="CN49" s="236"/>
      <c r="CO49" s="236">
        <v>1.8333333333333333</v>
      </c>
      <c r="CP49" s="236"/>
      <c r="CQ49" s="236"/>
      <c r="CR49" s="236"/>
    </row>
    <row r="50" spans="1:96" x14ac:dyDescent="0.3">
      <c r="A50" s="404"/>
      <c r="B50" s="291" t="s">
        <v>452</v>
      </c>
      <c r="C50" s="291"/>
      <c r="D50" s="905">
        <f>SUM(D40,D47)</f>
        <v>0</v>
      </c>
      <c r="E50" s="866"/>
      <c r="F50" s="867"/>
      <c r="G50" s="554"/>
      <c r="H50" s="482" t="s">
        <v>453</v>
      </c>
      <c r="I50" s="482"/>
      <c r="J50" s="903">
        <f>SUM(J40,J47)</f>
        <v>0</v>
      </c>
      <c r="K50" s="903"/>
      <c r="L50" s="903"/>
      <c r="M50" s="555"/>
      <c r="N50" s="291" t="s">
        <v>452</v>
      </c>
      <c r="O50" s="291"/>
      <c r="P50" s="905">
        <f>SUM(P40,P47)</f>
        <v>0</v>
      </c>
      <c r="Q50" s="866"/>
      <c r="R50" s="867"/>
      <c r="S50" s="554"/>
      <c r="T50" s="482" t="s">
        <v>453</v>
      </c>
      <c r="U50" s="482"/>
      <c r="V50" s="903">
        <f>SUM(V40,V47)</f>
        <v>0</v>
      </c>
      <c r="W50" s="903"/>
      <c r="X50" s="903"/>
      <c r="Y50" s="555"/>
      <c r="Z50" s="236"/>
      <c r="AA50" s="291" t="s">
        <v>230</v>
      </c>
      <c r="AB50" s="291"/>
      <c r="AC50" s="850">
        <f>SUM(AC40,AC47:AE47)</f>
        <v>10.92</v>
      </c>
      <c r="AD50" s="851"/>
      <c r="AE50" s="852"/>
      <c r="AF50" s="291" t="s">
        <v>231</v>
      </c>
      <c r="AG50" s="291"/>
      <c r="AH50" s="904">
        <f>SUM(AH40,AH47:AJ47)</f>
        <v>10.92</v>
      </c>
      <c r="AI50" s="904"/>
      <c r="AJ50" s="904"/>
      <c r="AK50" s="236"/>
      <c r="AL50" s="236"/>
      <c r="AM50" s="236"/>
      <c r="AN50" s="236"/>
      <c r="AO50" s="236"/>
      <c r="AP50" s="236"/>
      <c r="AQ50" s="236"/>
      <c r="AR50" s="236"/>
      <c r="AS50" s="236"/>
      <c r="AT50" s="236"/>
      <c r="AU50" s="236"/>
      <c r="AV50" s="236"/>
      <c r="AW50" s="236"/>
      <c r="AX50" s="236"/>
      <c r="AY50" s="236"/>
      <c r="AZ50" s="236"/>
      <c r="BA50" s="236"/>
      <c r="BB50" s="236"/>
      <c r="BC50" s="236"/>
      <c r="BD50" s="236"/>
      <c r="BE50" s="404"/>
      <c r="BF50" s="549" t="s">
        <v>452</v>
      </c>
      <c r="BG50" s="549"/>
      <c r="BH50" s="900">
        <f>SUM(BH40,BH47)</f>
        <v>0</v>
      </c>
      <c r="BI50" s="901"/>
      <c r="BJ50" s="902"/>
      <c r="BK50" s="553"/>
      <c r="BL50" s="549" t="s">
        <v>453</v>
      </c>
      <c r="BM50" s="549"/>
      <c r="BN50" s="923">
        <f>SUM(BN40,BN47)</f>
        <v>0</v>
      </c>
      <c r="BO50" s="924"/>
      <c r="BP50" s="925"/>
      <c r="BQ50" s="593"/>
      <c r="BR50" s="549" t="s">
        <v>230</v>
      </c>
      <c r="BS50" s="549"/>
      <c r="BT50" s="900">
        <f>SUM(BT40,BT47)</f>
        <v>0</v>
      </c>
      <c r="BU50" s="901"/>
      <c r="BV50" s="902"/>
      <c r="BW50" s="553"/>
      <c r="BX50" s="549" t="s">
        <v>231</v>
      </c>
      <c r="BY50" s="549"/>
      <c r="BZ50" s="923">
        <f>SUM(BZ40,BZ47)</f>
        <v>0</v>
      </c>
      <c r="CA50" s="924"/>
      <c r="CB50" s="925"/>
      <c r="CC50" s="552"/>
      <c r="CD50" s="236"/>
      <c r="CE50" s="236"/>
      <c r="CF50" s="236"/>
      <c r="CG50" s="236"/>
      <c r="CH50" s="236"/>
      <c r="CI50" s="236"/>
      <c r="CJ50" s="236"/>
      <c r="CK50" s="236"/>
      <c r="CL50" s="236"/>
      <c r="CM50" s="236"/>
      <c r="CN50" s="236"/>
      <c r="CO50" s="236"/>
      <c r="CP50" s="236"/>
      <c r="CQ50" s="236"/>
      <c r="CR50" s="236"/>
    </row>
    <row r="51" spans="1:96" x14ac:dyDescent="0.3">
      <c r="A51" s="404"/>
      <c r="B51" s="294"/>
      <c r="C51" s="294"/>
      <c r="D51" s="895"/>
      <c r="E51" s="896"/>
      <c r="F51" s="897"/>
      <c r="G51" s="558"/>
      <c r="H51" s="483" t="s">
        <v>454</v>
      </c>
      <c r="I51" s="483"/>
      <c r="J51" s="898">
        <f>SUM(J41,J48)</f>
        <v>0</v>
      </c>
      <c r="K51" s="898"/>
      <c r="L51" s="898"/>
      <c r="M51" s="556"/>
      <c r="N51" s="294"/>
      <c r="O51" s="294"/>
      <c r="P51" s="895"/>
      <c r="Q51" s="896"/>
      <c r="R51" s="897"/>
      <c r="S51" s="558"/>
      <c r="T51" s="483" t="s">
        <v>454</v>
      </c>
      <c r="U51" s="483"/>
      <c r="V51" s="898">
        <f>SUM(V41,V48)</f>
        <v>0</v>
      </c>
      <c r="W51" s="898"/>
      <c r="X51" s="898"/>
      <c r="Y51" s="556"/>
      <c r="Z51" s="236"/>
      <c r="AA51" s="294" t="s">
        <v>249</v>
      </c>
      <c r="AB51" s="294"/>
      <c r="AC51" s="847">
        <f>SUM(AC41,AC48)</f>
        <v>12</v>
      </c>
      <c r="AD51" s="848"/>
      <c r="AE51" s="849"/>
      <c r="AF51" s="294" t="s">
        <v>250</v>
      </c>
      <c r="AG51" s="294"/>
      <c r="AH51" s="899">
        <f>SUM(AH41,AH48:AJ48)</f>
        <v>12</v>
      </c>
      <c r="AI51" s="899"/>
      <c r="AJ51" s="899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404"/>
      <c r="BF51" s="294"/>
      <c r="BG51" s="294"/>
      <c r="BH51" s="895"/>
      <c r="BI51" s="896"/>
      <c r="BJ51" s="897"/>
      <c r="BK51" s="558"/>
      <c r="BL51" s="294" t="s">
        <v>454</v>
      </c>
      <c r="BM51" s="294"/>
      <c r="BN51" s="917">
        <f>SUM(BN41,BN48)</f>
        <v>0</v>
      </c>
      <c r="BO51" s="918"/>
      <c r="BP51" s="919"/>
      <c r="BQ51" s="556"/>
      <c r="BR51" s="294"/>
      <c r="BS51" s="294"/>
      <c r="BT51" s="895"/>
      <c r="BU51" s="896"/>
      <c r="BV51" s="897"/>
      <c r="BW51" s="558"/>
      <c r="BX51" s="294" t="s">
        <v>250</v>
      </c>
      <c r="BY51" s="294"/>
      <c r="BZ51" s="917">
        <f>SUM(BZ41,BZ48)</f>
        <v>0</v>
      </c>
      <c r="CA51" s="918"/>
      <c r="CB51" s="919"/>
      <c r="CC51" s="557"/>
      <c r="CD51" s="236"/>
      <c r="CE51" s="236"/>
      <c r="CF51" s="236"/>
      <c r="CG51" s="236"/>
      <c r="CH51" s="236"/>
      <c r="CI51" s="236"/>
      <c r="CJ51" s="236"/>
      <c r="CK51" s="236"/>
      <c r="CL51" s="236"/>
      <c r="CM51" s="236"/>
      <c r="CN51" s="236"/>
      <c r="CO51" s="236"/>
      <c r="CP51" s="236"/>
      <c r="CQ51" s="236"/>
      <c r="CR51" s="236"/>
    </row>
    <row r="52" spans="1:96" x14ac:dyDescent="0.3">
      <c r="A52" s="404"/>
      <c r="B52" s="291" t="s">
        <v>463</v>
      </c>
      <c r="C52" s="291"/>
      <c r="D52" s="900">
        <f>IF(D50&gt;=J50,D50+J47+J40,J50+D47+D40)</f>
        <v>0</v>
      </c>
      <c r="E52" s="901"/>
      <c r="F52" s="902"/>
      <c r="G52" s="553"/>
      <c r="H52" s="482" t="s">
        <v>232</v>
      </c>
      <c r="I52" s="482"/>
      <c r="J52" s="903">
        <f>IF(D50&gt;=J50, D50, J50)</f>
        <v>0</v>
      </c>
      <c r="K52" s="903"/>
      <c r="L52" s="903"/>
      <c r="M52" s="555"/>
      <c r="N52" s="291" t="s">
        <v>463</v>
      </c>
      <c r="O52" s="291"/>
      <c r="P52" s="900">
        <f>IF(P50&gt;=V50,P50+V47+V40,V50+P47+P40)</f>
        <v>0</v>
      </c>
      <c r="Q52" s="901"/>
      <c r="R52" s="902"/>
      <c r="S52" s="553"/>
      <c r="T52" s="482" t="s">
        <v>232</v>
      </c>
      <c r="U52" s="482"/>
      <c r="V52" s="903">
        <f>IF(P50&gt;=V50, P50, V50)</f>
        <v>0</v>
      </c>
      <c r="W52" s="903"/>
      <c r="X52" s="903"/>
      <c r="Y52" s="555"/>
      <c r="Z52" s="236"/>
      <c r="AA52" s="291" t="s">
        <v>205</v>
      </c>
      <c r="AB52" s="291"/>
      <c r="AC52" s="844">
        <f>IF(AC50&gt;=AH50,AC50+AH44+AH37,AH50+AC44+AC37)-0*COUNT(AC6:AC17,AC22:AC31,AH6:AH17,AH22:AH31)</f>
        <v>21.84</v>
      </c>
      <c r="AD52" s="845"/>
      <c r="AE52" s="846"/>
      <c r="AF52" s="291" t="s">
        <v>232</v>
      </c>
      <c r="AG52" s="291"/>
      <c r="AH52" s="904">
        <f>IF(AC50&gt;=AH50, AC50, AH50)</f>
        <v>10.92</v>
      </c>
      <c r="AI52" s="904"/>
      <c r="AJ52" s="904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404"/>
      <c r="BF52" s="291" t="s">
        <v>205</v>
      </c>
      <c r="BG52" s="291"/>
      <c r="BH52" s="900">
        <f>IF(BH50&gt;=BN50,BH50+BN44+BN37,BN50+BH44+BH37)</f>
        <v>0</v>
      </c>
      <c r="BI52" s="901"/>
      <c r="BJ52" s="902"/>
      <c r="BK52" s="553"/>
      <c r="BL52" s="291" t="s">
        <v>232</v>
      </c>
      <c r="BM52" s="291"/>
      <c r="BN52" s="920">
        <f>IF(BH50&gt;=BN50, BH50, BN50)</f>
        <v>0</v>
      </c>
      <c r="BO52" s="921"/>
      <c r="BP52" s="922"/>
      <c r="BQ52" s="555"/>
      <c r="BR52" s="291" t="s">
        <v>205</v>
      </c>
      <c r="BS52" s="291"/>
      <c r="BT52" s="900">
        <f>IF(BT50&gt;=BZ50,BT50+BZ44+BZ37,BZ50+BT44+BT37)-0*COUNT(BT6:BT17,BT22:BT31,BZ6:BZ17,BZ22:BZ31)</f>
        <v>0</v>
      </c>
      <c r="BU52" s="901"/>
      <c r="BV52" s="902"/>
      <c r="BW52" s="553"/>
      <c r="BX52" s="291" t="s">
        <v>232</v>
      </c>
      <c r="BY52" s="291"/>
      <c r="BZ52" s="920">
        <f>IF(BT50&gt;=BZ50, BT50, BZ50)</f>
        <v>0</v>
      </c>
      <c r="CA52" s="921"/>
      <c r="CB52" s="922"/>
      <c r="CC52" s="552"/>
      <c r="CD52" s="236"/>
      <c r="CE52" s="236"/>
      <c r="CF52" s="236"/>
      <c r="CG52" s="236"/>
      <c r="CH52" s="236"/>
      <c r="CI52" s="236"/>
      <c r="CJ52" s="236"/>
      <c r="CK52" s="236"/>
      <c r="CL52" s="236"/>
      <c r="CM52" s="236"/>
      <c r="CN52" s="236"/>
      <c r="CO52" s="236"/>
      <c r="CP52" s="236"/>
      <c r="CQ52" s="236"/>
      <c r="CR52" s="236"/>
    </row>
    <row r="53" spans="1:96" x14ac:dyDescent="0.3">
      <c r="A53" s="407"/>
      <c r="B53" s="890"/>
      <c r="C53" s="890"/>
      <c r="D53" s="890"/>
      <c r="E53" s="890"/>
      <c r="F53" s="890"/>
      <c r="G53" s="890"/>
      <c r="H53" s="890"/>
      <c r="I53" s="913"/>
      <c r="J53" s="913"/>
      <c r="K53" s="913"/>
      <c r="L53" s="913"/>
      <c r="M53" s="582"/>
      <c r="N53" s="890"/>
      <c r="O53" s="890"/>
      <c r="P53" s="890"/>
      <c r="Q53" s="890"/>
      <c r="R53" s="890"/>
      <c r="S53" s="890"/>
      <c r="T53" s="890"/>
      <c r="U53" s="891"/>
      <c r="V53" s="891"/>
      <c r="W53" s="891"/>
      <c r="X53" s="892"/>
      <c r="Y53" s="583"/>
      <c r="Z53" s="485"/>
      <c r="AA53" s="893" t="s">
        <v>404</v>
      </c>
      <c r="AB53" s="893"/>
      <c r="AC53" s="893"/>
      <c r="AD53" s="893"/>
      <c r="AE53" s="893"/>
      <c r="AF53" s="893"/>
      <c r="AG53" s="894">
        <f>SUM(AZ4:BC47)*208/1000</f>
        <v>4.5427200000000001</v>
      </c>
      <c r="AH53" s="894"/>
      <c r="AI53" s="894"/>
      <c r="AJ53" s="894"/>
      <c r="AK53" s="485"/>
      <c r="AL53" s="485"/>
      <c r="AM53" s="485"/>
      <c r="AN53" s="485"/>
      <c r="AO53" s="485"/>
      <c r="AP53" s="485"/>
      <c r="AQ53" s="485"/>
      <c r="AR53" s="485"/>
      <c r="AS53" s="236"/>
      <c r="AT53" s="236"/>
      <c r="AU53" s="236"/>
      <c r="AV53" s="236"/>
      <c r="AW53" s="236"/>
      <c r="AX53" s="236"/>
      <c r="AY53" s="236"/>
      <c r="AZ53" s="236"/>
      <c r="BA53" s="236"/>
      <c r="BB53" s="236"/>
      <c r="BC53" s="236"/>
      <c r="BD53" s="236"/>
      <c r="BE53" s="407"/>
      <c r="BF53" s="890"/>
      <c r="BG53" s="890"/>
      <c r="BH53" s="890"/>
      <c r="BI53" s="890"/>
      <c r="BJ53" s="890"/>
      <c r="BK53" s="890"/>
      <c r="BL53" s="890"/>
      <c r="BM53" s="913"/>
      <c r="BN53" s="913"/>
      <c r="BO53" s="913"/>
      <c r="BP53" s="913"/>
      <c r="BQ53" s="582"/>
      <c r="BR53" s="890"/>
      <c r="BS53" s="890"/>
      <c r="BT53" s="890"/>
      <c r="BU53" s="890"/>
      <c r="BV53" s="890"/>
      <c r="BW53" s="890"/>
      <c r="BX53" s="890"/>
      <c r="BY53" s="913"/>
      <c r="BZ53" s="913"/>
      <c r="CA53" s="913"/>
      <c r="CB53" s="916"/>
      <c r="CC53" s="563"/>
      <c r="CD53" s="236"/>
      <c r="CE53" s="236"/>
      <c r="CF53" s="236"/>
      <c r="CG53" s="236"/>
      <c r="CH53" s="236"/>
      <c r="CI53" s="236"/>
      <c r="CJ53" s="236"/>
      <c r="CK53" s="236"/>
      <c r="CL53" s="236"/>
      <c r="CM53" s="236"/>
      <c r="CN53" s="236"/>
      <c r="CO53" s="236"/>
      <c r="CP53" s="236"/>
      <c r="CQ53" s="236"/>
      <c r="CR53" s="236"/>
    </row>
  </sheetData>
  <sheetProtection selectLockedCells="1" selectUnlockedCells="1"/>
  <protectedRanges>
    <protectedRange sqref="AG3 Z34:Z52 AA34:AD35 AE34:AE37 AA47:AB52 AC49:AD49 AA36:AC37 AA40:AC41 AA43:AC44 AJ36:AJ37 AE47:AG49 AJ47:AJ49 AH49:AI49 AF36:AH37 AJ40:AJ41 AE40:AH41 AJ43:AJ44 AE43:AH44 AE50:AJ52 AC50:AC52 AH47:AH48 AC47:AC48 O1:O2 AF1:AG2 AF4:AG33 U53:V53 AJ53:AQ53 Z53:AH53 D49:E49 D36:D37 B40:D41 E48 B2:B3 C1:C2 B48:C52 F41:M41 B53:G53 I53:J53 I19 B4:C37 H20:I35 AH1:AK33 AL1:AW2 AK36:AK52 AF34:AK35 P32:Q35 R33:Y35 AL49:AQ52 AL4:AL48 AR49:AW53 BH50:BH52 BF2:BF3 BG1:BG2 BJ49:BO52 BF53:BK53 BP49:BS53 CR1:CR53 BT49:BU49 BT53:BU53 BM53:BN53 BM19 BL20:BM35 BH32:BI33 BJ33:BK33 A1:A53 CF1:CQ2 CD1:CE52 BH1:BQ5 BT50:BT52 CF49:CK52 CF4:CF48 AX1:BE53 BR2:BR3 BR4:BS4 CL49:CQ53 BX49:CA52 A54:CR1048576 BY53:BZ53 CD53:CK53 BH49:BI49 CS1:XFD1048576 D50:D52 F37:G37 E36:G36 D1:M5 D18:G35 B47:D47 F48:K52 B43:D44 F44:G44 E43:G43 F40:J40 L40:M40 H36:J37 L37:M37 K36:M36 H18:L18 D6:L17 M6:M18 J19:M35 F47:J47 L53:S53 H43:J44 L44:M44 K43:M43 R32 P22:R31 S22:Y32 L47:M52 P49:Q49 N40:P41 Q48 N48:O52 R41:Y41 N36:P37 P50:P52 R37:S37 Q36:S36 N47:P47 R48:W52 N43:P44 R44:S44 Q43:S43 R40:V40 X40:Y40 T36:V37 X37:Y37 W36:Y36 R47:V47 X47:Y53 T43:V44 X44:Y44 W43:Y43 BH6:BK21 BT1:CC4 BL6:BQ18 BJ32 BH22:BJ31 BK22:BK32 BN19:BQ35 BH36:BH37 BF40:BH41 CC34:CC35 BH34:BK35 BI48 BF48:BG52 BF47:BH47 BF43:BH44 BJ47:BK48 BJ40:BN41 BP37:BQ37 BO36:BQ36 BO48 BL48:BM48 BL47:BN47 BP44:BQ44 BP47:BQ48 BP40:BT41 BR36:BT37 BV37:BW37 BU36:BW36 BU48 BR48:BS48 BR47:BT47 BR43:BT44 BV44:BW44 BV47:BW53 CA48 BX48:BY48 BV40:BZ41 BX36:BZ37 CB37:CC37 CA36:CC36 CB40:CC41 BX47:BZ47 BX43:BZ44 CB47:CC53 BI43 BO43 BU43 CA43 BI36 CC43:CC44 CB44 BK43:BN44 BJ44 BK36:BN37 BJ37 BQ43 BW43 BR32:CB35 CC32 AR4:AR48 CL4:CL48 N2:N3 BS1:BS3 BF4:BG37 BR5:CC31 P1:AE18 N4:O18 P21:Y21 N21:O35 Z21:AE33 N19:AE20" name="Range1"/>
    <protectedRange sqref="AM5:AP5 AN6:AP6 AN10:AP10 AN14:AP14 AS7 AM7:AP9 AS11 AM11:AP13 AS15 AM15:AP48 CG5:CJ5 CH6:CJ6 CH10:CJ10 CH14:CJ14 CM7 CG7:CJ9 CM11 CG11:CJ13 CM15 CG15:CJ48 AQ5:AQ48 CK5:CK48" name="Range1_1"/>
    <protectedRange sqref="AT7:AV7 AT11:AV11 AS16:AV48 AT15:AV15 AM6 AS5:AV6 AM10 AS8:AV10 AM14 AS12:AV14 CN7:CP7 CN11:CP11 CM16:CP48 CN15:CP15 CG6 CM5:CP6 CG10 CM8:CP10 CG14 CM12:CP14 AW5:AW48 CQ5:CQ48" name="Range1_2"/>
    <protectedRange sqref="AM4:AQ4" name="Range1_3"/>
    <protectedRange sqref="AS4:AW4" name="Range1_4"/>
    <protectedRange sqref="CG4:CK4" name="Range1_5"/>
    <protectedRange sqref="CM4:CQ4" name="Range1_6"/>
  </protectedRanges>
  <dataConsolidate/>
  <mergeCells count="255">
    <mergeCell ref="BY19:CC20"/>
    <mergeCell ref="U19:Y20"/>
    <mergeCell ref="O19:S20"/>
    <mergeCell ref="AA19:AE20"/>
    <mergeCell ref="AG19:AJ20"/>
    <mergeCell ref="BH50:BJ50"/>
    <mergeCell ref="BN50:BP50"/>
    <mergeCell ref="BT50:BV50"/>
    <mergeCell ref="BZ50:CB50"/>
    <mergeCell ref="BF49:CC49"/>
    <mergeCell ref="BI43:BJ43"/>
    <mergeCell ref="BO43:BP43"/>
    <mergeCell ref="BU43:BV43"/>
    <mergeCell ref="CA43:CB43"/>
    <mergeCell ref="BF46:BG46"/>
    <mergeCell ref="BL46:BM46"/>
    <mergeCell ref="BR46:BS46"/>
    <mergeCell ref="BX46:BY46"/>
    <mergeCell ref="BF45:BG45"/>
    <mergeCell ref="BL45:BM45"/>
    <mergeCell ref="BR45:BS45"/>
    <mergeCell ref="BX45:BY45"/>
    <mergeCell ref="BZ41:CB41"/>
    <mergeCell ref="BF40:BG40"/>
    <mergeCell ref="BZ40:CC40"/>
    <mergeCell ref="BR39:BS39"/>
    <mergeCell ref="BX39:BY39"/>
    <mergeCell ref="BF53:BL53"/>
    <mergeCell ref="BM53:BP53"/>
    <mergeCell ref="BR53:BX53"/>
    <mergeCell ref="BY53:CB53"/>
    <mergeCell ref="BH51:BJ51"/>
    <mergeCell ref="BN51:BP51"/>
    <mergeCell ref="BT51:BV51"/>
    <mergeCell ref="BZ51:CB51"/>
    <mergeCell ref="BH52:BJ52"/>
    <mergeCell ref="BN52:BP52"/>
    <mergeCell ref="BT52:BV52"/>
    <mergeCell ref="BZ52:CB52"/>
    <mergeCell ref="BX47:BY47"/>
    <mergeCell ref="BZ47:CC47"/>
    <mergeCell ref="BF44:BG44"/>
    <mergeCell ref="BL44:BM44"/>
    <mergeCell ref="BR44:BS44"/>
    <mergeCell ref="BX44:BY44"/>
    <mergeCell ref="BF38:BG38"/>
    <mergeCell ref="BL38:BM38"/>
    <mergeCell ref="BR38:BS38"/>
    <mergeCell ref="BX38:BY38"/>
    <mergeCell ref="BF41:BG41"/>
    <mergeCell ref="BH41:BJ41"/>
    <mergeCell ref="BL41:BM41"/>
    <mergeCell ref="BN41:BP41"/>
    <mergeCell ref="BR41:BS41"/>
    <mergeCell ref="BT41:BV41"/>
    <mergeCell ref="BX41:BY41"/>
    <mergeCell ref="BF39:BG39"/>
    <mergeCell ref="BL39:BM39"/>
    <mergeCell ref="BL40:BM40"/>
    <mergeCell ref="BR40:BS40"/>
    <mergeCell ref="BX40:BY40"/>
    <mergeCell ref="BH40:BK40"/>
    <mergeCell ref="BN40:BQ40"/>
    <mergeCell ref="BT40:BW40"/>
    <mergeCell ref="CF3:CJ3"/>
    <mergeCell ref="CL3:CP3"/>
    <mergeCell ref="BE1:CB2"/>
    <mergeCell ref="CF1:CP2"/>
    <mergeCell ref="BF37:BG37"/>
    <mergeCell ref="BL37:BM37"/>
    <mergeCell ref="BR37:BS37"/>
    <mergeCell ref="BX37:BY37"/>
    <mergeCell ref="BL36:BM36"/>
    <mergeCell ref="BR36:BS36"/>
    <mergeCell ref="BX36:BY36"/>
    <mergeCell ref="BF34:BJ35"/>
    <mergeCell ref="BL34:BP35"/>
    <mergeCell ref="BR34:BV35"/>
    <mergeCell ref="BX34:CB35"/>
    <mergeCell ref="BF36:BG36"/>
    <mergeCell ref="BF33:CC33"/>
    <mergeCell ref="BF3:BK4"/>
    <mergeCell ref="BM19:BQ20"/>
    <mergeCell ref="BM3:BQ4"/>
    <mergeCell ref="BS3:BW4"/>
    <mergeCell ref="BY3:CC4"/>
    <mergeCell ref="BG19:BK20"/>
    <mergeCell ref="BS19:BW20"/>
    <mergeCell ref="J52:L52"/>
    <mergeCell ref="I53:L53"/>
    <mergeCell ref="H37:I37"/>
    <mergeCell ref="H39:I39"/>
    <mergeCell ref="H40:I40"/>
    <mergeCell ref="H46:I46"/>
    <mergeCell ref="J48:L48"/>
    <mergeCell ref="J50:L50"/>
    <mergeCell ref="J51:L51"/>
    <mergeCell ref="H41:I41"/>
    <mergeCell ref="J41:L41"/>
    <mergeCell ref="H43:I43"/>
    <mergeCell ref="B53:H53"/>
    <mergeCell ref="B46:C46"/>
    <mergeCell ref="D50:F50"/>
    <mergeCell ref="D51:F51"/>
    <mergeCell ref="D52:F52"/>
    <mergeCell ref="B41:C41"/>
    <mergeCell ref="D41:F41"/>
    <mergeCell ref="B43:C43"/>
    <mergeCell ref="B45:C45"/>
    <mergeCell ref="B38:C38"/>
    <mergeCell ref="B44:C44"/>
    <mergeCell ref="B47:C47"/>
    <mergeCell ref="H34:L35"/>
    <mergeCell ref="H36:I36"/>
    <mergeCell ref="B34:F35"/>
    <mergeCell ref="B36:C36"/>
    <mergeCell ref="B37:C37"/>
    <mergeCell ref="H38:I38"/>
    <mergeCell ref="AH46:AJ46"/>
    <mergeCell ref="H45:I45"/>
    <mergeCell ref="AC44:AE44"/>
    <mergeCell ref="AH44:AJ44"/>
    <mergeCell ref="N45:O45"/>
    <mergeCell ref="T45:U45"/>
    <mergeCell ref="AA45:AB45"/>
    <mergeCell ref="AC45:AE45"/>
    <mergeCell ref="AF45:AG45"/>
    <mergeCell ref="AH45:AJ45"/>
    <mergeCell ref="AF40:AG40"/>
    <mergeCell ref="AH40:AJ40"/>
    <mergeCell ref="N41:O41"/>
    <mergeCell ref="P41:R41"/>
    <mergeCell ref="T41:U41"/>
    <mergeCell ref="V41:X41"/>
    <mergeCell ref="Q43:R43"/>
    <mergeCell ref="W43:X43"/>
    <mergeCell ref="P50:R50"/>
    <mergeCell ref="V50:X50"/>
    <mergeCell ref="AC50:AE50"/>
    <mergeCell ref="AH50:AJ50"/>
    <mergeCell ref="AC47:AE47"/>
    <mergeCell ref="AA49:AJ49"/>
    <mergeCell ref="AH47:AJ47"/>
    <mergeCell ref="V48:X48"/>
    <mergeCell ref="B39:C39"/>
    <mergeCell ref="B40:C40"/>
    <mergeCell ref="AC48:AE48"/>
    <mergeCell ref="AH48:AJ48"/>
    <mergeCell ref="N46:O46"/>
    <mergeCell ref="T46:U46"/>
    <mergeCell ref="AA46:AB46"/>
    <mergeCell ref="AC46:AE46"/>
    <mergeCell ref="AF46:AG46"/>
    <mergeCell ref="AA42:AJ42"/>
    <mergeCell ref="N43:O43"/>
    <mergeCell ref="T43:U43"/>
    <mergeCell ref="AA43:AB43"/>
    <mergeCell ref="AC43:AE43"/>
    <mergeCell ref="AF43:AG43"/>
    <mergeCell ref="AH43:AJ43"/>
    <mergeCell ref="N53:T53"/>
    <mergeCell ref="U53:X53"/>
    <mergeCell ref="AA53:AF53"/>
    <mergeCell ref="AG53:AJ53"/>
    <mergeCell ref="P51:R51"/>
    <mergeCell ref="V51:X51"/>
    <mergeCell ref="AC51:AE51"/>
    <mergeCell ref="AH51:AJ51"/>
    <mergeCell ref="P52:R52"/>
    <mergeCell ref="V52:X52"/>
    <mergeCell ref="AC52:AE52"/>
    <mergeCell ref="AH52:AJ52"/>
    <mergeCell ref="N44:O44"/>
    <mergeCell ref="T44:U44"/>
    <mergeCell ref="N47:O47"/>
    <mergeCell ref="P47:S47"/>
    <mergeCell ref="T47:U47"/>
    <mergeCell ref="V47:Y47"/>
    <mergeCell ref="AA41:AB41"/>
    <mergeCell ref="AC41:AE41"/>
    <mergeCell ref="AF41:AG41"/>
    <mergeCell ref="N39:O39"/>
    <mergeCell ref="T39:U39"/>
    <mergeCell ref="AA39:AB39"/>
    <mergeCell ref="AC39:AE39"/>
    <mergeCell ref="AF39:AG39"/>
    <mergeCell ref="AH39:AJ39"/>
    <mergeCell ref="N38:O38"/>
    <mergeCell ref="T38:U38"/>
    <mergeCell ref="AA38:AB38"/>
    <mergeCell ref="AC38:AE38"/>
    <mergeCell ref="N33:X33"/>
    <mergeCell ref="AA33:AJ33"/>
    <mergeCell ref="A1:X2"/>
    <mergeCell ref="AA1:AJ2"/>
    <mergeCell ref="AY1:BC2"/>
    <mergeCell ref="AB3:AE4"/>
    <mergeCell ref="AG3:AJ4"/>
    <mergeCell ref="AL3:AP3"/>
    <mergeCell ref="AR3:AV3"/>
    <mergeCell ref="AL1:AW2"/>
    <mergeCell ref="N3:S4"/>
    <mergeCell ref="U3:Y4"/>
    <mergeCell ref="I3:M4"/>
    <mergeCell ref="B3:G4"/>
    <mergeCell ref="B19:G20"/>
    <mergeCell ref="I19:M20"/>
    <mergeCell ref="D47:G47"/>
    <mergeCell ref="K36:L36"/>
    <mergeCell ref="J40:M40"/>
    <mergeCell ref="K43:L43"/>
    <mergeCell ref="H44:I44"/>
    <mergeCell ref="H47:I47"/>
    <mergeCell ref="J47:M47"/>
    <mergeCell ref="BF42:CC42"/>
    <mergeCell ref="BI36:BJ36"/>
    <mergeCell ref="BO36:BP36"/>
    <mergeCell ref="BU36:BV36"/>
    <mergeCell ref="CA36:CB36"/>
    <mergeCell ref="D40:G40"/>
    <mergeCell ref="E36:F36"/>
    <mergeCell ref="E43:F43"/>
    <mergeCell ref="N37:O37"/>
    <mergeCell ref="T37:U37"/>
    <mergeCell ref="AA37:AB37"/>
    <mergeCell ref="BF47:BG47"/>
    <mergeCell ref="BH47:BK47"/>
    <mergeCell ref="BL47:BM47"/>
    <mergeCell ref="BN47:BQ47"/>
    <mergeCell ref="BR47:BS47"/>
    <mergeCell ref="BT47:BW47"/>
    <mergeCell ref="AH41:AJ41"/>
    <mergeCell ref="N40:O40"/>
    <mergeCell ref="T40:U40"/>
    <mergeCell ref="AA40:AB40"/>
    <mergeCell ref="AC40:AE40"/>
    <mergeCell ref="P40:S40"/>
    <mergeCell ref="N34:R35"/>
    <mergeCell ref="T34:X35"/>
    <mergeCell ref="AA34:AE35"/>
    <mergeCell ref="AF34:AJ35"/>
    <mergeCell ref="N36:O36"/>
    <mergeCell ref="T36:U36"/>
    <mergeCell ref="AA36:AB36"/>
    <mergeCell ref="AC36:AE36"/>
    <mergeCell ref="AF36:AG36"/>
    <mergeCell ref="AH36:AJ36"/>
    <mergeCell ref="Q36:R36"/>
    <mergeCell ref="W36:X36"/>
    <mergeCell ref="V40:Y40"/>
    <mergeCell ref="AC37:AE37"/>
    <mergeCell ref="AF37:AG37"/>
    <mergeCell ref="AH37:AJ37"/>
    <mergeCell ref="AF38:AG38"/>
    <mergeCell ref="AH38:AJ38"/>
  </mergeCells>
  <conditionalFormatting sqref="AB22:AE31 AB6:AE17 AG6:AJ17 AG22:AJ31 O6:S17 O22:S31 U6:Y17 U22:Y31">
    <cfRule type="notContainsText" dxfId="164" priority="54" operator="notContains" text="N/A">
      <formula>ISERROR(SEARCH("N/A",O6))</formula>
    </cfRule>
  </conditionalFormatting>
  <conditionalFormatting sqref="AZ4:BA47">
    <cfRule type="notContainsText" dxfId="163" priority="52" operator="notContains" text="N/A">
      <formula>ISERROR(SEARCH("N/A",AZ4))</formula>
    </cfRule>
  </conditionalFormatting>
  <conditionalFormatting sqref="BB4:BC47">
    <cfRule type="notContainsText" dxfId="162" priority="51" operator="notContains" text="N/A">
      <formula>ISERROR(SEARCH("N/A",BB4))</formula>
    </cfRule>
  </conditionalFormatting>
  <conditionalFormatting sqref="C6:G17 C22:G31">
    <cfRule type="notContainsText" dxfId="161" priority="50" operator="notContains" text="N/A">
      <formula>ISERROR(SEARCH("N/A",C6))</formula>
    </cfRule>
  </conditionalFormatting>
  <conditionalFormatting sqref="I6:M17 I22:M31">
    <cfRule type="notContainsText" dxfId="160" priority="49" operator="notContains" text="N/A">
      <formula>ISERROR(SEARCH("N/A",I6))</formula>
    </cfRule>
  </conditionalFormatting>
  <conditionalFormatting sqref="AM5:AN5 AN6 AN10 AN14 AM7:AN9 AM11:AN13 AM15:AN48">
    <cfRule type="notContainsText" dxfId="159" priority="46" operator="notContains" text="N/A">
      <formula>ISERROR(SEARCH("N/A",AM5))</formula>
    </cfRule>
  </conditionalFormatting>
  <conditionalFormatting sqref="AO5:AQ48">
    <cfRule type="notContainsText" dxfId="158" priority="45" operator="notContains" text="N/A">
      <formula>ISERROR(SEARCH("N/A",AO5))</formula>
    </cfRule>
  </conditionalFormatting>
  <conditionalFormatting sqref="AT7 AT11 AS16:AT48 AT15 AS5:AT6 AS8:AT10 AS12:AT14">
    <cfRule type="notContainsText" dxfId="157" priority="44" operator="notContains" text="N/A">
      <formula>ISERROR(SEARCH("N/A",AS5))</formula>
    </cfRule>
  </conditionalFormatting>
  <conditionalFormatting sqref="AU5:AW48">
    <cfRule type="notContainsText" dxfId="156" priority="43" operator="notContains" text="N/A">
      <formula>ISERROR(SEARCH("N/A",AU5))</formula>
    </cfRule>
  </conditionalFormatting>
  <conditionalFormatting sqref="AM6">
    <cfRule type="notContainsText" dxfId="155" priority="36" operator="notContains" text="N/A">
      <formula>ISERROR(SEARCH("N/A",AM6))</formula>
    </cfRule>
  </conditionalFormatting>
  <conditionalFormatting sqref="AS7">
    <cfRule type="notContainsText" dxfId="154" priority="35" operator="notContains" text="N/A">
      <formula>ISERROR(SEARCH("N/A",AS7))</formula>
    </cfRule>
  </conditionalFormatting>
  <conditionalFormatting sqref="AM10">
    <cfRule type="notContainsText" dxfId="153" priority="34" operator="notContains" text="N/A">
      <formula>ISERROR(SEARCH("N/A",AM10))</formula>
    </cfRule>
  </conditionalFormatting>
  <conditionalFormatting sqref="AS11">
    <cfRule type="notContainsText" dxfId="152" priority="33" operator="notContains" text="N/A">
      <formula>ISERROR(SEARCH("N/A",AS11))</formula>
    </cfRule>
  </conditionalFormatting>
  <conditionalFormatting sqref="AM14">
    <cfRule type="notContainsText" dxfId="151" priority="32" operator="notContains" text="N/A">
      <formula>ISERROR(SEARCH("N/A",AM14))</formula>
    </cfRule>
  </conditionalFormatting>
  <conditionalFormatting sqref="AS15">
    <cfRule type="notContainsText" dxfId="150" priority="31" operator="notContains" text="N/A">
      <formula>ISERROR(SEARCH("N/A",AS15))</formula>
    </cfRule>
  </conditionalFormatting>
  <conditionalFormatting sqref="BS6:BW17 BS22:BW31 BY6:CC17 BY22:CC31">
    <cfRule type="notContainsText" dxfId="149" priority="15" operator="notContains" text="N/A">
      <formula>ISERROR(SEARCH("N/A",BS6))</formula>
    </cfRule>
  </conditionalFormatting>
  <conditionalFormatting sqref="BG6:BK17 BG22:BK31">
    <cfRule type="notContainsText" dxfId="148" priority="12" operator="notContains" text="N/A">
      <formula>ISERROR(SEARCH("N/A",BG6))</formula>
    </cfRule>
  </conditionalFormatting>
  <conditionalFormatting sqref="BM6:BQ17 BM22:BQ31">
    <cfRule type="notContainsText" dxfId="147" priority="11" operator="notContains" text="N/A">
      <formula>ISERROR(SEARCH("N/A",BM6))</formula>
    </cfRule>
  </conditionalFormatting>
  <conditionalFormatting sqref="CG5:CH5 CH6 CH10 CH14 CG7:CH9 CG11:CH13 CG15:CH48">
    <cfRule type="notContainsText" dxfId="146" priority="10" operator="notContains" text="N/A">
      <formula>ISERROR(SEARCH("N/A",CG5))</formula>
    </cfRule>
  </conditionalFormatting>
  <conditionalFormatting sqref="CI5:CK48">
    <cfRule type="notContainsText" dxfId="145" priority="9" operator="notContains" text="N/A">
      <formula>ISERROR(SEARCH("N/A",CI5))</formula>
    </cfRule>
  </conditionalFormatting>
  <conditionalFormatting sqref="CN7 CN11 CM16:CN48 CN15 CM5:CN6 CM8:CN10 CM12:CN14">
    <cfRule type="notContainsText" dxfId="144" priority="8" operator="notContains" text="N/A">
      <formula>ISERROR(SEARCH("N/A",CM5))</formula>
    </cfRule>
  </conditionalFormatting>
  <conditionalFormatting sqref="CO5:CQ48">
    <cfRule type="notContainsText" dxfId="143" priority="7" operator="notContains" text="N/A">
      <formula>ISERROR(SEARCH("N/A",CO5))</formula>
    </cfRule>
  </conditionalFormatting>
  <conditionalFormatting sqref="CG6">
    <cfRule type="notContainsText" dxfId="142" priority="6" operator="notContains" text="N/A">
      <formula>ISERROR(SEARCH("N/A",CG6))</formula>
    </cfRule>
  </conditionalFormatting>
  <conditionalFormatting sqref="CM7">
    <cfRule type="notContainsText" dxfId="141" priority="5" operator="notContains" text="N/A">
      <formula>ISERROR(SEARCH("N/A",CM7))</formula>
    </cfRule>
  </conditionalFormatting>
  <conditionalFormatting sqref="CG10">
    <cfRule type="notContainsText" dxfId="140" priority="4" operator="notContains" text="N/A">
      <formula>ISERROR(SEARCH("N/A",CG10))</formula>
    </cfRule>
  </conditionalFormatting>
  <conditionalFormatting sqref="CM11">
    <cfRule type="notContainsText" dxfId="139" priority="3" operator="notContains" text="N/A">
      <formula>ISERROR(SEARCH("N/A",CM11))</formula>
    </cfRule>
  </conditionalFormatting>
  <conditionalFormatting sqref="CG14">
    <cfRule type="notContainsText" dxfId="138" priority="2" operator="notContains" text="N/A">
      <formula>ISERROR(SEARCH("N/A",CG14))</formula>
    </cfRule>
  </conditionalFormatting>
  <conditionalFormatting sqref="CM15">
    <cfRule type="notContainsText" dxfId="137" priority="1" operator="notContains" text="N/A">
      <formula>ISERROR(SEARCH("N/A",CM15))</formula>
    </cfRule>
  </conditionalFormatting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PowerDistribute.PowerDistribute">
                <anchor moveWithCells="1" sizeWithCells="1">
                  <from>
                    <xdr:col>39</xdr:col>
                    <xdr:colOff>190500</xdr:colOff>
                    <xdr:row>49</xdr:row>
                    <xdr:rowOff>0</xdr:rowOff>
                  </from>
                  <to>
                    <xdr:col>46</xdr:col>
                    <xdr:colOff>411480</xdr:colOff>
                    <xdr:row>50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>
    <tabColor theme="6" tint="-0.499984740745262"/>
  </sheetPr>
  <dimension ref="B1:BH72"/>
  <sheetViews>
    <sheetView showGridLines="0" topLeftCell="B3" zoomScale="70" zoomScaleNormal="70" workbookViewId="0">
      <selection activeCell="P24" sqref="P24"/>
    </sheetView>
  </sheetViews>
  <sheetFormatPr defaultColWidth="9.109375" defaultRowHeight="14.4" x14ac:dyDescent="0.3"/>
  <cols>
    <col min="1" max="1" width="3.109375" style="237" customWidth="1"/>
    <col min="2" max="2" width="4.109375" style="237" bestFit="1" customWidth="1"/>
    <col min="3" max="3" width="16.44140625" style="237" bestFit="1" customWidth="1"/>
    <col min="4" max="4" width="15.109375" style="237" bestFit="1" customWidth="1"/>
    <col min="5" max="5" width="13.109375" style="237" bestFit="1" customWidth="1"/>
    <col min="6" max="6" width="15.6640625" style="237" bestFit="1" customWidth="1"/>
    <col min="7" max="7" width="15.6640625" style="237" customWidth="1"/>
    <col min="8" max="8" width="4.109375" style="237" bestFit="1" customWidth="1"/>
    <col min="9" max="9" width="16.44140625" style="237" bestFit="1" customWidth="1"/>
    <col min="10" max="10" width="15.109375" style="237" bestFit="1" customWidth="1"/>
    <col min="11" max="11" width="13.109375" style="237" bestFit="1" customWidth="1"/>
    <col min="12" max="12" width="15.6640625" style="237" bestFit="1" customWidth="1"/>
    <col min="13" max="13" width="15.6640625" style="237" customWidth="1"/>
    <col min="14" max="14" width="2" style="237" customWidth="1"/>
    <col min="15" max="15" width="3.33203125" style="237" customWidth="1"/>
    <col min="16" max="16" width="15" style="237" bestFit="1" customWidth="1"/>
    <col min="17" max="17" width="2.44140625" style="237" customWidth="1"/>
    <col min="18" max="18" width="1" style="237" customWidth="1"/>
    <col min="19" max="19" width="4.5546875" style="524" customWidth="1"/>
    <col min="20" max="24" width="11.6640625" style="237" customWidth="1"/>
    <col min="25" max="25" width="4.5546875" style="237" bestFit="1" customWidth="1"/>
    <col min="26" max="30" width="11.6640625" style="237" customWidth="1"/>
    <col min="31" max="31" width="2.5546875" style="237" customWidth="1"/>
    <col min="32" max="36" width="11.6640625" style="237" customWidth="1"/>
    <col min="37" max="37" width="4.5546875" style="131" customWidth="1"/>
    <col min="38" max="42" width="11.6640625" style="237" customWidth="1"/>
    <col min="43" max="43" width="4.5546875" style="368" customWidth="1"/>
    <col min="44" max="44" width="3.44140625" style="237" customWidth="1"/>
    <col min="45" max="45" width="15" style="237" bestFit="1" customWidth="1"/>
    <col min="46" max="46" width="3.44140625" style="237" customWidth="1"/>
    <col min="47" max="47" width="1.5546875" style="237" customWidth="1"/>
    <col min="48" max="48" width="16.44140625" style="237" bestFit="1" customWidth="1"/>
    <col min="49" max="49" width="15.109375" style="237" bestFit="1" customWidth="1"/>
    <col min="50" max="50" width="13.109375" style="237" bestFit="1" customWidth="1"/>
    <col min="51" max="51" width="15.6640625" style="237" bestFit="1" customWidth="1"/>
    <col min="52" max="52" width="15.6640625" style="237" customWidth="1"/>
    <col min="53" max="53" width="4.33203125" style="237" customWidth="1"/>
    <col min="54" max="54" width="16.44140625" style="237" bestFit="1" customWidth="1"/>
    <col min="55" max="55" width="15.109375" style="237" bestFit="1" customWidth="1"/>
    <col min="56" max="56" width="13.109375" style="237" bestFit="1" customWidth="1"/>
    <col min="57" max="57" width="15.6640625" style="237" bestFit="1" customWidth="1"/>
    <col min="58" max="58" width="15.6640625" style="237" customWidth="1"/>
    <col min="59" max="59" width="4.109375" style="237" bestFit="1" customWidth="1"/>
    <col min="60" max="16384" width="9.109375" style="237"/>
  </cols>
  <sheetData>
    <row r="1" spans="2:60" ht="15" customHeight="1" x14ac:dyDescent="0.3">
      <c r="B1" s="295"/>
      <c r="C1" s="826" t="s">
        <v>545</v>
      </c>
      <c r="D1" s="827"/>
      <c r="E1" s="827"/>
      <c r="F1" s="827"/>
      <c r="G1" s="827"/>
      <c r="H1" s="827"/>
      <c r="I1" s="827"/>
      <c r="J1" s="827"/>
      <c r="K1" s="827"/>
      <c r="L1" s="827"/>
      <c r="M1" s="827"/>
      <c r="N1" s="235"/>
      <c r="O1" s="827" t="s">
        <v>541</v>
      </c>
      <c r="P1" s="827"/>
      <c r="Q1" s="827"/>
      <c r="R1" s="236"/>
      <c r="S1" s="522"/>
      <c r="T1" s="826" t="s">
        <v>545</v>
      </c>
      <c r="U1" s="827"/>
      <c r="V1" s="827"/>
      <c r="W1" s="827"/>
      <c r="X1" s="827"/>
      <c r="Y1" s="827"/>
      <c r="Z1" s="827"/>
      <c r="AA1" s="827"/>
      <c r="AB1" s="827"/>
      <c r="AC1" s="827"/>
      <c r="AD1" s="827"/>
      <c r="AE1" s="236"/>
      <c r="AF1" s="827" t="s">
        <v>214</v>
      </c>
      <c r="AG1" s="827"/>
      <c r="AH1" s="827"/>
      <c r="AI1" s="827"/>
      <c r="AJ1" s="827"/>
      <c r="AK1" s="827"/>
      <c r="AL1" s="827"/>
      <c r="AM1" s="827"/>
      <c r="AN1" s="827"/>
      <c r="AO1" s="827"/>
      <c r="AP1" s="827"/>
      <c r="AR1" s="827" t="s">
        <v>361</v>
      </c>
      <c r="AS1" s="827"/>
      <c r="AT1" s="827"/>
      <c r="AU1" s="236"/>
      <c r="AV1" s="826" t="s">
        <v>197</v>
      </c>
      <c r="AW1" s="827"/>
      <c r="AX1" s="827"/>
      <c r="AY1" s="827"/>
      <c r="AZ1" s="827"/>
      <c r="BA1" s="827"/>
      <c r="BB1" s="827"/>
      <c r="BC1" s="827"/>
      <c r="BD1" s="827"/>
      <c r="BE1" s="827"/>
      <c r="BF1" s="827"/>
      <c r="BG1" s="236"/>
    </row>
    <row r="2" spans="2:60" ht="15.75" customHeight="1" thickBot="1" x14ac:dyDescent="0.35">
      <c r="B2" s="296"/>
      <c r="C2" s="827" t="s">
        <v>354</v>
      </c>
      <c r="D2" s="827"/>
      <c r="E2" s="827"/>
      <c r="F2" s="939"/>
      <c r="G2" s="342"/>
      <c r="H2" s="296"/>
      <c r="I2" s="827" t="s">
        <v>360</v>
      </c>
      <c r="J2" s="827"/>
      <c r="K2" s="827"/>
      <c r="L2" s="827"/>
      <c r="M2" s="342"/>
      <c r="N2" s="235"/>
      <c r="O2" s="827"/>
      <c r="P2" s="827"/>
      <c r="Q2" s="827"/>
      <c r="R2" s="236"/>
      <c r="S2" s="523"/>
      <c r="T2" s="915" t="s">
        <v>354</v>
      </c>
      <c r="U2" s="915"/>
      <c r="V2" s="915"/>
      <c r="W2" s="915"/>
      <c r="X2" s="342"/>
      <c r="Y2" s="342"/>
      <c r="Z2" s="915" t="s">
        <v>360</v>
      </c>
      <c r="AA2" s="915"/>
      <c r="AB2" s="915"/>
      <c r="AC2" s="915"/>
      <c r="AD2" s="342"/>
      <c r="AE2" s="236"/>
      <c r="AF2" s="915" t="s">
        <v>354</v>
      </c>
      <c r="AG2" s="915"/>
      <c r="AH2" s="915"/>
      <c r="AI2" s="915"/>
      <c r="AJ2" s="527"/>
      <c r="AK2" s="351"/>
      <c r="AL2" s="915" t="s">
        <v>360</v>
      </c>
      <c r="AM2" s="915"/>
      <c r="AN2" s="915"/>
      <c r="AO2" s="915"/>
      <c r="AP2" s="342"/>
      <c r="AR2" s="827"/>
      <c r="AS2" s="827"/>
      <c r="AT2" s="827"/>
      <c r="AU2" s="236"/>
      <c r="AV2" s="827" t="s">
        <v>354</v>
      </c>
      <c r="AW2" s="827"/>
      <c r="AX2" s="827"/>
      <c r="AY2" s="939"/>
      <c r="AZ2" s="342"/>
      <c r="BA2" s="296"/>
      <c r="BB2" s="827" t="s">
        <v>360</v>
      </c>
      <c r="BC2" s="827"/>
      <c r="BD2" s="827"/>
      <c r="BE2" s="827"/>
      <c r="BF2" s="342"/>
      <c r="BG2" s="236"/>
    </row>
    <row r="3" spans="2:60" ht="15" thickBot="1" x14ac:dyDescent="0.35">
      <c r="B3" s="247" t="s">
        <v>192</v>
      </c>
      <c r="C3" s="297" t="s">
        <v>219</v>
      </c>
      <c r="D3" s="231" t="s">
        <v>220</v>
      </c>
      <c r="E3" s="231" t="s">
        <v>332</v>
      </c>
      <c r="F3" s="231" t="s">
        <v>333</v>
      </c>
      <c r="G3" s="231" t="s">
        <v>535</v>
      </c>
      <c r="H3" s="247" t="s">
        <v>192</v>
      </c>
      <c r="I3" s="297" t="s">
        <v>219</v>
      </c>
      <c r="J3" s="231" t="s">
        <v>220</v>
      </c>
      <c r="K3" s="231" t="s">
        <v>332</v>
      </c>
      <c r="L3" s="231" t="s">
        <v>333</v>
      </c>
      <c r="M3" s="231" t="s">
        <v>535</v>
      </c>
      <c r="N3" s="516"/>
      <c r="O3" s="517"/>
      <c r="P3" s="231" t="s">
        <v>354</v>
      </c>
      <c r="Q3" s="236"/>
      <c r="R3" s="236"/>
      <c r="S3" s="242" t="s">
        <v>191</v>
      </c>
      <c r="T3" s="243" t="s">
        <v>217</v>
      </c>
      <c r="U3" s="243" t="s">
        <v>218</v>
      </c>
      <c r="V3" s="243" t="s">
        <v>330</v>
      </c>
      <c r="W3" s="244" t="s">
        <v>331</v>
      </c>
      <c r="X3" s="350" t="s">
        <v>536</v>
      </c>
      <c r="Y3" s="350"/>
      <c r="Z3" s="243" t="s">
        <v>217</v>
      </c>
      <c r="AA3" s="243" t="s">
        <v>218</v>
      </c>
      <c r="AB3" s="243" t="s">
        <v>330</v>
      </c>
      <c r="AC3" s="521" t="s">
        <v>331</v>
      </c>
      <c r="AD3" s="530" t="s">
        <v>536</v>
      </c>
      <c r="AE3" s="517"/>
      <c r="AF3" s="243" t="s">
        <v>217</v>
      </c>
      <c r="AG3" s="243" t="s">
        <v>218</v>
      </c>
      <c r="AH3" s="243" t="s">
        <v>330</v>
      </c>
      <c r="AI3" s="244" t="s">
        <v>331</v>
      </c>
      <c r="AJ3" s="243" t="s">
        <v>536</v>
      </c>
      <c r="AK3" s="360" t="s">
        <v>191</v>
      </c>
      <c r="AL3" s="243" t="s">
        <v>217</v>
      </c>
      <c r="AM3" s="243" t="s">
        <v>218</v>
      </c>
      <c r="AN3" s="243" t="s">
        <v>330</v>
      </c>
      <c r="AO3" s="244" t="s">
        <v>331</v>
      </c>
      <c r="AP3" s="243" t="s">
        <v>536</v>
      </c>
      <c r="AQ3" s="360" t="s">
        <v>191</v>
      </c>
      <c r="AR3" s="236"/>
      <c r="AS3" s="231" t="s">
        <v>354</v>
      </c>
      <c r="AT3" s="236"/>
      <c r="AU3" s="236"/>
      <c r="AV3" s="297" t="s">
        <v>219</v>
      </c>
      <c r="AW3" s="231" t="s">
        <v>220</v>
      </c>
      <c r="AX3" s="231" t="s">
        <v>332</v>
      </c>
      <c r="AY3" s="231" t="s">
        <v>333</v>
      </c>
      <c r="AZ3" s="231" t="s">
        <v>535</v>
      </c>
      <c r="BA3" s="247" t="s">
        <v>192</v>
      </c>
      <c r="BB3" s="297" t="s">
        <v>219</v>
      </c>
      <c r="BC3" s="231" t="s">
        <v>220</v>
      </c>
      <c r="BD3" s="231" t="s">
        <v>332</v>
      </c>
      <c r="BE3" s="231" t="s">
        <v>333</v>
      </c>
      <c r="BF3" s="231" t="s">
        <v>535</v>
      </c>
      <c r="BG3" s="236"/>
    </row>
    <row r="4" spans="2:60" ht="15" thickBot="1" x14ac:dyDescent="0.35">
      <c r="B4" s="256">
        <v>1</v>
      </c>
      <c r="C4" s="257" t="str">
        <f t="shared" ref="C4:C18" si="0">T4</f>
        <v>N/A</v>
      </c>
      <c r="D4" s="257" t="str">
        <f t="shared" ref="D4:D18" si="1">U4</f>
        <v>N/A</v>
      </c>
      <c r="E4" s="257" t="str">
        <f t="shared" ref="E4:E18" si="2">V4</f>
        <v>N/A</v>
      </c>
      <c r="F4" s="257" t="str">
        <f t="shared" ref="F4:G18" si="3">W4</f>
        <v>N/A</v>
      </c>
      <c r="G4" s="257" t="str">
        <f t="shared" si="3"/>
        <v>N/A</v>
      </c>
      <c r="H4" s="357">
        <v>1</v>
      </c>
      <c r="I4" s="257" t="str">
        <f>Z4</f>
        <v>N/A</v>
      </c>
      <c r="J4" s="257" t="str">
        <f>AA4</f>
        <v>N/A</v>
      </c>
      <c r="K4" s="257" t="str">
        <f>AB4</f>
        <v>N/A</v>
      </c>
      <c r="L4" s="257" t="str">
        <f>AC4</f>
        <v>N/A</v>
      </c>
      <c r="M4" s="257" t="str">
        <f>AD4</f>
        <v>N/A</v>
      </c>
      <c r="N4" s="512"/>
      <c r="O4" s="513" t="s">
        <v>357</v>
      </c>
      <c r="P4" s="299">
        <f>SQRT((POWER(P9,2))+(POWER(P11,2))+(P9*P11))</f>
        <v>0</v>
      </c>
      <c r="Q4" s="298"/>
      <c r="R4" s="236" t="s">
        <v>336</v>
      </c>
      <c r="S4" s="361">
        <v>1</v>
      </c>
      <c r="T4" s="246" t="s">
        <v>336</v>
      </c>
      <c r="U4" s="246" t="s">
        <v>336</v>
      </c>
      <c r="V4" s="246" t="s">
        <v>336</v>
      </c>
      <c r="W4" s="246" t="s">
        <v>336</v>
      </c>
      <c r="X4" s="246" t="s">
        <v>336</v>
      </c>
      <c r="Y4" s="369">
        <v>1</v>
      </c>
      <c r="Z4" s="246" t="s">
        <v>336</v>
      </c>
      <c r="AA4" s="246" t="s">
        <v>336</v>
      </c>
      <c r="AB4" s="246" t="s">
        <v>336</v>
      </c>
      <c r="AC4" s="246" t="s">
        <v>336</v>
      </c>
      <c r="AD4" s="246" t="s">
        <v>336</v>
      </c>
      <c r="AE4" s="236"/>
      <c r="AF4" s="246" t="s">
        <v>336</v>
      </c>
      <c r="AG4" s="246" t="s">
        <v>336</v>
      </c>
      <c r="AH4" s="246" t="s">
        <v>336</v>
      </c>
      <c r="AI4" s="246" t="s">
        <v>336</v>
      </c>
      <c r="AJ4" s="246" t="s">
        <v>336</v>
      </c>
      <c r="AK4" s="361">
        <v>1</v>
      </c>
      <c r="AL4" s="246" t="s">
        <v>336</v>
      </c>
      <c r="AM4" s="246" t="s">
        <v>336</v>
      </c>
      <c r="AN4" s="246" t="s">
        <v>336</v>
      </c>
      <c r="AO4" s="246" t="s">
        <v>336</v>
      </c>
      <c r="AP4" s="246" t="s">
        <v>336</v>
      </c>
      <c r="AQ4" s="369">
        <v>1</v>
      </c>
      <c r="AR4" s="298" t="s">
        <v>357</v>
      </c>
      <c r="AS4" s="299">
        <f>SQRT((POWER(AW59,2))+(POWER(AW71,2))+(AW59*AW71))</f>
        <v>0</v>
      </c>
      <c r="AT4" s="298"/>
      <c r="AU4" s="236"/>
      <c r="AV4" s="257" t="str">
        <f>AF4</f>
        <v>N/A</v>
      </c>
      <c r="AW4" s="257" t="str">
        <f>AG4</f>
        <v>N/A</v>
      </c>
      <c r="AX4" s="257" t="str">
        <f>AH4</f>
        <v>N/A</v>
      </c>
      <c r="AY4" s="257" t="str">
        <f>AI4</f>
        <v>N/A</v>
      </c>
      <c r="AZ4" s="257" t="str">
        <f>AJ4</f>
        <v>N/A</v>
      </c>
      <c r="BA4" s="256">
        <v>1</v>
      </c>
      <c r="BB4" s="257" t="str">
        <f>AL4</f>
        <v>N/A</v>
      </c>
      <c r="BC4" s="257" t="str">
        <f t="shared" ref="BC4:BF18" si="4">AM4</f>
        <v>N/A</v>
      </c>
      <c r="BD4" s="257" t="str">
        <f t="shared" si="4"/>
        <v>N/A</v>
      </c>
      <c r="BE4" s="257" t="str">
        <f t="shared" si="4"/>
        <v>N/A</v>
      </c>
      <c r="BF4" s="257" t="str">
        <f t="shared" si="4"/>
        <v>N/A</v>
      </c>
      <c r="BG4" s="369">
        <v>1</v>
      </c>
    </row>
    <row r="5" spans="2:60" ht="15" thickBot="1" x14ac:dyDescent="0.35">
      <c r="B5" s="264">
        <v>2</v>
      </c>
      <c r="C5" s="265" t="str">
        <f t="shared" si="0"/>
        <v>N/A</v>
      </c>
      <c r="D5" s="265" t="str">
        <f t="shared" si="1"/>
        <v>N/A</v>
      </c>
      <c r="E5" s="265" t="str">
        <f t="shared" si="2"/>
        <v>N/A</v>
      </c>
      <c r="F5" s="265" t="str">
        <f t="shared" si="3"/>
        <v>N/A</v>
      </c>
      <c r="G5" s="265" t="str">
        <f t="shared" si="3"/>
        <v>N/A</v>
      </c>
      <c r="H5" s="358">
        <v>2</v>
      </c>
      <c r="I5" s="265" t="str">
        <f>Z5</f>
        <v>N/A</v>
      </c>
      <c r="J5" s="265" t="str">
        <f t="shared" ref="J5:J18" si="5">AA5</f>
        <v>N/A</v>
      </c>
      <c r="K5" s="265" t="str">
        <f t="shared" ref="K5:K18" si="6">AB5</f>
        <v>N/A</v>
      </c>
      <c r="L5" s="265" t="str">
        <f t="shared" ref="L5:M18" si="7">AC5</f>
        <v>N/A</v>
      </c>
      <c r="M5" s="265" t="str">
        <f t="shared" si="7"/>
        <v>N/A</v>
      </c>
      <c r="N5" s="518"/>
      <c r="O5" s="519" t="s">
        <v>358</v>
      </c>
      <c r="P5" s="299">
        <f>SQRT((POWER(P10,2))+(POWER(P9,2))+(P10*P9))</f>
        <v>0</v>
      </c>
      <c r="Q5" s="298" t="s">
        <v>355</v>
      </c>
      <c r="R5" s="236" t="s">
        <v>336</v>
      </c>
      <c r="S5" s="362">
        <v>2</v>
      </c>
      <c r="T5" s="254" t="s">
        <v>336</v>
      </c>
      <c r="U5" s="254" t="s">
        <v>336</v>
      </c>
      <c r="V5" s="254" t="s">
        <v>336</v>
      </c>
      <c r="W5" s="255" t="s">
        <v>336</v>
      </c>
      <c r="X5" s="255" t="s">
        <v>336</v>
      </c>
      <c r="Y5" s="370">
        <v>2</v>
      </c>
      <c r="Z5" s="254" t="s">
        <v>336</v>
      </c>
      <c r="AA5" s="255" t="s">
        <v>336</v>
      </c>
      <c r="AB5" s="254" t="s">
        <v>336</v>
      </c>
      <c r="AC5" s="254" t="s">
        <v>336</v>
      </c>
      <c r="AD5" s="255" t="s">
        <v>336</v>
      </c>
      <c r="AE5" s="236"/>
      <c r="AF5" s="254" t="s">
        <v>336</v>
      </c>
      <c r="AG5" s="254" t="s">
        <v>336</v>
      </c>
      <c r="AH5" s="254" t="s">
        <v>336</v>
      </c>
      <c r="AI5" s="255" t="s">
        <v>336</v>
      </c>
      <c r="AJ5" s="255" t="s">
        <v>336</v>
      </c>
      <c r="AK5" s="362">
        <v>2</v>
      </c>
      <c r="AL5" s="254" t="s">
        <v>336</v>
      </c>
      <c r="AM5" s="254" t="s">
        <v>336</v>
      </c>
      <c r="AN5" s="254" t="s">
        <v>336</v>
      </c>
      <c r="AO5" s="255" t="s">
        <v>336</v>
      </c>
      <c r="AP5" s="255" t="s">
        <v>336</v>
      </c>
      <c r="AQ5" s="370">
        <v>2</v>
      </c>
      <c r="AR5" s="298" t="s">
        <v>358</v>
      </c>
      <c r="AS5" s="299">
        <f>SQRT((POWER(AW65,2))+(POWER(AW59,2))+(AW65*AW59))</f>
        <v>0</v>
      </c>
      <c r="AT5" s="298" t="s">
        <v>355</v>
      </c>
      <c r="AU5" s="236"/>
      <c r="AV5" s="265" t="str">
        <f>AF5</f>
        <v>N/A</v>
      </c>
      <c r="AW5" s="265" t="str">
        <f t="shared" ref="AW5:AW18" si="8">AG5</f>
        <v>N/A</v>
      </c>
      <c r="AX5" s="265" t="str">
        <f t="shared" ref="AX5:AX18" si="9">AH5</f>
        <v>N/A</v>
      </c>
      <c r="AY5" s="265" t="str">
        <f t="shared" ref="AY5:AZ18" si="10">AI5</f>
        <v>N/A</v>
      </c>
      <c r="AZ5" s="265" t="str">
        <f t="shared" si="10"/>
        <v>N/A</v>
      </c>
      <c r="BA5" s="264">
        <v>2</v>
      </c>
      <c r="BB5" s="265" t="str">
        <f t="shared" ref="BB5:BB18" si="11">AL5</f>
        <v>N/A</v>
      </c>
      <c r="BC5" s="265" t="str">
        <f t="shared" si="4"/>
        <v>N/A</v>
      </c>
      <c r="BD5" s="265" t="str">
        <f t="shared" si="4"/>
        <v>N/A</v>
      </c>
      <c r="BE5" s="265" t="str">
        <f t="shared" si="4"/>
        <v>N/A</v>
      </c>
      <c r="BF5" s="265" t="str">
        <f t="shared" si="4"/>
        <v>N/A</v>
      </c>
      <c r="BG5" s="369">
        <v>2</v>
      </c>
    </row>
    <row r="6" spans="2:60" ht="15" thickBot="1" x14ac:dyDescent="0.35">
      <c r="B6" s="256">
        <v>3</v>
      </c>
      <c r="C6" s="257" t="str">
        <f t="shared" si="0"/>
        <v>N/A</v>
      </c>
      <c r="D6" s="257" t="str">
        <f t="shared" si="1"/>
        <v>N/A</v>
      </c>
      <c r="E6" s="257" t="str">
        <f t="shared" si="2"/>
        <v>N/A</v>
      </c>
      <c r="F6" s="257" t="str">
        <f t="shared" si="3"/>
        <v>N/A</v>
      </c>
      <c r="G6" s="257" t="str">
        <f t="shared" si="3"/>
        <v>N/A</v>
      </c>
      <c r="H6" s="357">
        <v>3</v>
      </c>
      <c r="I6" s="359" t="str">
        <f t="shared" ref="I6:I18" si="12">Z6</f>
        <v>N/A</v>
      </c>
      <c r="J6" s="359" t="str">
        <f t="shared" si="5"/>
        <v>N/A</v>
      </c>
      <c r="K6" s="359" t="str">
        <f t="shared" si="6"/>
        <v>N/A</v>
      </c>
      <c r="L6" s="359" t="str">
        <f t="shared" si="7"/>
        <v>N/A</v>
      </c>
      <c r="M6" s="359" t="str">
        <f t="shared" si="7"/>
        <v>N/A</v>
      </c>
      <c r="N6" s="514"/>
      <c r="O6" s="513">
        <v>1.83</v>
      </c>
      <c r="P6" s="299">
        <f>SQRT((POWER(P11,2))+(POWER(P11,2))+(P11*P10))</f>
        <v>0</v>
      </c>
      <c r="Q6" s="298"/>
      <c r="R6" s="236" t="s">
        <v>336</v>
      </c>
      <c r="S6" s="361">
        <v>3</v>
      </c>
      <c r="T6" s="246" t="s">
        <v>336</v>
      </c>
      <c r="U6" s="246" t="s">
        <v>336</v>
      </c>
      <c r="V6" s="246" t="s">
        <v>336</v>
      </c>
      <c r="W6" s="246" t="s">
        <v>336</v>
      </c>
      <c r="X6" s="246" t="s">
        <v>336</v>
      </c>
      <c r="Y6" s="369">
        <v>3</v>
      </c>
      <c r="Z6" s="246" t="s">
        <v>336</v>
      </c>
      <c r="AA6" s="246" t="s">
        <v>336</v>
      </c>
      <c r="AB6" s="246" t="s">
        <v>336</v>
      </c>
      <c r="AC6" s="246" t="s">
        <v>336</v>
      </c>
      <c r="AD6" s="246" t="s">
        <v>336</v>
      </c>
      <c r="AE6" s="236"/>
      <c r="AF6" s="246" t="s">
        <v>336</v>
      </c>
      <c r="AG6" s="246" t="s">
        <v>336</v>
      </c>
      <c r="AH6" s="246" t="s">
        <v>336</v>
      </c>
      <c r="AI6" s="246" t="s">
        <v>336</v>
      </c>
      <c r="AJ6" s="246" t="s">
        <v>336</v>
      </c>
      <c r="AK6" s="361">
        <v>3</v>
      </c>
      <c r="AL6" s="246" t="s">
        <v>336</v>
      </c>
      <c r="AM6" s="246" t="s">
        <v>336</v>
      </c>
      <c r="AN6" s="246" t="s">
        <v>336</v>
      </c>
      <c r="AO6" s="246" t="s">
        <v>336</v>
      </c>
      <c r="AP6" s="246" t="s">
        <v>336</v>
      </c>
      <c r="AQ6" s="369">
        <v>3</v>
      </c>
      <c r="AR6" s="298" t="s">
        <v>359</v>
      </c>
      <c r="AS6" s="299">
        <f>SQRT((POWER(AW71,2))+(POWER(AW65,2))+(AW71*AW65))</f>
        <v>0</v>
      </c>
      <c r="AT6" s="298"/>
      <c r="AU6" s="236"/>
      <c r="AV6" s="257" t="str">
        <f>AF6</f>
        <v>N/A</v>
      </c>
      <c r="AW6" s="257" t="str">
        <f t="shared" si="8"/>
        <v>N/A</v>
      </c>
      <c r="AX6" s="257" t="str">
        <f t="shared" si="9"/>
        <v>N/A</v>
      </c>
      <c r="AY6" s="257" t="str">
        <f t="shared" si="10"/>
        <v>N/A</v>
      </c>
      <c r="AZ6" s="257" t="str">
        <f t="shared" si="10"/>
        <v>N/A</v>
      </c>
      <c r="BA6" s="256">
        <v>3</v>
      </c>
      <c r="BB6" s="257" t="str">
        <f t="shared" si="11"/>
        <v>N/A</v>
      </c>
      <c r="BC6" s="257" t="str">
        <f t="shared" si="4"/>
        <v>N/A</v>
      </c>
      <c r="BD6" s="257" t="str">
        <f t="shared" si="4"/>
        <v>N/A</v>
      </c>
      <c r="BE6" s="257" t="str">
        <f t="shared" si="4"/>
        <v>N/A</v>
      </c>
      <c r="BF6" s="257" t="str">
        <f t="shared" si="4"/>
        <v>N/A</v>
      </c>
      <c r="BG6" s="370">
        <v>3</v>
      </c>
    </row>
    <row r="7" spans="2:60" ht="15" thickBot="1" x14ac:dyDescent="0.35">
      <c r="B7" s="264">
        <v>4</v>
      </c>
      <c r="C7" s="265" t="str">
        <f t="shared" si="0"/>
        <v>N/A</v>
      </c>
      <c r="D7" s="265" t="str">
        <f t="shared" si="1"/>
        <v>N/A</v>
      </c>
      <c r="E7" s="265" t="str">
        <f t="shared" si="2"/>
        <v>N/A</v>
      </c>
      <c r="F7" s="265" t="str">
        <f t="shared" si="3"/>
        <v>N/A</v>
      </c>
      <c r="G7" s="265" t="str">
        <f t="shared" si="3"/>
        <v>N/A</v>
      </c>
      <c r="H7" s="358">
        <v>4</v>
      </c>
      <c r="I7" s="265" t="str">
        <f t="shared" si="12"/>
        <v>N/A</v>
      </c>
      <c r="J7" s="265" t="str">
        <f t="shared" si="5"/>
        <v>N/A</v>
      </c>
      <c r="K7" s="265" t="str">
        <f t="shared" si="6"/>
        <v>N/A</v>
      </c>
      <c r="L7" s="265" t="str">
        <f t="shared" si="7"/>
        <v>N/A</v>
      </c>
      <c r="M7" s="265" t="str">
        <f t="shared" si="7"/>
        <v>N/A</v>
      </c>
      <c r="N7" s="520"/>
      <c r="O7" s="517"/>
      <c r="P7" s="236"/>
      <c r="Q7" s="236"/>
      <c r="R7" s="236" t="s">
        <v>336</v>
      </c>
      <c r="S7" s="362">
        <v>4</v>
      </c>
      <c r="T7" s="254" t="s">
        <v>336</v>
      </c>
      <c r="U7" s="254" t="s">
        <v>336</v>
      </c>
      <c r="V7" s="254" t="s">
        <v>336</v>
      </c>
      <c r="W7" s="254" t="s">
        <v>336</v>
      </c>
      <c r="X7" s="254" t="s">
        <v>336</v>
      </c>
      <c r="Y7" s="370">
        <v>4</v>
      </c>
      <c r="Z7" s="254" t="s">
        <v>336</v>
      </c>
      <c r="AA7" s="254" t="s">
        <v>336</v>
      </c>
      <c r="AB7" s="254" t="s">
        <v>336</v>
      </c>
      <c r="AC7" s="254" t="s">
        <v>336</v>
      </c>
      <c r="AD7" s="254" t="s">
        <v>336</v>
      </c>
      <c r="AE7" s="236"/>
      <c r="AF7" s="254" t="s">
        <v>336</v>
      </c>
      <c r="AG7" s="254" t="s">
        <v>336</v>
      </c>
      <c r="AH7" s="254" t="s">
        <v>336</v>
      </c>
      <c r="AI7" s="254" t="s">
        <v>336</v>
      </c>
      <c r="AJ7" s="254" t="s">
        <v>336</v>
      </c>
      <c r="AK7" s="362">
        <v>4</v>
      </c>
      <c r="AL7" s="254" t="s">
        <v>336</v>
      </c>
      <c r="AM7" s="254" t="s">
        <v>336</v>
      </c>
      <c r="AN7" s="254" t="s">
        <v>336</v>
      </c>
      <c r="AO7" s="254" t="s">
        <v>336</v>
      </c>
      <c r="AP7" s="254" t="s">
        <v>336</v>
      </c>
      <c r="AQ7" s="370">
        <v>4</v>
      </c>
      <c r="AR7" s="236"/>
      <c r="AS7" s="236"/>
      <c r="AT7" s="236"/>
      <c r="AU7" s="236"/>
      <c r="AV7" s="265" t="str">
        <f t="shared" ref="AV7:AV18" si="13">AF7</f>
        <v>N/A</v>
      </c>
      <c r="AW7" s="265" t="str">
        <f t="shared" si="8"/>
        <v>N/A</v>
      </c>
      <c r="AX7" s="265" t="str">
        <f t="shared" si="9"/>
        <v>N/A</v>
      </c>
      <c r="AY7" s="265" t="str">
        <f t="shared" si="10"/>
        <v>N/A</v>
      </c>
      <c r="AZ7" s="265" t="str">
        <f t="shared" si="10"/>
        <v>N/A</v>
      </c>
      <c r="BA7" s="264">
        <v>4</v>
      </c>
      <c r="BB7" s="265" t="str">
        <f t="shared" si="11"/>
        <v>N/A</v>
      </c>
      <c r="BC7" s="265" t="str">
        <f t="shared" si="4"/>
        <v>N/A</v>
      </c>
      <c r="BD7" s="265" t="str">
        <f t="shared" si="4"/>
        <v>N/A</v>
      </c>
      <c r="BE7" s="265" t="str">
        <f t="shared" si="4"/>
        <v>N/A</v>
      </c>
      <c r="BF7" s="265" t="str">
        <f t="shared" si="4"/>
        <v>N/A</v>
      </c>
      <c r="BG7" s="369">
        <v>4</v>
      </c>
    </row>
    <row r="8" spans="2:60" ht="15" thickBot="1" x14ac:dyDescent="0.35">
      <c r="B8" s="256">
        <v>5</v>
      </c>
      <c r="C8" s="257" t="str">
        <f t="shared" si="0"/>
        <v>N/A</v>
      </c>
      <c r="D8" s="257" t="str">
        <f t="shared" si="1"/>
        <v>N/A</v>
      </c>
      <c r="E8" s="257" t="str">
        <f t="shared" si="2"/>
        <v>N/A</v>
      </c>
      <c r="F8" s="257" t="str">
        <f t="shared" si="3"/>
        <v>N/A</v>
      </c>
      <c r="G8" s="257" t="str">
        <f t="shared" si="3"/>
        <v>N/A</v>
      </c>
      <c r="H8" s="357">
        <v>5</v>
      </c>
      <c r="I8" s="359" t="str">
        <f t="shared" si="12"/>
        <v>N/A</v>
      </c>
      <c r="J8" s="359" t="str">
        <f t="shared" si="5"/>
        <v>N/A</v>
      </c>
      <c r="K8" s="359" t="str">
        <f t="shared" si="6"/>
        <v>N/A</v>
      </c>
      <c r="L8" s="359" t="str">
        <f t="shared" si="7"/>
        <v>N/A</v>
      </c>
      <c r="M8" s="359" t="str">
        <f t="shared" si="7"/>
        <v>N/A</v>
      </c>
      <c r="N8" s="514"/>
      <c r="O8" s="515"/>
      <c r="P8" s="231" t="s">
        <v>363</v>
      </c>
      <c r="Q8" s="236"/>
      <c r="R8" s="236" t="s">
        <v>336</v>
      </c>
      <c r="S8" s="361">
        <v>5</v>
      </c>
      <c r="T8" s="246" t="s">
        <v>336</v>
      </c>
      <c r="U8" s="246" t="s">
        <v>336</v>
      </c>
      <c r="V8" s="246" t="s">
        <v>336</v>
      </c>
      <c r="W8" s="246" t="s">
        <v>336</v>
      </c>
      <c r="X8" s="246" t="s">
        <v>336</v>
      </c>
      <c r="Y8" s="369">
        <v>5</v>
      </c>
      <c r="Z8" s="246" t="s">
        <v>336</v>
      </c>
      <c r="AA8" s="246" t="s">
        <v>336</v>
      </c>
      <c r="AB8" s="246" t="s">
        <v>336</v>
      </c>
      <c r="AC8" s="246" t="s">
        <v>336</v>
      </c>
      <c r="AD8" s="246" t="s">
        <v>336</v>
      </c>
      <c r="AE8" s="236"/>
      <c r="AF8" s="246" t="s">
        <v>336</v>
      </c>
      <c r="AG8" s="246" t="s">
        <v>336</v>
      </c>
      <c r="AH8" s="246" t="s">
        <v>336</v>
      </c>
      <c r="AI8" s="246" t="s">
        <v>336</v>
      </c>
      <c r="AJ8" s="246" t="s">
        <v>336</v>
      </c>
      <c r="AK8" s="361">
        <v>5</v>
      </c>
      <c r="AL8" s="246" t="s">
        <v>336</v>
      </c>
      <c r="AM8" s="246" t="s">
        <v>336</v>
      </c>
      <c r="AN8" s="246" t="s">
        <v>336</v>
      </c>
      <c r="AO8" s="246" t="s">
        <v>336</v>
      </c>
      <c r="AP8" s="246" t="s">
        <v>336</v>
      </c>
      <c r="AQ8" s="369">
        <v>5</v>
      </c>
      <c r="AR8" s="236"/>
      <c r="AS8" s="231" t="s">
        <v>363</v>
      </c>
      <c r="AT8" s="236"/>
      <c r="AU8" s="236"/>
      <c r="AV8" s="257" t="str">
        <f t="shared" si="13"/>
        <v>N/A</v>
      </c>
      <c r="AW8" s="257" t="str">
        <f t="shared" si="8"/>
        <v>N/A</v>
      </c>
      <c r="AX8" s="257" t="str">
        <f t="shared" si="9"/>
        <v>N/A</v>
      </c>
      <c r="AY8" s="257" t="str">
        <f t="shared" si="10"/>
        <v>N/A</v>
      </c>
      <c r="AZ8" s="257" t="str">
        <f t="shared" si="10"/>
        <v>N/A</v>
      </c>
      <c r="BA8" s="256">
        <v>5</v>
      </c>
      <c r="BB8" s="257" t="str">
        <f t="shared" si="11"/>
        <v>N/A</v>
      </c>
      <c r="BC8" s="257" t="str">
        <f t="shared" si="4"/>
        <v>N/A</v>
      </c>
      <c r="BD8" s="257" t="str">
        <f t="shared" si="4"/>
        <v>N/A</v>
      </c>
      <c r="BE8" s="257" t="str">
        <f t="shared" si="4"/>
        <v>N/A</v>
      </c>
      <c r="BF8" s="257" t="str">
        <f t="shared" si="4"/>
        <v>N/A</v>
      </c>
      <c r="BG8" s="370">
        <v>5</v>
      </c>
    </row>
    <row r="9" spans="2:60" ht="15" thickBot="1" x14ac:dyDescent="0.35">
      <c r="B9" s="264">
        <v>6</v>
      </c>
      <c r="C9" s="265" t="str">
        <f t="shared" si="0"/>
        <v>N/A</v>
      </c>
      <c r="D9" s="265" t="str">
        <f t="shared" si="1"/>
        <v>N/A</v>
      </c>
      <c r="E9" s="265" t="str">
        <f t="shared" si="2"/>
        <v>N/A</v>
      </c>
      <c r="F9" s="265" t="str">
        <f t="shared" si="3"/>
        <v>N/A</v>
      </c>
      <c r="G9" s="265" t="str">
        <f t="shared" si="3"/>
        <v>N/A</v>
      </c>
      <c r="H9" s="358">
        <v>6</v>
      </c>
      <c r="I9" s="265" t="str">
        <f t="shared" si="12"/>
        <v>N/A</v>
      </c>
      <c r="J9" s="265" t="str">
        <f t="shared" si="5"/>
        <v>N/A</v>
      </c>
      <c r="K9" s="265" t="str">
        <f t="shared" si="6"/>
        <v>N/A</v>
      </c>
      <c r="L9" s="265" t="str">
        <f t="shared" si="7"/>
        <v>N/A</v>
      </c>
      <c r="M9" s="265" t="str">
        <f t="shared" si="7"/>
        <v>N/A</v>
      </c>
      <c r="N9" s="520"/>
      <c r="O9" s="519" t="s">
        <v>364</v>
      </c>
      <c r="P9" s="299">
        <f>D59</f>
        <v>0</v>
      </c>
      <c r="Q9" s="936" t="s">
        <v>355</v>
      </c>
      <c r="R9" s="236" t="s">
        <v>336</v>
      </c>
      <c r="S9" s="362">
        <v>6</v>
      </c>
      <c r="T9" s="254" t="s">
        <v>336</v>
      </c>
      <c r="U9" s="254" t="s">
        <v>336</v>
      </c>
      <c r="V9" s="254" t="s">
        <v>336</v>
      </c>
      <c r="W9" s="254" t="s">
        <v>336</v>
      </c>
      <c r="X9" s="254" t="s">
        <v>336</v>
      </c>
      <c r="Y9" s="370">
        <v>6</v>
      </c>
      <c r="Z9" s="254" t="s">
        <v>336</v>
      </c>
      <c r="AA9" s="254" t="s">
        <v>336</v>
      </c>
      <c r="AB9" s="254" t="s">
        <v>336</v>
      </c>
      <c r="AC9" s="254" t="s">
        <v>336</v>
      </c>
      <c r="AD9" s="254" t="s">
        <v>336</v>
      </c>
      <c r="AE9" s="236"/>
      <c r="AF9" s="254" t="s">
        <v>336</v>
      </c>
      <c r="AG9" s="254" t="s">
        <v>336</v>
      </c>
      <c r="AH9" s="254" t="s">
        <v>336</v>
      </c>
      <c r="AI9" s="254" t="s">
        <v>336</v>
      </c>
      <c r="AJ9" s="254" t="s">
        <v>336</v>
      </c>
      <c r="AK9" s="362">
        <v>6</v>
      </c>
      <c r="AL9" s="254" t="s">
        <v>336</v>
      </c>
      <c r="AM9" s="254" t="s">
        <v>336</v>
      </c>
      <c r="AN9" s="254" t="s">
        <v>336</v>
      </c>
      <c r="AO9" s="254" t="s">
        <v>336</v>
      </c>
      <c r="AP9" s="254" t="s">
        <v>336</v>
      </c>
      <c r="AQ9" s="370">
        <v>6</v>
      </c>
      <c r="AR9" s="298" t="s">
        <v>364</v>
      </c>
      <c r="AS9" s="299">
        <f>AW59</f>
        <v>0</v>
      </c>
      <c r="AT9" s="936" t="s">
        <v>355</v>
      </c>
      <c r="AU9" s="236"/>
      <c r="AV9" s="265" t="str">
        <f t="shared" si="13"/>
        <v>N/A</v>
      </c>
      <c r="AW9" s="265" t="str">
        <f t="shared" si="8"/>
        <v>N/A</v>
      </c>
      <c r="AX9" s="265" t="str">
        <f t="shared" si="9"/>
        <v>N/A</v>
      </c>
      <c r="AY9" s="265" t="str">
        <f t="shared" si="10"/>
        <v>N/A</v>
      </c>
      <c r="AZ9" s="265" t="str">
        <f t="shared" si="10"/>
        <v>N/A</v>
      </c>
      <c r="BA9" s="264">
        <v>6</v>
      </c>
      <c r="BB9" s="265" t="str">
        <f t="shared" si="11"/>
        <v>N/A</v>
      </c>
      <c r="BC9" s="265" t="str">
        <f t="shared" si="4"/>
        <v>N/A</v>
      </c>
      <c r="BD9" s="265" t="str">
        <f t="shared" si="4"/>
        <v>N/A</v>
      </c>
      <c r="BE9" s="265" t="str">
        <f t="shared" si="4"/>
        <v>N/A</v>
      </c>
      <c r="BF9" s="265" t="str">
        <f t="shared" si="4"/>
        <v>N/A</v>
      </c>
      <c r="BG9" s="369">
        <v>6</v>
      </c>
      <c r="BH9" s="237" t="s">
        <v>192</v>
      </c>
    </row>
    <row r="10" spans="2:60" ht="15" thickBot="1" x14ac:dyDescent="0.35">
      <c r="B10" s="256">
        <v>7</v>
      </c>
      <c r="C10" s="257" t="str">
        <f t="shared" si="0"/>
        <v>N/A</v>
      </c>
      <c r="D10" s="257" t="str">
        <f t="shared" si="1"/>
        <v>N/A</v>
      </c>
      <c r="E10" s="257" t="str">
        <f t="shared" si="2"/>
        <v>N/A</v>
      </c>
      <c r="F10" s="257" t="str">
        <f t="shared" si="3"/>
        <v>N/A</v>
      </c>
      <c r="G10" s="257" t="str">
        <f t="shared" si="3"/>
        <v>N/A</v>
      </c>
      <c r="H10" s="357">
        <v>7</v>
      </c>
      <c r="I10" s="359" t="str">
        <f t="shared" si="12"/>
        <v>N/A</v>
      </c>
      <c r="J10" s="359" t="str">
        <f t="shared" si="5"/>
        <v>N/A</v>
      </c>
      <c r="K10" s="359" t="str">
        <f t="shared" si="6"/>
        <v>N/A</v>
      </c>
      <c r="L10" s="359" t="str">
        <f t="shared" si="7"/>
        <v>N/A</v>
      </c>
      <c r="M10" s="359" t="str">
        <f t="shared" si="7"/>
        <v>N/A</v>
      </c>
      <c r="N10" s="260"/>
      <c r="O10" s="298" t="s">
        <v>338</v>
      </c>
      <c r="P10" s="299">
        <f>D65</f>
        <v>0</v>
      </c>
      <c r="Q10" s="937"/>
      <c r="R10" s="236" t="s">
        <v>336</v>
      </c>
      <c r="S10" s="361">
        <v>7</v>
      </c>
      <c r="T10" s="246" t="s">
        <v>336</v>
      </c>
      <c r="U10" s="246" t="s">
        <v>336</v>
      </c>
      <c r="V10" s="246" t="s">
        <v>336</v>
      </c>
      <c r="W10" s="246" t="s">
        <v>336</v>
      </c>
      <c r="X10" s="246" t="s">
        <v>336</v>
      </c>
      <c r="Y10" s="369">
        <v>7</v>
      </c>
      <c r="Z10" s="246" t="s">
        <v>336</v>
      </c>
      <c r="AA10" s="246" t="s">
        <v>336</v>
      </c>
      <c r="AB10" s="246" t="s">
        <v>336</v>
      </c>
      <c r="AC10" s="246" t="s">
        <v>336</v>
      </c>
      <c r="AD10" s="246" t="s">
        <v>336</v>
      </c>
      <c r="AE10" s="236"/>
      <c r="AF10" s="246" t="s">
        <v>336</v>
      </c>
      <c r="AG10" s="246" t="s">
        <v>336</v>
      </c>
      <c r="AH10" s="246" t="s">
        <v>336</v>
      </c>
      <c r="AI10" s="246" t="s">
        <v>336</v>
      </c>
      <c r="AJ10" s="246" t="s">
        <v>336</v>
      </c>
      <c r="AK10" s="361">
        <v>7</v>
      </c>
      <c r="AL10" s="246" t="s">
        <v>336</v>
      </c>
      <c r="AM10" s="246" t="s">
        <v>336</v>
      </c>
      <c r="AN10" s="246" t="s">
        <v>336</v>
      </c>
      <c r="AO10" s="246" t="s">
        <v>336</v>
      </c>
      <c r="AP10" s="246" t="s">
        <v>336</v>
      </c>
      <c r="AQ10" s="369">
        <v>7</v>
      </c>
      <c r="AR10" s="298" t="s">
        <v>338</v>
      </c>
      <c r="AS10" s="299">
        <f>AW65</f>
        <v>0</v>
      </c>
      <c r="AT10" s="937"/>
      <c r="AU10" s="236"/>
      <c r="AV10" s="257" t="str">
        <f t="shared" si="13"/>
        <v>N/A</v>
      </c>
      <c r="AW10" s="257" t="str">
        <f t="shared" si="8"/>
        <v>N/A</v>
      </c>
      <c r="AX10" s="257" t="str">
        <f t="shared" si="9"/>
        <v>N/A</v>
      </c>
      <c r="AY10" s="257" t="str">
        <f t="shared" si="10"/>
        <v>N/A</v>
      </c>
      <c r="AZ10" s="257" t="str">
        <f t="shared" si="10"/>
        <v>N/A</v>
      </c>
      <c r="BA10" s="256">
        <v>7</v>
      </c>
      <c r="BB10" s="257" t="str">
        <f t="shared" si="11"/>
        <v>N/A</v>
      </c>
      <c r="BC10" s="257" t="str">
        <f t="shared" si="4"/>
        <v>N/A</v>
      </c>
      <c r="BD10" s="257" t="str">
        <f t="shared" si="4"/>
        <v>N/A</v>
      </c>
      <c r="BE10" s="257" t="str">
        <f t="shared" si="4"/>
        <v>N/A</v>
      </c>
      <c r="BF10" s="257" t="str">
        <f t="shared" si="4"/>
        <v>N/A</v>
      </c>
      <c r="BG10" s="370">
        <v>7</v>
      </c>
    </row>
    <row r="11" spans="2:60" ht="15" thickBot="1" x14ac:dyDescent="0.35">
      <c r="B11" s="264">
        <v>8</v>
      </c>
      <c r="C11" s="265" t="str">
        <f t="shared" si="0"/>
        <v>N/A</v>
      </c>
      <c r="D11" s="265" t="str">
        <f t="shared" si="1"/>
        <v>N/A</v>
      </c>
      <c r="E11" s="265" t="str">
        <f t="shared" si="2"/>
        <v>N/A</v>
      </c>
      <c r="F11" s="265" t="str">
        <f t="shared" si="3"/>
        <v>N/A</v>
      </c>
      <c r="G11" s="265" t="str">
        <f t="shared" si="3"/>
        <v>N/A</v>
      </c>
      <c r="H11" s="358">
        <v>8</v>
      </c>
      <c r="I11" s="265" t="str">
        <f t="shared" si="12"/>
        <v>N/A</v>
      </c>
      <c r="J11" s="265" t="str">
        <f t="shared" si="5"/>
        <v>N/A</v>
      </c>
      <c r="K11" s="265" t="str">
        <f t="shared" si="6"/>
        <v>N/A</v>
      </c>
      <c r="L11" s="265" t="str">
        <f t="shared" si="7"/>
        <v>N/A</v>
      </c>
      <c r="M11" s="265" t="str">
        <f t="shared" si="7"/>
        <v>N/A</v>
      </c>
      <c r="N11" s="260"/>
      <c r="O11" s="298" t="s">
        <v>339</v>
      </c>
      <c r="P11" s="299">
        <f>D71</f>
        <v>0</v>
      </c>
      <c r="Q11" s="938"/>
      <c r="R11" s="236" t="s">
        <v>336</v>
      </c>
      <c r="S11" s="362">
        <v>8</v>
      </c>
      <c r="T11" s="254" t="s">
        <v>336</v>
      </c>
      <c r="U11" s="254" t="s">
        <v>336</v>
      </c>
      <c r="V11" s="254" t="s">
        <v>336</v>
      </c>
      <c r="W11" s="254" t="s">
        <v>336</v>
      </c>
      <c r="X11" s="254" t="s">
        <v>336</v>
      </c>
      <c r="Y11" s="370">
        <v>8</v>
      </c>
      <c r="Z11" s="254" t="s">
        <v>336</v>
      </c>
      <c r="AA11" s="254" t="s">
        <v>336</v>
      </c>
      <c r="AB11" s="254" t="s">
        <v>336</v>
      </c>
      <c r="AC11" s="254" t="s">
        <v>336</v>
      </c>
      <c r="AD11" s="254" t="s">
        <v>336</v>
      </c>
      <c r="AE11" s="236"/>
      <c r="AF11" s="254" t="s">
        <v>336</v>
      </c>
      <c r="AG11" s="254" t="s">
        <v>336</v>
      </c>
      <c r="AH11" s="254" t="s">
        <v>336</v>
      </c>
      <c r="AI11" s="254" t="s">
        <v>336</v>
      </c>
      <c r="AJ11" s="254" t="s">
        <v>336</v>
      </c>
      <c r="AK11" s="362">
        <v>8</v>
      </c>
      <c r="AL11" s="254" t="s">
        <v>336</v>
      </c>
      <c r="AM11" s="254" t="s">
        <v>336</v>
      </c>
      <c r="AN11" s="254" t="s">
        <v>336</v>
      </c>
      <c r="AO11" s="254" t="s">
        <v>336</v>
      </c>
      <c r="AP11" s="254" t="s">
        <v>336</v>
      </c>
      <c r="AQ11" s="370">
        <v>8</v>
      </c>
      <c r="AR11" s="298" t="s">
        <v>339</v>
      </c>
      <c r="AS11" s="299">
        <f>AW71</f>
        <v>0</v>
      </c>
      <c r="AT11" s="938"/>
      <c r="AU11" s="236"/>
      <c r="AV11" s="265" t="str">
        <f t="shared" si="13"/>
        <v>N/A</v>
      </c>
      <c r="AW11" s="265" t="str">
        <f t="shared" si="8"/>
        <v>N/A</v>
      </c>
      <c r="AX11" s="265" t="str">
        <f t="shared" si="9"/>
        <v>N/A</v>
      </c>
      <c r="AY11" s="265" t="str">
        <f t="shared" si="10"/>
        <v>N/A</v>
      </c>
      <c r="AZ11" s="265" t="str">
        <f t="shared" si="10"/>
        <v>N/A</v>
      </c>
      <c r="BA11" s="264">
        <v>8</v>
      </c>
      <c r="BB11" s="265" t="str">
        <f t="shared" si="11"/>
        <v>N/A</v>
      </c>
      <c r="BC11" s="265" t="str">
        <f t="shared" si="4"/>
        <v>N/A</v>
      </c>
      <c r="BD11" s="265" t="str">
        <f t="shared" si="4"/>
        <v>N/A</v>
      </c>
      <c r="BE11" s="265" t="str">
        <f t="shared" si="4"/>
        <v>N/A</v>
      </c>
      <c r="BF11" s="265" t="str">
        <f t="shared" si="4"/>
        <v>N/A</v>
      </c>
      <c r="BG11" s="369">
        <v>8</v>
      </c>
    </row>
    <row r="12" spans="2:60" ht="15" thickBot="1" x14ac:dyDescent="0.35">
      <c r="B12" s="256">
        <v>9</v>
      </c>
      <c r="C12" s="257" t="str">
        <f t="shared" si="0"/>
        <v>N/A</v>
      </c>
      <c r="D12" s="257" t="str">
        <f t="shared" si="1"/>
        <v>N/A</v>
      </c>
      <c r="E12" s="257" t="str">
        <f t="shared" si="2"/>
        <v>N/A</v>
      </c>
      <c r="F12" s="257" t="str">
        <f t="shared" si="3"/>
        <v>N/A</v>
      </c>
      <c r="G12" s="257" t="str">
        <f t="shared" si="3"/>
        <v>N/A</v>
      </c>
      <c r="H12" s="357">
        <v>9</v>
      </c>
      <c r="I12" s="359" t="str">
        <f t="shared" si="12"/>
        <v>N/A</v>
      </c>
      <c r="J12" s="359" t="str">
        <f t="shared" si="5"/>
        <v>N/A</v>
      </c>
      <c r="K12" s="359" t="str">
        <f t="shared" si="6"/>
        <v>N/A</v>
      </c>
      <c r="L12" s="359" t="str">
        <f t="shared" si="7"/>
        <v>N/A</v>
      </c>
      <c r="M12" s="359" t="str">
        <f t="shared" si="7"/>
        <v>N/A</v>
      </c>
      <c r="N12" s="260"/>
      <c r="O12" s="236"/>
      <c r="P12" s="236"/>
      <c r="Q12" s="300"/>
      <c r="R12" s="236" t="s">
        <v>336</v>
      </c>
      <c r="S12" s="361">
        <v>9</v>
      </c>
      <c r="T12" s="246" t="s">
        <v>336</v>
      </c>
      <c r="U12" s="246" t="s">
        <v>336</v>
      </c>
      <c r="V12" s="246" t="s">
        <v>336</v>
      </c>
      <c r="W12" s="246" t="s">
        <v>336</v>
      </c>
      <c r="X12" s="246" t="s">
        <v>336</v>
      </c>
      <c r="Y12" s="369">
        <v>9</v>
      </c>
      <c r="Z12" s="246" t="s">
        <v>336</v>
      </c>
      <c r="AA12" s="246" t="s">
        <v>336</v>
      </c>
      <c r="AB12" s="246" t="s">
        <v>336</v>
      </c>
      <c r="AC12" s="246" t="s">
        <v>336</v>
      </c>
      <c r="AD12" s="246" t="s">
        <v>336</v>
      </c>
      <c r="AE12" s="236"/>
      <c r="AF12" s="246" t="s">
        <v>336</v>
      </c>
      <c r="AG12" s="246" t="s">
        <v>336</v>
      </c>
      <c r="AH12" s="246" t="s">
        <v>336</v>
      </c>
      <c r="AI12" s="246" t="s">
        <v>336</v>
      </c>
      <c r="AJ12" s="246" t="s">
        <v>336</v>
      </c>
      <c r="AK12" s="361">
        <v>9</v>
      </c>
      <c r="AL12" s="246" t="s">
        <v>336</v>
      </c>
      <c r="AM12" s="246" t="s">
        <v>336</v>
      </c>
      <c r="AN12" s="246" t="s">
        <v>336</v>
      </c>
      <c r="AO12" s="246" t="s">
        <v>336</v>
      </c>
      <c r="AP12" s="246" t="s">
        <v>336</v>
      </c>
      <c r="AQ12" s="369">
        <v>9</v>
      </c>
      <c r="AR12" s="236"/>
      <c r="AS12" s="236"/>
      <c r="AT12" s="236"/>
      <c r="AU12" s="236"/>
      <c r="AV12" s="257" t="str">
        <f t="shared" si="13"/>
        <v>N/A</v>
      </c>
      <c r="AW12" s="257" t="str">
        <f t="shared" si="8"/>
        <v>N/A</v>
      </c>
      <c r="AX12" s="257" t="str">
        <f t="shared" si="9"/>
        <v>N/A</v>
      </c>
      <c r="AY12" s="257" t="str">
        <f t="shared" si="10"/>
        <v>N/A</v>
      </c>
      <c r="AZ12" s="257" t="str">
        <f t="shared" si="10"/>
        <v>N/A</v>
      </c>
      <c r="BA12" s="256">
        <v>9</v>
      </c>
      <c r="BB12" s="257" t="str">
        <f t="shared" si="11"/>
        <v>N/A</v>
      </c>
      <c r="BC12" s="257" t="str">
        <f t="shared" si="4"/>
        <v>N/A</v>
      </c>
      <c r="BD12" s="257" t="str">
        <f t="shared" si="4"/>
        <v>N/A</v>
      </c>
      <c r="BE12" s="257" t="str">
        <f t="shared" si="4"/>
        <v>N/A</v>
      </c>
      <c r="BF12" s="257" t="str">
        <f t="shared" si="4"/>
        <v>N/A</v>
      </c>
      <c r="BG12" s="370">
        <v>9</v>
      </c>
    </row>
    <row r="13" spans="2:60" ht="15" thickBot="1" x14ac:dyDescent="0.35">
      <c r="B13" s="264">
        <v>10</v>
      </c>
      <c r="C13" s="265" t="str">
        <f t="shared" si="0"/>
        <v>N/A</v>
      </c>
      <c r="D13" s="265" t="str">
        <f t="shared" si="1"/>
        <v>N/A</v>
      </c>
      <c r="E13" s="265" t="str">
        <f t="shared" si="2"/>
        <v>N/A</v>
      </c>
      <c r="F13" s="265" t="str">
        <f t="shared" si="3"/>
        <v>N/A</v>
      </c>
      <c r="G13" s="265" t="str">
        <f t="shared" si="3"/>
        <v>N/A</v>
      </c>
      <c r="H13" s="358">
        <v>10</v>
      </c>
      <c r="I13" s="265" t="str">
        <f t="shared" si="12"/>
        <v>N/A</v>
      </c>
      <c r="J13" s="265" t="str">
        <f t="shared" si="5"/>
        <v>N/A</v>
      </c>
      <c r="K13" s="265" t="str">
        <f t="shared" si="6"/>
        <v>N/A</v>
      </c>
      <c r="L13" s="265" t="str">
        <f t="shared" si="7"/>
        <v>N/A</v>
      </c>
      <c r="M13" s="265" t="str">
        <f t="shared" si="7"/>
        <v>N/A</v>
      </c>
      <c r="N13" s="260"/>
      <c r="O13" s="236"/>
      <c r="P13" s="231" t="s">
        <v>360</v>
      </c>
      <c r="Q13" s="236"/>
      <c r="R13" s="236" t="s">
        <v>336</v>
      </c>
      <c r="S13" s="362">
        <v>10</v>
      </c>
      <c r="T13" s="254" t="s">
        <v>336</v>
      </c>
      <c r="U13" s="254" t="s">
        <v>336</v>
      </c>
      <c r="V13" s="254" t="s">
        <v>336</v>
      </c>
      <c r="W13" s="254" t="s">
        <v>336</v>
      </c>
      <c r="X13" s="254" t="s">
        <v>336</v>
      </c>
      <c r="Y13" s="370">
        <v>10</v>
      </c>
      <c r="Z13" s="254" t="s">
        <v>336</v>
      </c>
      <c r="AA13" s="254" t="s">
        <v>336</v>
      </c>
      <c r="AB13" s="254" t="s">
        <v>336</v>
      </c>
      <c r="AC13" s="254" t="s">
        <v>336</v>
      </c>
      <c r="AD13" s="254" t="s">
        <v>336</v>
      </c>
      <c r="AE13" s="236"/>
      <c r="AF13" s="254" t="s">
        <v>336</v>
      </c>
      <c r="AG13" s="254" t="s">
        <v>336</v>
      </c>
      <c r="AH13" s="254" t="s">
        <v>336</v>
      </c>
      <c r="AI13" s="254" t="s">
        <v>336</v>
      </c>
      <c r="AJ13" s="254" t="s">
        <v>336</v>
      </c>
      <c r="AK13" s="362">
        <v>10</v>
      </c>
      <c r="AL13" s="254" t="s">
        <v>336</v>
      </c>
      <c r="AM13" s="254" t="s">
        <v>336</v>
      </c>
      <c r="AN13" s="254" t="s">
        <v>336</v>
      </c>
      <c r="AO13" s="254" t="s">
        <v>336</v>
      </c>
      <c r="AP13" s="254" t="s">
        <v>336</v>
      </c>
      <c r="AQ13" s="370">
        <v>10</v>
      </c>
      <c r="AR13" s="236"/>
      <c r="AS13" s="231" t="s">
        <v>360</v>
      </c>
      <c r="AT13" s="236"/>
      <c r="AU13" s="236"/>
      <c r="AV13" s="265" t="str">
        <f t="shared" si="13"/>
        <v>N/A</v>
      </c>
      <c r="AW13" s="265" t="str">
        <f t="shared" si="8"/>
        <v>N/A</v>
      </c>
      <c r="AX13" s="265" t="str">
        <f t="shared" si="9"/>
        <v>N/A</v>
      </c>
      <c r="AY13" s="265" t="str">
        <f t="shared" si="10"/>
        <v>N/A</v>
      </c>
      <c r="AZ13" s="265" t="str">
        <f t="shared" si="10"/>
        <v>N/A</v>
      </c>
      <c r="BA13" s="264">
        <v>10</v>
      </c>
      <c r="BB13" s="265" t="str">
        <f t="shared" si="11"/>
        <v>N/A</v>
      </c>
      <c r="BC13" s="265" t="str">
        <f t="shared" si="4"/>
        <v>N/A</v>
      </c>
      <c r="BD13" s="265" t="str">
        <f t="shared" si="4"/>
        <v>N/A</v>
      </c>
      <c r="BE13" s="265" t="str">
        <f t="shared" si="4"/>
        <v>N/A</v>
      </c>
      <c r="BF13" s="265" t="str">
        <f t="shared" si="4"/>
        <v>N/A</v>
      </c>
      <c r="BG13" s="369">
        <v>10</v>
      </c>
    </row>
    <row r="14" spans="2:60" ht="15" thickBot="1" x14ac:dyDescent="0.35">
      <c r="B14" s="256">
        <v>11</v>
      </c>
      <c r="C14" s="257" t="str">
        <f t="shared" si="0"/>
        <v>N/A</v>
      </c>
      <c r="D14" s="257" t="str">
        <f t="shared" si="1"/>
        <v>N/A</v>
      </c>
      <c r="E14" s="257" t="str">
        <f t="shared" si="2"/>
        <v>N/A</v>
      </c>
      <c r="F14" s="257" t="str">
        <f t="shared" si="3"/>
        <v>N/A</v>
      </c>
      <c r="G14" s="257" t="str">
        <f t="shared" si="3"/>
        <v>N/A</v>
      </c>
      <c r="H14" s="357">
        <v>11</v>
      </c>
      <c r="I14" s="359" t="str">
        <f t="shared" si="12"/>
        <v>N/A</v>
      </c>
      <c r="J14" s="359" t="str">
        <f t="shared" si="5"/>
        <v>N/A</v>
      </c>
      <c r="K14" s="359" t="str">
        <f t="shared" si="6"/>
        <v>N/A</v>
      </c>
      <c r="L14" s="359" t="str">
        <f t="shared" si="7"/>
        <v>N/A</v>
      </c>
      <c r="M14" s="359" t="str">
        <f t="shared" si="7"/>
        <v>N/A</v>
      </c>
      <c r="N14" s="260"/>
      <c r="O14" s="298" t="s">
        <v>357</v>
      </c>
      <c r="P14" s="299">
        <f>SQRT((POWER(J59,2))+(POWER(J71,2))+(J59*J71))</f>
        <v>0</v>
      </c>
      <c r="Q14" s="298"/>
      <c r="R14" s="236" t="s">
        <v>336</v>
      </c>
      <c r="S14" s="361">
        <v>11</v>
      </c>
      <c r="T14" s="246" t="s">
        <v>336</v>
      </c>
      <c r="U14" s="246" t="s">
        <v>336</v>
      </c>
      <c r="V14" s="246" t="s">
        <v>336</v>
      </c>
      <c r="W14" s="246" t="s">
        <v>336</v>
      </c>
      <c r="X14" s="246" t="s">
        <v>336</v>
      </c>
      <c r="Y14" s="369">
        <v>11</v>
      </c>
      <c r="Z14" s="246" t="s">
        <v>336</v>
      </c>
      <c r="AA14" s="246" t="s">
        <v>336</v>
      </c>
      <c r="AB14" s="246" t="s">
        <v>336</v>
      </c>
      <c r="AC14" s="246" t="s">
        <v>336</v>
      </c>
      <c r="AD14" s="246" t="s">
        <v>336</v>
      </c>
      <c r="AE14" s="236"/>
      <c r="AF14" s="246" t="s">
        <v>336</v>
      </c>
      <c r="AG14" s="246" t="s">
        <v>336</v>
      </c>
      <c r="AH14" s="246" t="s">
        <v>336</v>
      </c>
      <c r="AI14" s="246" t="s">
        <v>336</v>
      </c>
      <c r="AJ14" s="246" t="s">
        <v>336</v>
      </c>
      <c r="AK14" s="361">
        <v>11</v>
      </c>
      <c r="AL14" s="246" t="s">
        <v>336</v>
      </c>
      <c r="AM14" s="246" t="s">
        <v>336</v>
      </c>
      <c r="AN14" s="246" t="s">
        <v>336</v>
      </c>
      <c r="AO14" s="246" t="s">
        <v>336</v>
      </c>
      <c r="AP14" s="246" t="s">
        <v>336</v>
      </c>
      <c r="AQ14" s="369">
        <v>11</v>
      </c>
      <c r="AR14" s="298" t="s">
        <v>357</v>
      </c>
      <c r="AS14" s="299">
        <f>SQRT((POWER(BC59,2))+(POWER(BC71,2))+(BC59*BC71))</f>
        <v>0</v>
      </c>
      <c r="AT14" s="298"/>
      <c r="AU14" s="236"/>
      <c r="AV14" s="257" t="str">
        <f t="shared" si="13"/>
        <v>N/A</v>
      </c>
      <c r="AW14" s="257" t="str">
        <f t="shared" si="8"/>
        <v>N/A</v>
      </c>
      <c r="AX14" s="257" t="str">
        <f t="shared" si="9"/>
        <v>N/A</v>
      </c>
      <c r="AY14" s="257" t="str">
        <f t="shared" si="10"/>
        <v>N/A</v>
      </c>
      <c r="AZ14" s="257" t="str">
        <f t="shared" si="10"/>
        <v>N/A</v>
      </c>
      <c r="BA14" s="256">
        <v>11</v>
      </c>
      <c r="BB14" s="257" t="str">
        <f t="shared" si="11"/>
        <v>N/A</v>
      </c>
      <c r="BC14" s="257" t="str">
        <f t="shared" si="4"/>
        <v>N/A</v>
      </c>
      <c r="BD14" s="257" t="str">
        <f t="shared" si="4"/>
        <v>N/A</v>
      </c>
      <c r="BE14" s="257" t="str">
        <f t="shared" si="4"/>
        <v>N/A</v>
      </c>
      <c r="BF14" s="257" t="str">
        <f t="shared" si="4"/>
        <v>N/A</v>
      </c>
      <c r="BG14" s="370">
        <v>11</v>
      </c>
    </row>
    <row r="15" spans="2:60" ht="15" thickBot="1" x14ac:dyDescent="0.35">
      <c r="B15" s="264">
        <v>12</v>
      </c>
      <c r="C15" s="265" t="str">
        <f t="shared" si="0"/>
        <v>N/A</v>
      </c>
      <c r="D15" s="265" t="str">
        <f t="shared" si="1"/>
        <v>N/A</v>
      </c>
      <c r="E15" s="265" t="str">
        <f t="shared" si="2"/>
        <v>N/A</v>
      </c>
      <c r="F15" s="265" t="str">
        <f t="shared" si="3"/>
        <v>N/A</v>
      </c>
      <c r="G15" s="265" t="str">
        <f t="shared" si="3"/>
        <v>N/A</v>
      </c>
      <c r="H15" s="358">
        <v>12</v>
      </c>
      <c r="I15" s="265" t="str">
        <f t="shared" si="12"/>
        <v>N/A</v>
      </c>
      <c r="J15" s="265" t="str">
        <f t="shared" si="5"/>
        <v>N/A</v>
      </c>
      <c r="K15" s="265" t="str">
        <f t="shared" si="6"/>
        <v>N/A</v>
      </c>
      <c r="L15" s="265" t="str">
        <f t="shared" si="7"/>
        <v>N/A</v>
      </c>
      <c r="M15" s="265" t="str">
        <f t="shared" si="7"/>
        <v>N/A</v>
      </c>
      <c r="N15" s="260"/>
      <c r="O15" s="298" t="s">
        <v>358</v>
      </c>
      <c r="P15" s="299">
        <f>SQRT((POWER(J65,2))+(POWER(J59,2))+(J65*J59))</f>
        <v>0</v>
      </c>
      <c r="Q15" s="298" t="s">
        <v>356</v>
      </c>
      <c r="R15" s="236" t="s">
        <v>336</v>
      </c>
      <c r="S15" s="362">
        <v>12</v>
      </c>
      <c r="T15" s="254" t="s">
        <v>336</v>
      </c>
      <c r="U15" s="254" t="s">
        <v>336</v>
      </c>
      <c r="V15" s="254" t="s">
        <v>336</v>
      </c>
      <c r="W15" s="254" t="s">
        <v>336</v>
      </c>
      <c r="X15" s="254" t="s">
        <v>336</v>
      </c>
      <c r="Y15" s="370">
        <v>12</v>
      </c>
      <c r="Z15" s="254" t="s">
        <v>336</v>
      </c>
      <c r="AA15" s="254" t="s">
        <v>336</v>
      </c>
      <c r="AB15" s="254" t="s">
        <v>336</v>
      </c>
      <c r="AC15" s="254" t="s">
        <v>336</v>
      </c>
      <c r="AD15" s="254" t="s">
        <v>336</v>
      </c>
      <c r="AE15" s="236"/>
      <c r="AF15" s="254" t="s">
        <v>336</v>
      </c>
      <c r="AG15" s="254" t="s">
        <v>336</v>
      </c>
      <c r="AH15" s="254" t="s">
        <v>336</v>
      </c>
      <c r="AI15" s="254" t="s">
        <v>336</v>
      </c>
      <c r="AJ15" s="254" t="s">
        <v>336</v>
      </c>
      <c r="AK15" s="362">
        <v>12</v>
      </c>
      <c r="AL15" s="254" t="s">
        <v>336</v>
      </c>
      <c r="AM15" s="254" t="s">
        <v>336</v>
      </c>
      <c r="AN15" s="254" t="s">
        <v>336</v>
      </c>
      <c r="AO15" s="254" t="s">
        <v>336</v>
      </c>
      <c r="AP15" s="254" t="s">
        <v>336</v>
      </c>
      <c r="AQ15" s="370">
        <v>12</v>
      </c>
      <c r="AR15" s="298" t="s">
        <v>358</v>
      </c>
      <c r="AS15" s="299">
        <f>SQRT((POWER(BC65,2))+(POWER(BC59,2))+(BC65*BC59))</f>
        <v>0</v>
      </c>
      <c r="AT15" s="298" t="s">
        <v>356</v>
      </c>
      <c r="AU15" s="236"/>
      <c r="AV15" s="265" t="str">
        <f t="shared" si="13"/>
        <v>N/A</v>
      </c>
      <c r="AW15" s="265" t="str">
        <f t="shared" si="8"/>
        <v>N/A</v>
      </c>
      <c r="AX15" s="265" t="str">
        <f t="shared" si="9"/>
        <v>N/A</v>
      </c>
      <c r="AY15" s="265" t="str">
        <f t="shared" si="10"/>
        <v>N/A</v>
      </c>
      <c r="AZ15" s="265" t="str">
        <f t="shared" si="10"/>
        <v>N/A</v>
      </c>
      <c r="BA15" s="264">
        <v>12</v>
      </c>
      <c r="BB15" s="265" t="str">
        <f t="shared" si="11"/>
        <v>N/A</v>
      </c>
      <c r="BC15" s="265" t="str">
        <f t="shared" si="4"/>
        <v>N/A</v>
      </c>
      <c r="BD15" s="265" t="str">
        <f t="shared" si="4"/>
        <v>N/A</v>
      </c>
      <c r="BE15" s="265" t="str">
        <f t="shared" si="4"/>
        <v>N/A</v>
      </c>
      <c r="BF15" s="265" t="str">
        <f t="shared" si="4"/>
        <v>N/A</v>
      </c>
      <c r="BG15" s="369">
        <v>12</v>
      </c>
    </row>
    <row r="16" spans="2:60" ht="15" thickBot="1" x14ac:dyDescent="0.35">
      <c r="B16" s="256">
        <v>13</v>
      </c>
      <c r="C16" s="257" t="str">
        <f t="shared" si="0"/>
        <v>N/A</v>
      </c>
      <c r="D16" s="257" t="str">
        <f t="shared" si="1"/>
        <v>N/A</v>
      </c>
      <c r="E16" s="257" t="str">
        <f t="shared" si="2"/>
        <v>N/A</v>
      </c>
      <c r="F16" s="257" t="str">
        <f t="shared" si="3"/>
        <v>N/A</v>
      </c>
      <c r="G16" s="257" t="str">
        <f t="shared" si="3"/>
        <v>N/A</v>
      </c>
      <c r="H16" s="357">
        <v>13</v>
      </c>
      <c r="I16" s="359" t="str">
        <f t="shared" si="12"/>
        <v>N/A</v>
      </c>
      <c r="J16" s="359" t="str">
        <f t="shared" si="5"/>
        <v>N/A</v>
      </c>
      <c r="K16" s="359" t="str">
        <f t="shared" si="6"/>
        <v>N/A</v>
      </c>
      <c r="L16" s="359" t="str">
        <f t="shared" si="7"/>
        <v>N/A</v>
      </c>
      <c r="M16" s="359" t="str">
        <f t="shared" si="7"/>
        <v>N/A</v>
      </c>
      <c r="N16" s="260"/>
      <c r="O16" s="298" t="s">
        <v>359</v>
      </c>
      <c r="P16" s="299">
        <f>SQRT((POWER(J71,2))+(POWER(J65,2))+(J71*J65))</f>
        <v>0</v>
      </c>
      <c r="Q16" s="298"/>
      <c r="R16" s="236" t="s">
        <v>336</v>
      </c>
      <c r="S16" s="361">
        <v>13</v>
      </c>
      <c r="T16" s="246" t="s">
        <v>336</v>
      </c>
      <c r="U16" s="246" t="s">
        <v>336</v>
      </c>
      <c r="V16" s="246" t="s">
        <v>336</v>
      </c>
      <c r="W16" s="246" t="s">
        <v>336</v>
      </c>
      <c r="X16" s="246" t="s">
        <v>336</v>
      </c>
      <c r="Y16" s="369">
        <v>13</v>
      </c>
      <c r="Z16" s="246" t="s">
        <v>336</v>
      </c>
      <c r="AA16" s="246" t="s">
        <v>336</v>
      </c>
      <c r="AB16" s="246" t="s">
        <v>336</v>
      </c>
      <c r="AC16" s="246" t="s">
        <v>336</v>
      </c>
      <c r="AD16" s="246" t="s">
        <v>336</v>
      </c>
      <c r="AE16" s="236"/>
      <c r="AF16" s="246" t="s">
        <v>336</v>
      </c>
      <c r="AG16" s="246" t="s">
        <v>336</v>
      </c>
      <c r="AH16" s="246" t="s">
        <v>336</v>
      </c>
      <c r="AI16" s="246" t="s">
        <v>336</v>
      </c>
      <c r="AJ16" s="246" t="s">
        <v>336</v>
      </c>
      <c r="AK16" s="361">
        <v>13</v>
      </c>
      <c r="AL16" s="246" t="s">
        <v>336</v>
      </c>
      <c r="AM16" s="246" t="s">
        <v>336</v>
      </c>
      <c r="AN16" s="246" t="s">
        <v>336</v>
      </c>
      <c r="AO16" s="246" t="s">
        <v>336</v>
      </c>
      <c r="AP16" s="246" t="s">
        <v>336</v>
      </c>
      <c r="AQ16" s="369">
        <v>13</v>
      </c>
      <c r="AR16" s="298" t="s">
        <v>359</v>
      </c>
      <c r="AS16" s="299">
        <f>SQRT((POWER(BC71,2))+(POWER(BC65,2))+(BC71*BC65))</f>
        <v>0</v>
      </c>
      <c r="AT16" s="298"/>
      <c r="AU16" s="236"/>
      <c r="AV16" s="257" t="str">
        <f t="shared" si="13"/>
        <v>N/A</v>
      </c>
      <c r="AW16" s="257" t="str">
        <f t="shared" si="8"/>
        <v>N/A</v>
      </c>
      <c r="AX16" s="257" t="str">
        <f t="shared" si="9"/>
        <v>N/A</v>
      </c>
      <c r="AY16" s="257" t="str">
        <f t="shared" si="10"/>
        <v>N/A</v>
      </c>
      <c r="AZ16" s="257" t="str">
        <f t="shared" si="10"/>
        <v>N/A</v>
      </c>
      <c r="BA16" s="256">
        <v>13</v>
      </c>
      <c r="BB16" s="257" t="str">
        <f t="shared" si="11"/>
        <v>N/A</v>
      </c>
      <c r="BC16" s="257" t="str">
        <f t="shared" si="4"/>
        <v>N/A</v>
      </c>
      <c r="BD16" s="257" t="str">
        <f t="shared" si="4"/>
        <v>N/A</v>
      </c>
      <c r="BE16" s="257" t="str">
        <f t="shared" si="4"/>
        <v>N/A</v>
      </c>
      <c r="BF16" s="257" t="str">
        <f t="shared" si="4"/>
        <v>N/A</v>
      </c>
      <c r="BG16" s="370">
        <v>13</v>
      </c>
    </row>
    <row r="17" spans="2:59" ht="15" thickBot="1" x14ac:dyDescent="0.35">
      <c r="B17" s="264">
        <v>14</v>
      </c>
      <c r="C17" s="265" t="str">
        <f t="shared" si="0"/>
        <v>N/A</v>
      </c>
      <c r="D17" s="265" t="str">
        <f t="shared" si="1"/>
        <v>N/A</v>
      </c>
      <c r="E17" s="265" t="str">
        <f t="shared" si="2"/>
        <v>N/A</v>
      </c>
      <c r="F17" s="265" t="str">
        <f t="shared" si="3"/>
        <v>N/A</v>
      </c>
      <c r="G17" s="265" t="str">
        <f t="shared" si="3"/>
        <v>N/A</v>
      </c>
      <c r="H17" s="358">
        <v>14</v>
      </c>
      <c r="I17" s="265" t="str">
        <f t="shared" si="12"/>
        <v>N/A</v>
      </c>
      <c r="J17" s="265" t="str">
        <f t="shared" si="5"/>
        <v>N/A</v>
      </c>
      <c r="K17" s="265" t="str">
        <f t="shared" si="6"/>
        <v>N/A</v>
      </c>
      <c r="L17" s="265" t="str">
        <f t="shared" si="7"/>
        <v>N/A</v>
      </c>
      <c r="M17" s="265" t="str">
        <f t="shared" si="7"/>
        <v>N/A</v>
      </c>
      <c r="N17" s="260"/>
      <c r="O17" s="236"/>
      <c r="P17" s="236"/>
      <c r="Q17" s="236"/>
      <c r="R17" s="236" t="s">
        <v>336</v>
      </c>
      <c r="S17" s="362">
        <v>14</v>
      </c>
      <c r="T17" s="254" t="s">
        <v>336</v>
      </c>
      <c r="U17" s="254" t="s">
        <v>336</v>
      </c>
      <c r="V17" s="254" t="s">
        <v>336</v>
      </c>
      <c r="W17" s="254" t="s">
        <v>336</v>
      </c>
      <c r="X17" s="254" t="s">
        <v>336</v>
      </c>
      <c r="Y17" s="370">
        <v>14</v>
      </c>
      <c r="Z17" s="254" t="s">
        <v>336</v>
      </c>
      <c r="AA17" s="254" t="s">
        <v>336</v>
      </c>
      <c r="AB17" s="254" t="s">
        <v>336</v>
      </c>
      <c r="AC17" s="254" t="s">
        <v>336</v>
      </c>
      <c r="AD17" s="254" t="s">
        <v>336</v>
      </c>
      <c r="AE17" s="236"/>
      <c r="AF17" s="254" t="s">
        <v>336</v>
      </c>
      <c r="AG17" s="254" t="s">
        <v>336</v>
      </c>
      <c r="AH17" s="254" t="s">
        <v>336</v>
      </c>
      <c r="AI17" s="254" t="s">
        <v>336</v>
      </c>
      <c r="AJ17" s="254" t="s">
        <v>336</v>
      </c>
      <c r="AK17" s="362">
        <v>14</v>
      </c>
      <c r="AL17" s="254" t="s">
        <v>336</v>
      </c>
      <c r="AM17" s="254" t="s">
        <v>336</v>
      </c>
      <c r="AN17" s="254" t="s">
        <v>336</v>
      </c>
      <c r="AO17" s="254" t="s">
        <v>336</v>
      </c>
      <c r="AP17" s="254" t="s">
        <v>336</v>
      </c>
      <c r="AQ17" s="370">
        <v>14</v>
      </c>
      <c r="AR17" s="236"/>
      <c r="AS17" s="236"/>
      <c r="AT17" s="236"/>
      <c r="AU17" s="236"/>
      <c r="AV17" s="265" t="str">
        <f t="shared" si="13"/>
        <v>N/A</v>
      </c>
      <c r="AW17" s="265" t="str">
        <f t="shared" si="8"/>
        <v>N/A</v>
      </c>
      <c r="AX17" s="265" t="str">
        <f t="shared" si="9"/>
        <v>N/A</v>
      </c>
      <c r="AY17" s="265" t="str">
        <f t="shared" si="10"/>
        <v>N/A</v>
      </c>
      <c r="AZ17" s="265" t="str">
        <f t="shared" si="10"/>
        <v>N/A</v>
      </c>
      <c r="BA17" s="264">
        <v>14</v>
      </c>
      <c r="BB17" s="265" t="str">
        <f t="shared" si="11"/>
        <v>N/A</v>
      </c>
      <c r="BC17" s="265" t="str">
        <f t="shared" si="4"/>
        <v>N/A</v>
      </c>
      <c r="BD17" s="265" t="str">
        <f t="shared" si="4"/>
        <v>N/A</v>
      </c>
      <c r="BE17" s="265" t="str">
        <f t="shared" si="4"/>
        <v>N/A</v>
      </c>
      <c r="BF17" s="265" t="str">
        <f t="shared" si="4"/>
        <v>N/A</v>
      </c>
      <c r="BG17" s="369">
        <v>14</v>
      </c>
    </row>
    <row r="18" spans="2:59" ht="15" thickBot="1" x14ac:dyDescent="0.35">
      <c r="B18" s="256">
        <v>15</v>
      </c>
      <c r="C18" s="257" t="str">
        <f t="shared" si="0"/>
        <v>N/A</v>
      </c>
      <c r="D18" s="257" t="str">
        <f t="shared" si="1"/>
        <v>N/A</v>
      </c>
      <c r="E18" s="257" t="str">
        <f t="shared" si="2"/>
        <v>N/A</v>
      </c>
      <c r="F18" s="257" t="str">
        <f t="shared" si="3"/>
        <v>N/A</v>
      </c>
      <c r="G18" s="257" t="str">
        <f t="shared" si="3"/>
        <v>N/A</v>
      </c>
      <c r="H18" s="357">
        <v>15</v>
      </c>
      <c r="I18" s="359" t="str">
        <f t="shared" si="12"/>
        <v>N/A</v>
      </c>
      <c r="J18" s="359" t="str">
        <f t="shared" si="5"/>
        <v>N/A</v>
      </c>
      <c r="K18" s="359" t="str">
        <f t="shared" si="6"/>
        <v>N/A</v>
      </c>
      <c r="L18" s="359" t="str">
        <f t="shared" si="7"/>
        <v>N/A</v>
      </c>
      <c r="M18" s="359" t="str">
        <f t="shared" si="7"/>
        <v>N/A</v>
      </c>
      <c r="N18" s="168"/>
      <c r="O18" s="236"/>
      <c r="P18" s="231" t="s">
        <v>363</v>
      </c>
      <c r="Q18" s="236"/>
      <c r="R18" s="236" t="s">
        <v>336</v>
      </c>
      <c r="S18" s="361">
        <v>15</v>
      </c>
      <c r="T18" s="246" t="s">
        <v>336</v>
      </c>
      <c r="U18" s="246" t="s">
        <v>336</v>
      </c>
      <c r="V18" s="246" t="s">
        <v>336</v>
      </c>
      <c r="W18" s="246" t="s">
        <v>336</v>
      </c>
      <c r="X18" s="246" t="s">
        <v>336</v>
      </c>
      <c r="Y18" s="369">
        <v>15</v>
      </c>
      <c r="Z18" s="246" t="s">
        <v>336</v>
      </c>
      <c r="AA18" s="246" t="s">
        <v>336</v>
      </c>
      <c r="AB18" s="246" t="s">
        <v>336</v>
      </c>
      <c r="AC18" s="246" t="s">
        <v>336</v>
      </c>
      <c r="AD18" s="246" t="s">
        <v>336</v>
      </c>
      <c r="AE18" s="236"/>
      <c r="AF18" s="246" t="s">
        <v>336</v>
      </c>
      <c r="AG18" s="246" t="s">
        <v>336</v>
      </c>
      <c r="AH18" s="246" t="s">
        <v>336</v>
      </c>
      <c r="AI18" s="246" t="s">
        <v>336</v>
      </c>
      <c r="AJ18" s="246" t="s">
        <v>336</v>
      </c>
      <c r="AK18" s="361">
        <v>15</v>
      </c>
      <c r="AL18" s="246" t="s">
        <v>336</v>
      </c>
      <c r="AM18" s="246" t="s">
        <v>336</v>
      </c>
      <c r="AN18" s="246" t="s">
        <v>336</v>
      </c>
      <c r="AO18" s="246" t="s">
        <v>336</v>
      </c>
      <c r="AP18" s="246" t="s">
        <v>336</v>
      </c>
      <c r="AQ18" s="369">
        <v>15</v>
      </c>
      <c r="AR18" s="236"/>
      <c r="AS18" s="231" t="s">
        <v>363</v>
      </c>
      <c r="AT18" s="236"/>
      <c r="AU18" s="236"/>
      <c r="AV18" s="257" t="str">
        <f t="shared" si="13"/>
        <v>N/A</v>
      </c>
      <c r="AW18" s="257" t="str">
        <f t="shared" si="8"/>
        <v>N/A</v>
      </c>
      <c r="AX18" s="257" t="str">
        <f t="shared" si="9"/>
        <v>N/A</v>
      </c>
      <c r="AY18" s="257" t="str">
        <f t="shared" si="10"/>
        <v>N/A</v>
      </c>
      <c r="AZ18" s="257" t="str">
        <f t="shared" si="10"/>
        <v>N/A</v>
      </c>
      <c r="BA18" s="256">
        <v>15</v>
      </c>
      <c r="BB18" s="257" t="str">
        <f t="shared" si="11"/>
        <v>N/A</v>
      </c>
      <c r="BC18" s="257" t="str">
        <f t="shared" si="4"/>
        <v>N/A</v>
      </c>
      <c r="BD18" s="257" t="str">
        <f t="shared" si="4"/>
        <v>N/A</v>
      </c>
      <c r="BE18" s="257" t="str">
        <f t="shared" si="4"/>
        <v>N/A</v>
      </c>
      <c r="BF18" s="257" t="str">
        <f t="shared" si="4"/>
        <v>N/A</v>
      </c>
      <c r="BG18" s="370">
        <v>15</v>
      </c>
    </row>
    <row r="19" spans="2:59" ht="15" thickBot="1" x14ac:dyDescent="0.35">
      <c r="B19" s="301" t="s">
        <v>362</v>
      </c>
      <c r="C19" s="231">
        <f>SUM(C4:C18)</f>
        <v>0</v>
      </c>
      <c r="D19" s="231">
        <f>SUM(D4:D18)</f>
        <v>0</v>
      </c>
      <c r="E19" s="231">
        <f>SUM(E4:E18)</f>
        <v>0</v>
      </c>
      <c r="F19" s="231">
        <f>SUM(F4:F18)</f>
        <v>0</v>
      </c>
      <c r="G19" s="231">
        <f>SUM(G4:G18)</f>
        <v>0</v>
      </c>
      <c r="H19" s="301" t="s">
        <v>362</v>
      </c>
      <c r="I19" s="231">
        <f>SUM(I4:I18)</f>
        <v>0</v>
      </c>
      <c r="J19" s="231">
        <f>SUM(J4:J18)</f>
        <v>0</v>
      </c>
      <c r="K19" s="231">
        <f>SUM(K4:K18)</f>
        <v>0</v>
      </c>
      <c r="L19" s="231">
        <f>SUM(L4:L18)</f>
        <v>0</v>
      </c>
      <c r="M19" s="231">
        <f>SUM(M4:M18)</f>
        <v>0</v>
      </c>
      <c r="N19" s="275"/>
      <c r="O19" s="298" t="s">
        <v>364</v>
      </c>
      <c r="P19" s="526">
        <f>J59</f>
        <v>0</v>
      </c>
      <c r="Q19" s="936" t="s">
        <v>356</v>
      </c>
      <c r="R19" s="236" t="s">
        <v>336</v>
      </c>
      <c r="S19" s="363">
        <v>16</v>
      </c>
      <c r="T19" s="254" t="s">
        <v>336</v>
      </c>
      <c r="U19" s="254" t="s">
        <v>336</v>
      </c>
      <c r="V19" s="254" t="s">
        <v>336</v>
      </c>
      <c r="W19" s="254" t="s">
        <v>336</v>
      </c>
      <c r="X19" s="254" t="s">
        <v>336</v>
      </c>
      <c r="Y19" s="371">
        <v>16</v>
      </c>
      <c r="Z19" s="254" t="s">
        <v>336</v>
      </c>
      <c r="AA19" s="254" t="s">
        <v>336</v>
      </c>
      <c r="AB19" s="254" t="s">
        <v>336</v>
      </c>
      <c r="AC19" s="254" t="s">
        <v>336</v>
      </c>
      <c r="AD19" s="254" t="s">
        <v>336</v>
      </c>
      <c r="AE19" s="236"/>
      <c r="AF19" s="254" t="s">
        <v>336</v>
      </c>
      <c r="AG19" s="254" t="s">
        <v>336</v>
      </c>
      <c r="AH19" s="254" t="s">
        <v>336</v>
      </c>
      <c r="AI19" s="254" t="s">
        <v>336</v>
      </c>
      <c r="AJ19" s="254" t="s">
        <v>336</v>
      </c>
      <c r="AK19" s="363">
        <v>16</v>
      </c>
      <c r="AL19" s="254" t="s">
        <v>336</v>
      </c>
      <c r="AM19" s="254" t="s">
        <v>336</v>
      </c>
      <c r="AN19" s="254" t="s">
        <v>336</v>
      </c>
      <c r="AO19" s="254" t="s">
        <v>336</v>
      </c>
      <c r="AP19" s="254" t="s">
        <v>336</v>
      </c>
      <c r="AQ19" s="371">
        <v>16</v>
      </c>
      <c r="AR19" s="298" t="s">
        <v>364</v>
      </c>
      <c r="AS19" s="299">
        <f>BC59</f>
        <v>0</v>
      </c>
      <c r="AT19" s="936" t="s">
        <v>356</v>
      </c>
      <c r="AU19" s="236"/>
      <c r="AV19" s="231">
        <f>SUM(AV4:AV18)</f>
        <v>0</v>
      </c>
      <c r="AW19" s="231">
        <f>SUM(AW4:AW18)</f>
        <v>0</v>
      </c>
      <c r="AX19" s="231">
        <f>SUM(AX4:AX18)</f>
        <v>0</v>
      </c>
      <c r="AY19" s="231">
        <f>SUM(AY4:AY18)</f>
        <v>0</v>
      </c>
      <c r="AZ19" s="231">
        <f>SUM(AZ4:AZ18)</f>
        <v>0</v>
      </c>
      <c r="BA19" s="301" t="s">
        <v>362</v>
      </c>
      <c r="BB19" s="231">
        <f>SUM(BB4:BB18)</f>
        <v>0</v>
      </c>
      <c r="BC19" s="231">
        <f>SUM(BC4:BC18)</f>
        <v>0</v>
      </c>
      <c r="BD19" s="231">
        <f>SUM(BD4:BD18)</f>
        <v>0</v>
      </c>
      <c r="BE19" s="231">
        <f>SUM(BE4:BE18)</f>
        <v>0</v>
      </c>
      <c r="BF19" s="231">
        <f>SUM(BF4:BF18)</f>
        <v>0</v>
      </c>
      <c r="BG19" s="301" t="s">
        <v>362</v>
      </c>
    </row>
    <row r="20" spans="2:59" ht="15" thickBot="1" x14ac:dyDescent="0.35">
      <c r="B20" s="247" t="s">
        <v>192</v>
      </c>
      <c r="C20" s="248" t="s">
        <v>219</v>
      </c>
      <c r="D20" s="249" t="s">
        <v>220</v>
      </c>
      <c r="E20" s="249" t="s">
        <v>332</v>
      </c>
      <c r="F20" s="249" t="s">
        <v>333</v>
      </c>
      <c r="G20" s="231" t="s">
        <v>535</v>
      </c>
      <c r="H20" s="247" t="s">
        <v>192</v>
      </c>
      <c r="I20" s="248" t="s">
        <v>219</v>
      </c>
      <c r="J20" s="249" t="s">
        <v>220</v>
      </c>
      <c r="K20" s="249" t="s">
        <v>332</v>
      </c>
      <c r="L20" s="249" t="s">
        <v>333</v>
      </c>
      <c r="M20" s="231" t="s">
        <v>535</v>
      </c>
      <c r="N20" s="238"/>
      <c r="O20" s="298" t="s">
        <v>338</v>
      </c>
      <c r="P20" s="526">
        <f>J65</f>
        <v>0</v>
      </c>
      <c r="Q20" s="937"/>
      <c r="R20" s="236" t="s">
        <v>336</v>
      </c>
      <c r="S20" s="364">
        <v>17</v>
      </c>
      <c r="T20" s="246" t="s">
        <v>336</v>
      </c>
      <c r="U20" s="246" t="s">
        <v>336</v>
      </c>
      <c r="V20" s="246" t="s">
        <v>336</v>
      </c>
      <c r="W20" s="246" t="s">
        <v>336</v>
      </c>
      <c r="X20" s="246" t="s">
        <v>336</v>
      </c>
      <c r="Y20" s="372">
        <v>17</v>
      </c>
      <c r="Z20" s="246" t="s">
        <v>336</v>
      </c>
      <c r="AA20" s="246" t="s">
        <v>336</v>
      </c>
      <c r="AB20" s="246" t="s">
        <v>336</v>
      </c>
      <c r="AC20" s="246" t="s">
        <v>336</v>
      </c>
      <c r="AD20" s="246" t="s">
        <v>336</v>
      </c>
      <c r="AE20" s="236"/>
      <c r="AF20" s="246" t="s">
        <v>336</v>
      </c>
      <c r="AG20" s="246" t="s">
        <v>336</v>
      </c>
      <c r="AH20" s="246" t="s">
        <v>336</v>
      </c>
      <c r="AI20" s="246" t="s">
        <v>336</v>
      </c>
      <c r="AJ20" s="246" t="s">
        <v>336</v>
      </c>
      <c r="AK20" s="364">
        <v>17</v>
      </c>
      <c r="AL20" s="246" t="s">
        <v>336</v>
      </c>
      <c r="AM20" s="246" t="s">
        <v>336</v>
      </c>
      <c r="AN20" s="246" t="s">
        <v>336</v>
      </c>
      <c r="AO20" s="246" t="s">
        <v>336</v>
      </c>
      <c r="AP20" s="246" t="s">
        <v>336</v>
      </c>
      <c r="AQ20" s="372">
        <v>17</v>
      </c>
      <c r="AR20" s="298" t="s">
        <v>338</v>
      </c>
      <c r="AS20" s="299">
        <f>BC65</f>
        <v>0</v>
      </c>
      <c r="AT20" s="937"/>
      <c r="AU20" s="236"/>
      <c r="AV20" s="248" t="s">
        <v>219</v>
      </c>
      <c r="AW20" s="249" t="s">
        <v>220</v>
      </c>
      <c r="AX20" s="249" t="s">
        <v>332</v>
      </c>
      <c r="AY20" s="249" t="s">
        <v>333</v>
      </c>
      <c r="AZ20" s="231" t="s">
        <v>535</v>
      </c>
      <c r="BA20" s="247" t="s">
        <v>192</v>
      </c>
      <c r="BB20" s="248" t="s">
        <v>219</v>
      </c>
      <c r="BC20" s="249" t="s">
        <v>220</v>
      </c>
      <c r="BD20" s="249" t="s">
        <v>332</v>
      </c>
      <c r="BE20" s="249" t="s">
        <v>333</v>
      </c>
      <c r="BF20" s="231" t="s">
        <v>535</v>
      </c>
      <c r="BG20" s="247" t="s">
        <v>192</v>
      </c>
    </row>
    <row r="21" spans="2:59" x14ac:dyDescent="0.3">
      <c r="B21" s="302">
        <v>16</v>
      </c>
      <c r="C21" s="257" t="str">
        <f>T19</f>
        <v>N/A</v>
      </c>
      <c r="D21" s="257" t="str">
        <f>U19</f>
        <v>N/A</v>
      </c>
      <c r="E21" s="257" t="str">
        <f>V19</f>
        <v>N/A</v>
      </c>
      <c r="F21" s="257" t="str">
        <f>W19</f>
        <v>N/A</v>
      </c>
      <c r="G21" s="257" t="str">
        <f>X19</f>
        <v>N/A</v>
      </c>
      <c r="H21" s="355">
        <v>16</v>
      </c>
      <c r="I21" s="257" t="str">
        <f>Z19</f>
        <v>N/A</v>
      </c>
      <c r="J21" s="257" t="str">
        <f>AA19</f>
        <v>N/A</v>
      </c>
      <c r="K21" s="257" t="str">
        <f>AB19</f>
        <v>N/A</v>
      </c>
      <c r="L21" s="257" t="str">
        <f>AC19</f>
        <v>N/A</v>
      </c>
      <c r="M21" s="257" t="str">
        <f>AD19</f>
        <v>N/A</v>
      </c>
      <c r="N21" s="249"/>
      <c r="O21" s="298" t="s">
        <v>339</v>
      </c>
      <c r="P21" s="526">
        <f>J71</f>
        <v>0</v>
      </c>
      <c r="Q21" s="938"/>
      <c r="R21" s="236" t="s">
        <v>336</v>
      </c>
      <c r="S21" s="363">
        <v>18</v>
      </c>
      <c r="T21" s="254" t="s">
        <v>336</v>
      </c>
      <c r="U21" s="254" t="s">
        <v>336</v>
      </c>
      <c r="V21" s="254" t="s">
        <v>336</v>
      </c>
      <c r="W21" s="254" t="s">
        <v>336</v>
      </c>
      <c r="X21" s="254" t="s">
        <v>336</v>
      </c>
      <c r="Y21" s="371">
        <v>18</v>
      </c>
      <c r="Z21" s="254" t="s">
        <v>336</v>
      </c>
      <c r="AA21" s="254" t="s">
        <v>336</v>
      </c>
      <c r="AB21" s="254" t="s">
        <v>336</v>
      </c>
      <c r="AC21" s="254" t="s">
        <v>336</v>
      </c>
      <c r="AD21" s="254" t="s">
        <v>336</v>
      </c>
      <c r="AE21" s="236"/>
      <c r="AF21" s="254" t="s">
        <v>336</v>
      </c>
      <c r="AG21" s="254" t="s">
        <v>336</v>
      </c>
      <c r="AH21" s="254" t="s">
        <v>336</v>
      </c>
      <c r="AI21" s="254" t="s">
        <v>336</v>
      </c>
      <c r="AJ21" s="254" t="s">
        <v>336</v>
      </c>
      <c r="AK21" s="363">
        <v>18</v>
      </c>
      <c r="AL21" s="254" t="s">
        <v>336</v>
      </c>
      <c r="AM21" s="254" t="s">
        <v>336</v>
      </c>
      <c r="AN21" s="254" t="s">
        <v>336</v>
      </c>
      <c r="AO21" s="254" t="s">
        <v>336</v>
      </c>
      <c r="AP21" s="254" t="s">
        <v>336</v>
      </c>
      <c r="AQ21" s="371">
        <v>18</v>
      </c>
      <c r="AR21" s="298" t="s">
        <v>339</v>
      </c>
      <c r="AS21" s="299">
        <f>BC71</f>
        <v>0</v>
      </c>
      <c r="AT21" s="938"/>
      <c r="AU21" s="236"/>
      <c r="AV21" s="257" t="str">
        <f>AF19</f>
        <v>N/A</v>
      </c>
      <c r="AW21" s="257" t="str">
        <f>AG19</f>
        <v>N/A</v>
      </c>
      <c r="AX21" s="257" t="str">
        <f>AH19</f>
        <v>N/A</v>
      </c>
      <c r="AY21" s="257" t="str">
        <f>AI19</f>
        <v>N/A</v>
      </c>
      <c r="AZ21" s="257" t="str">
        <f>AJ19</f>
        <v>N/A</v>
      </c>
      <c r="BA21" s="302">
        <v>16</v>
      </c>
      <c r="BB21" s="257" t="str">
        <f>AL19</f>
        <v>N/A</v>
      </c>
      <c r="BC21" s="257" t="str">
        <f t="shared" ref="BC21:BF34" si="14">AM19</f>
        <v>N/A</v>
      </c>
      <c r="BD21" s="257" t="str">
        <f t="shared" si="14"/>
        <v>N/A</v>
      </c>
      <c r="BE21" s="257" t="str">
        <f t="shared" si="14"/>
        <v>N/A</v>
      </c>
      <c r="BF21" s="257" t="str">
        <f t="shared" si="14"/>
        <v>N/A</v>
      </c>
      <c r="BG21" s="371">
        <v>16</v>
      </c>
    </row>
    <row r="22" spans="2:59" ht="15" thickBot="1" x14ac:dyDescent="0.35">
      <c r="B22" s="303">
        <v>17</v>
      </c>
      <c r="C22" s="265" t="str">
        <f t="shared" ref="C22:C34" si="15">T20</f>
        <v>N/A</v>
      </c>
      <c r="D22" s="265" t="str">
        <f t="shared" ref="D22:D34" si="16">U20</f>
        <v>N/A</v>
      </c>
      <c r="E22" s="265" t="str">
        <f t="shared" ref="E22:E34" si="17">V20</f>
        <v>N/A</v>
      </c>
      <c r="F22" s="265" t="str">
        <f t="shared" ref="F22:G34" si="18">W20</f>
        <v>N/A</v>
      </c>
      <c r="G22" s="265" t="str">
        <f t="shared" si="18"/>
        <v>N/A</v>
      </c>
      <c r="H22" s="356">
        <v>17</v>
      </c>
      <c r="I22" s="265" t="str">
        <f t="shared" ref="I22:I34" si="19">Z20</f>
        <v>N/A</v>
      </c>
      <c r="J22" s="265" t="str">
        <f t="shared" ref="J22:J34" si="20">AA20</f>
        <v>N/A</v>
      </c>
      <c r="K22" s="265" t="str">
        <f t="shared" ref="K22:K34" si="21">AB20</f>
        <v>N/A</v>
      </c>
      <c r="L22" s="265" t="str">
        <f t="shared" ref="L22:M34" si="22">AC20</f>
        <v>N/A</v>
      </c>
      <c r="M22" s="265" t="str">
        <f t="shared" si="22"/>
        <v>N/A</v>
      </c>
      <c r="N22" s="260"/>
      <c r="O22" s="236"/>
      <c r="P22" s="236"/>
      <c r="Q22" s="236"/>
      <c r="R22" s="236" t="s">
        <v>336</v>
      </c>
      <c r="S22" s="364">
        <v>19</v>
      </c>
      <c r="T22" s="246" t="s">
        <v>336</v>
      </c>
      <c r="U22" s="246" t="s">
        <v>336</v>
      </c>
      <c r="V22" s="246" t="s">
        <v>336</v>
      </c>
      <c r="W22" s="246" t="s">
        <v>336</v>
      </c>
      <c r="X22" s="246" t="s">
        <v>336</v>
      </c>
      <c r="Y22" s="372">
        <v>19</v>
      </c>
      <c r="Z22" s="246" t="s">
        <v>336</v>
      </c>
      <c r="AA22" s="246" t="s">
        <v>336</v>
      </c>
      <c r="AB22" s="246" t="s">
        <v>336</v>
      </c>
      <c r="AC22" s="246" t="s">
        <v>336</v>
      </c>
      <c r="AD22" s="246" t="s">
        <v>336</v>
      </c>
      <c r="AE22" s="236"/>
      <c r="AF22" s="246" t="s">
        <v>336</v>
      </c>
      <c r="AG22" s="246" t="s">
        <v>336</v>
      </c>
      <c r="AH22" s="246" t="s">
        <v>336</v>
      </c>
      <c r="AI22" s="246" t="s">
        <v>336</v>
      </c>
      <c r="AJ22" s="246" t="s">
        <v>336</v>
      </c>
      <c r="AK22" s="364">
        <v>19</v>
      </c>
      <c r="AL22" s="246" t="s">
        <v>336</v>
      </c>
      <c r="AM22" s="246" t="s">
        <v>336</v>
      </c>
      <c r="AN22" s="246" t="s">
        <v>336</v>
      </c>
      <c r="AO22" s="246" t="s">
        <v>336</v>
      </c>
      <c r="AP22" s="246" t="s">
        <v>336</v>
      </c>
      <c r="AQ22" s="372">
        <v>19</v>
      </c>
      <c r="AR22" s="236"/>
      <c r="AS22" s="236"/>
      <c r="AT22" s="300"/>
      <c r="AU22" s="236"/>
      <c r="AV22" s="265" t="str">
        <f t="shared" ref="AV22:AV34" si="23">AF20</f>
        <v>N/A</v>
      </c>
      <c r="AW22" s="265" t="str">
        <f t="shared" ref="AW22:AW34" si="24">AG20</f>
        <v>N/A</v>
      </c>
      <c r="AX22" s="265" t="str">
        <f t="shared" ref="AX22:AX34" si="25">AH20</f>
        <v>N/A</v>
      </c>
      <c r="AY22" s="265" t="str">
        <f t="shared" ref="AY22:AZ34" si="26">AI20</f>
        <v>N/A</v>
      </c>
      <c r="AZ22" s="265" t="str">
        <f t="shared" si="26"/>
        <v>N/A</v>
      </c>
      <c r="BA22" s="303">
        <v>17</v>
      </c>
      <c r="BB22" s="265" t="str">
        <f t="shared" ref="BB22:BB34" si="27">AL20</f>
        <v>N/A</v>
      </c>
      <c r="BC22" s="265" t="str">
        <f t="shared" si="14"/>
        <v>N/A</v>
      </c>
      <c r="BD22" s="265" t="str">
        <f t="shared" si="14"/>
        <v>N/A</v>
      </c>
      <c r="BE22" s="265" t="str">
        <f t="shared" si="14"/>
        <v>N/A</v>
      </c>
      <c r="BF22" s="265" t="str">
        <f t="shared" si="14"/>
        <v>N/A</v>
      </c>
      <c r="BG22" s="372">
        <v>17</v>
      </c>
    </row>
    <row r="23" spans="2:59" x14ac:dyDescent="0.3">
      <c r="B23" s="302">
        <v>18</v>
      </c>
      <c r="C23" s="257" t="str">
        <f t="shared" si="15"/>
        <v>N/A</v>
      </c>
      <c r="D23" s="257" t="str">
        <f t="shared" si="16"/>
        <v>N/A</v>
      </c>
      <c r="E23" s="257" t="str">
        <f t="shared" si="17"/>
        <v>N/A</v>
      </c>
      <c r="F23" s="257" t="str">
        <f t="shared" si="18"/>
        <v>N/A</v>
      </c>
      <c r="G23" s="257" t="str">
        <f t="shared" si="18"/>
        <v>N/A</v>
      </c>
      <c r="H23" s="355">
        <v>18</v>
      </c>
      <c r="I23" s="257" t="str">
        <f t="shared" si="19"/>
        <v>N/A</v>
      </c>
      <c r="J23" s="257" t="str">
        <f t="shared" si="20"/>
        <v>N/A</v>
      </c>
      <c r="K23" s="257" t="str">
        <f t="shared" si="21"/>
        <v>N/A</v>
      </c>
      <c r="L23" s="257" t="str">
        <f t="shared" si="22"/>
        <v>N/A</v>
      </c>
      <c r="M23" s="257" t="str">
        <f t="shared" si="22"/>
        <v>N/A</v>
      </c>
      <c r="N23" s="260"/>
      <c r="O23" s="236"/>
      <c r="P23" s="231" t="s">
        <v>205</v>
      </c>
      <c r="Q23" s="236"/>
      <c r="R23" s="236" t="s">
        <v>336</v>
      </c>
      <c r="S23" s="363">
        <v>20</v>
      </c>
      <c r="T23" s="254" t="s">
        <v>336</v>
      </c>
      <c r="U23" s="254" t="s">
        <v>336</v>
      </c>
      <c r="V23" s="254" t="s">
        <v>336</v>
      </c>
      <c r="W23" s="254" t="s">
        <v>336</v>
      </c>
      <c r="X23" s="254" t="s">
        <v>336</v>
      </c>
      <c r="Y23" s="371">
        <v>20</v>
      </c>
      <c r="Z23" s="254" t="s">
        <v>336</v>
      </c>
      <c r="AA23" s="254" t="s">
        <v>336</v>
      </c>
      <c r="AB23" s="254" t="s">
        <v>336</v>
      </c>
      <c r="AC23" s="254" t="s">
        <v>336</v>
      </c>
      <c r="AD23" s="254" t="s">
        <v>336</v>
      </c>
      <c r="AE23" s="236"/>
      <c r="AF23" s="254" t="s">
        <v>336</v>
      </c>
      <c r="AG23" s="254" t="s">
        <v>336</v>
      </c>
      <c r="AH23" s="254" t="s">
        <v>336</v>
      </c>
      <c r="AI23" s="254" t="s">
        <v>336</v>
      </c>
      <c r="AJ23" s="254" t="s">
        <v>336</v>
      </c>
      <c r="AK23" s="363">
        <v>20</v>
      </c>
      <c r="AL23" s="254" t="s">
        <v>336</v>
      </c>
      <c r="AM23" s="254" t="s">
        <v>336</v>
      </c>
      <c r="AN23" s="254" t="s">
        <v>336</v>
      </c>
      <c r="AO23" s="254" t="s">
        <v>336</v>
      </c>
      <c r="AP23" s="254" t="s">
        <v>336</v>
      </c>
      <c r="AQ23" s="371">
        <v>20</v>
      </c>
      <c r="AR23" s="236"/>
      <c r="AS23" s="231" t="s">
        <v>205</v>
      </c>
      <c r="AT23" s="236"/>
      <c r="AU23" s="236"/>
      <c r="AV23" s="257" t="str">
        <f t="shared" si="23"/>
        <v>N/A</v>
      </c>
      <c r="AW23" s="257" t="str">
        <f t="shared" si="24"/>
        <v>N/A</v>
      </c>
      <c r="AX23" s="257" t="str">
        <f t="shared" si="25"/>
        <v>N/A</v>
      </c>
      <c r="AY23" s="257" t="str">
        <f t="shared" si="26"/>
        <v>N/A</v>
      </c>
      <c r="AZ23" s="257" t="str">
        <f t="shared" si="26"/>
        <v>N/A</v>
      </c>
      <c r="BA23" s="302">
        <v>18</v>
      </c>
      <c r="BB23" s="257" t="str">
        <f t="shared" si="27"/>
        <v>N/A</v>
      </c>
      <c r="BC23" s="257" t="str">
        <f t="shared" si="14"/>
        <v>N/A</v>
      </c>
      <c r="BD23" s="257" t="str">
        <f t="shared" si="14"/>
        <v>N/A</v>
      </c>
      <c r="BE23" s="257" t="str">
        <f t="shared" si="14"/>
        <v>N/A</v>
      </c>
      <c r="BF23" s="257" t="str">
        <f t="shared" si="14"/>
        <v>N/A</v>
      </c>
      <c r="BG23" s="371">
        <v>18</v>
      </c>
    </row>
    <row r="24" spans="2:59" ht="15" thickBot="1" x14ac:dyDescent="0.35">
      <c r="B24" s="303">
        <v>19</v>
      </c>
      <c r="C24" s="265" t="str">
        <f t="shared" si="15"/>
        <v>N/A</v>
      </c>
      <c r="D24" s="265" t="str">
        <f t="shared" si="16"/>
        <v>N/A</v>
      </c>
      <c r="E24" s="265" t="str">
        <f t="shared" si="17"/>
        <v>N/A</v>
      </c>
      <c r="F24" s="265" t="str">
        <f t="shared" si="18"/>
        <v>N/A</v>
      </c>
      <c r="G24" s="265" t="str">
        <f t="shared" si="18"/>
        <v>N/A</v>
      </c>
      <c r="H24" s="356">
        <v>19</v>
      </c>
      <c r="I24" s="265" t="str">
        <f t="shared" si="19"/>
        <v>N/A</v>
      </c>
      <c r="J24" s="265" t="str">
        <f t="shared" si="20"/>
        <v>N/A</v>
      </c>
      <c r="K24" s="265" t="str">
        <f t="shared" si="21"/>
        <v>N/A</v>
      </c>
      <c r="L24" s="265" t="str">
        <f t="shared" si="22"/>
        <v>N/A</v>
      </c>
      <c r="M24" s="265" t="str">
        <f t="shared" si="22"/>
        <v>N/A</v>
      </c>
      <c r="N24" s="260"/>
      <c r="O24" s="298" t="s">
        <v>357</v>
      </c>
      <c r="P24" s="299">
        <f>SQRT((POWER(D59,2))+(POWER(D71,2))+(D59*D71))*2</f>
        <v>0</v>
      </c>
      <c r="Q24" s="936" t="s">
        <v>379</v>
      </c>
      <c r="R24" s="236" t="s">
        <v>336</v>
      </c>
      <c r="S24" s="364">
        <v>21</v>
      </c>
      <c r="T24" s="246" t="s">
        <v>336</v>
      </c>
      <c r="U24" s="246" t="s">
        <v>336</v>
      </c>
      <c r="V24" s="246" t="s">
        <v>336</v>
      </c>
      <c r="W24" s="246" t="s">
        <v>336</v>
      </c>
      <c r="X24" s="246" t="s">
        <v>336</v>
      </c>
      <c r="Y24" s="372">
        <v>21</v>
      </c>
      <c r="Z24" s="246" t="s">
        <v>336</v>
      </c>
      <c r="AA24" s="246" t="s">
        <v>336</v>
      </c>
      <c r="AB24" s="246" t="s">
        <v>336</v>
      </c>
      <c r="AC24" s="246" t="s">
        <v>336</v>
      </c>
      <c r="AD24" s="246" t="s">
        <v>336</v>
      </c>
      <c r="AE24" s="236"/>
      <c r="AF24" s="246" t="s">
        <v>336</v>
      </c>
      <c r="AG24" s="246" t="s">
        <v>336</v>
      </c>
      <c r="AH24" s="246" t="s">
        <v>336</v>
      </c>
      <c r="AI24" s="246" t="s">
        <v>336</v>
      </c>
      <c r="AJ24" s="246" t="s">
        <v>336</v>
      </c>
      <c r="AK24" s="364">
        <v>21</v>
      </c>
      <c r="AL24" s="246" t="s">
        <v>336</v>
      </c>
      <c r="AM24" s="246" t="s">
        <v>336</v>
      </c>
      <c r="AN24" s="246" t="s">
        <v>336</v>
      </c>
      <c r="AO24" s="246" t="s">
        <v>336</v>
      </c>
      <c r="AP24" s="246" t="s">
        <v>336</v>
      </c>
      <c r="AQ24" s="372">
        <v>21</v>
      </c>
      <c r="AR24" s="298" t="s">
        <v>357</v>
      </c>
      <c r="AS24" s="299">
        <f>SQRT((POWER(AW59,2))+(POWER(AW71,2))+(AW59*AW71))*2</f>
        <v>0</v>
      </c>
      <c r="AT24" s="936" t="s">
        <v>379</v>
      </c>
      <c r="AU24" s="236"/>
      <c r="AV24" s="265" t="str">
        <f t="shared" si="23"/>
        <v>N/A</v>
      </c>
      <c r="AW24" s="265" t="str">
        <f t="shared" si="24"/>
        <v>N/A</v>
      </c>
      <c r="AX24" s="265" t="str">
        <f t="shared" si="25"/>
        <v>N/A</v>
      </c>
      <c r="AY24" s="265" t="str">
        <f t="shared" si="26"/>
        <v>N/A</v>
      </c>
      <c r="AZ24" s="265" t="str">
        <f t="shared" si="26"/>
        <v>N/A</v>
      </c>
      <c r="BA24" s="303">
        <v>19</v>
      </c>
      <c r="BB24" s="265" t="str">
        <f t="shared" si="27"/>
        <v>N/A</v>
      </c>
      <c r="BC24" s="265" t="str">
        <f t="shared" si="14"/>
        <v>N/A</v>
      </c>
      <c r="BD24" s="265" t="str">
        <f t="shared" si="14"/>
        <v>N/A</v>
      </c>
      <c r="BE24" s="265" t="str">
        <f t="shared" si="14"/>
        <v>N/A</v>
      </c>
      <c r="BF24" s="265" t="str">
        <f t="shared" si="14"/>
        <v>N/A</v>
      </c>
      <c r="BG24" s="372">
        <v>19</v>
      </c>
    </row>
    <row r="25" spans="2:59" x14ac:dyDescent="0.3">
      <c r="B25" s="302">
        <v>20</v>
      </c>
      <c r="C25" s="257" t="str">
        <f t="shared" si="15"/>
        <v>N/A</v>
      </c>
      <c r="D25" s="257" t="str">
        <f t="shared" si="16"/>
        <v>N/A</v>
      </c>
      <c r="E25" s="257" t="str">
        <f t="shared" si="17"/>
        <v>N/A</v>
      </c>
      <c r="F25" s="257" t="str">
        <f t="shared" si="18"/>
        <v>N/A</v>
      </c>
      <c r="G25" s="257" t="str">
        <f t="shared" si="18"/>
        <v>N/A</v>
      </c>
      <c r="H25" s="355">
        <v>20</v>
      </c>
      <c r="I25" s="257" t="str">
        <f t="shared" si="19"/>
        <v>N/A</v>
      </c>
      <c r="J25" s="257" t="str">
        <f t="shared" si="20"/>
        <v>N/A</v>
      </c>
      <c r="K25" s="257" t="str">
        <f t="shared" si="21"/>
        <v>N/A</v>
      </c>
      <c r="L25" s="257" t="str">
        <f t="shared" si="22"/>
        <v>N/A</v>
      </c>
      <c r="M25" s="257" t="str">
        <f t="shared" si="22"/>
        <v>N/A</v>
      </c>
      <c r="N25" s="260"/>
      <c r="O25" s="298" t="s">
        <v>358</v>
      </c>
      <c r="P25" s="299">
        <f>SQRT((POWER(D65,2))+(POWER(D59,2))+(D65*D59))*2</f>
        <v>0</v>
      </c>
      <c r="Q25" s="937"/>
      <c r="R25" s="236" t="s">
        <v>336</v>
      </c>
      <c r="S25" s="363">
        <v>22</v>
      </c>
      <c r="T25" s="254" t="s">
        <v>336</v>
      </c>
      <c r="U25" s="254" t="s">
        <v>336</v>
      </c>
      <c r="V25" s="254" t="s">
        <v>336</v>
      </c>
      <c r="W25" s="254" t="s">
        <v>336</v>
      </c>
      <c r="X25" s="254" t="s">
        <v>336</v>
      </c>
      <c r="Y25" s="371">
        <v>22</v>
      </c>
      <c r="Z25" s="254" t="s">
        <v>336</v>
      </c>
      <c r="AA25" s="254" t="s">
        <v>336</v>
      </c>
      <c r="AB25" s="254" t="s">
        <v>336</v>
      </c>
      <c r="AC25" s="254" t="s">
        <v>336</v>
      </c>
      <c r="AD25" s="254" t="s">
        <v>336</v>
      </c>
      <c r="AE25" s="236"/>
      <c r="AF25" s="254" t="s">
        <v>336</v>
      </c>
      <c r="AG25" s="254" t="s">
        <v>336</v>
      </c>
      <c r="AH25" s="254" t="s">
        <v>336</v>
      </c>
      <c r="AI25" s="254" t="s">
        <v>336</v>
      </c>
      <c r="AJ25" s="254" t="s">
        <v>336</v>
      </c>
      <c r="AK25" s="363">
        <v>22</v>
      </c>
      <c r="AL25" s="254" t="s">
        <v>336</v>
      </c>
      <c r="AM25" s="254" t="s">
        <v>336</v>
      </c>
      <c r="AN25" s="254" t="s">
        <v>336</v>
      </c>
      <c r="AO25" s="254" t="s">
        <v>336</v>
      </c>
      <c r="AP25" s="254" t="s">
        <v>336</v>
      </c>
      <c r="AQ25" s="371">
        <v>22</v>
      </c>
      <c r="AR25" s="298" t="s">
        <v>358</v>
      </c>
      <c r="AS25" s="299">
        <f>SQRT((POWER(AW65,2))+(POWER(AW59,2))+(AW65*AW59))*2</f>
        <v>0</v>
      </c>
      <c r="AT25" s="937"/>
      <c r="AU25" s="236"/>
      <c r="AV25" s="257" t="str">
        <f t="shared" si="23"/>
        <v>N/A</v>
      </c>
      <c r="AW25" s="257" t="str">
        <f t="shared" si="24"/>
        <v>N/A</v>
      </c>
      <c r="AX25" s="257" t="str">
        <f t="shared" si="25"/>
        <v>N/A</v>
      </c>
      <c r="AY25" s="257" t="str">
        <f t="shared" si="26"/>
        <v>N/A</v>
      </c>
      <c r="AZ25" s="257" t="str">
        <f t="shared" si="26"/>
        <v>N/A</v>
      </c>
      <c r="BA25" s="302">
        <v>20</v>
      </c>
      <c r="BB25" s="257" t="str">
        <f t="shared" si="27"/>
        <v>N/A</v>
      </c>
      <c r="BC25" s="257" t="str">
        <f t="shared" si="14"/>
        <v>N/A</v>
      </c>
      <c r="BD25" s="257" t="str">
        <f t="shared" si="14"/>
        <v>N/A</v>
      </c>
      <c r="BE25" s="257" t="str">
        <f t="shared" si="14"/>
        <v>N/A</v>
      </c>
      <c r="BF25" s="257" t="str">
        <f t="shared" si="14"/>
        <v>N/A</v>
      </c>
      <c r="BG25" s="371">
        <v>20</v>
      </c>
    </row>
    <row r="26" spans="2:59" ht="15" thickBot="1" x14ac:dyDescent="0.35">
      <c r="B26" s="303">
        <v>21</v>
      </c>
      <c r="C26" s="265" t="str">
        <f t="shared" si="15"/>
        <v>N/A</v>
      </c>
      <c r="D26" s="265" t="str">
        <f t="shared" si="16"/>
        <v>N/A</v>
      </c>
      <c r="E26" s="265" t="str">
        <f t="shared" si="17"/>
        <v>N/A</v>
      </c>
      <c r="F26" s="265" t="str">
        <f t="shared" si="18"/>
        <v>N/A</v>
      </c>
      <c r="G26" s="265" t="str">
        <f t="shared" si="18"/>
        <v>N/A</v>
      </c>
      <c r="H26" s="356">
        <v>21</v>
      </c>
      <c r="I26" s="265" t="str">
        <f t="shared" si="19"/>
        <v>N/A</v>
      </c>
      <c r="J26" s="265" t="str">
        <f t="shared" si="20"/>
        <v>N/A</v>
      </c>
      <c r="K26" s="265" t="str">
        <f t="shared" si="21"/>
        <v>N/A</v>
      </c>
      <c r="L26" s="265" t="str">
        <f t="shared" si="22"/>
        <v>N/A</v>
      </c>
      <c r="M26" s="265" t="str">
        <f t="shared" si="22"/>
        <v>N/A</v>
      </c>
      <c r="N26" s="260"/>
      <c r="O26" s="298" t="s">
        <v>359</v>
      </c>
      <c r="P26" s="299">
        <f>SQRT((POWER(D71,2))+(POWER(D65,2))+(D71*D65))*2</f>
        <v>0</v>
      </c>
      <c r="Q26" s="938"/>
      <c r="R26" s="236" t="s">
        <v>336</v>
      </c>
      <c r="S26" s="364">
        <v>23</v>
      </c>
      <c r="T26" s="246" t="s">
        <v>336</v>
      </c>
      <c r="U26" s="246" t="s">
        <v>336</v>
      </c>
      <c r="V26" s="246" t="s">
        <v>336</v>
      </c>
      <c r="W26" s="246" t="s">
        <v>336</v>
      </c>
      <c r="X26" s="246" t="s">
        <v>336</v>
      </c>
      <c r="Y26" s="372">
        <v>23</v>
      </c>
      <c r="Z26" s="246" t="s">
        <v>336</v>
      </c>
      <c r="AA26" s="246" t="s">
        <v>336</v>
      </c>
      <c r="AB26" s="246" t="s">
        <v>336</v>
      </c>
      <c r="AC26" s="246" t="s">
        <v>336</v>
      </c>
      <c r="AD26" s="246" t="s">
        <v>336</v>
      </c>
      <c r="AE26" s="236"/>
      <c r="AF26" s="246" t="s">
        <v>336</v>
      </c>
      <c r="AG26" s="246" t="s">
        <v>336</v>
      </c>
      <c r="AH26" s="246" t="s">
        <v>336</v>
      </c>
      <c r="AI26" s="246" t="s">
        <v>336</v>
      </c>
      <c r="AJ26" s="246" t="s">
        <v>336</v>
      </c>
      <c r="AK26" s="364">
        <v>23</v>
      </c>
      <c r="AL26" s="246" t="s">
        <v>336</v>
      </c>
      <c r="AM26" s="246" t="s">
        <v>336</v>
      </c>
      <c r="AN26" s="246" t="s">
        <v>336</v>
      </c>
      <c r="AO26" s="246" t="s">
        <v>336</v>
      </c>
      <c r="AP26" s="246" t="s">
        <v>336</v>
      </c>
      <c r="AQ26" s="372">
        <v>23</v>
      </c>
      <c r="AR26" s="298" t="s">
        <v>359</v>
      </c>
      <c r="AS26" s="299">
        <f>SQRT((POWER(AW71,2))+(POWER(AW65,2))+(AW71*AW65))*2</f>
        <v>0</v>
      </c>
      <c r="AT26" s="938"/>
      <c r="AU26" s="236"/>
      <c r="AV26" s="265" t="str">
        <f t="shared" si="23"/>
        <v>N/A</v>
      </c>
      <c r="AW26" s="265" t="str">
        <f t="shared" si="24"/>
        <v>N/A</v>
      </c>
      <c r="AX26" s="265" t="str">
        <f t="shared" si="25"/>
        <v>N/A</v>
      </c>
      <c r="AY26" s="265" t="str">
        <f t="shared" si="26"/>
        <v>N/A</v>
      </c>
      <c r="AZ26" s="265" t="str">
        <f t="shared" si="26"/>
        <v>N/A</v>
      </c>
      <c r="BA26" s="303">
        <v>21</v>
      </c>
      <c r="BB26" s="265" t="str">
        <f t="shared" si="27"/>
        <v>N/A</v>
      </c>
      <c r="BC26" s="265" t="str">
        <f t="shared" si="14"/>
        <v>N/A</v>
      </c>
      <c r="BD26" s="265" t="str">
        <f t="shared" si="14"/>
        <v>N/A</v>
      </c>
      <c r="BE26" s="265" t="str">
        <f t="shared" si="14"/>
        <v>N/A</v>
      </c>
      <c r="BF26" s="265" t="str">
        <f t="shared" si="14"/>
        <v>N/A</v>
      </c>
      <c r="BG26" s="372">
        <v>21</v>
      </c>
    </row>
    <row r="27" spans="2:59" x14ac:dyDescent="0.3">
      <c r="B27" s="302">
        <v>22</v>
      </c>
      <c r="C27" s="257" t="str">
        <f t="shared" si="15"/>
        <v>N/A</v>
      </c>
      <c r="D27" s="257" t="str">
        <f t="shared" si="16"/>
        <v>N/A</v>
      </c>
      <c r="E27" s="257" t="str">
        <f t="shared" si="17"/>
        <v>N/A</v>
      </c>
      <c r="F27" s="257" t="str">
        <f t="shared" si="18"/>
        <v>N/A</v>
      </c>
      <c r="G27" s="257" t="str">
        <f t="shared" si="18"/>
        <v>N/A</v>
      </c>
      <c r="H27" s="355">
        <v>22</v>
      </c>
      <c r="I27" s="257" t="str">
        <f t="shared" si="19"/>
        <v>N/A</v>
      </c>
      <c r="J27" s="257" t="str">
        <f t="shared" si="20"/>
        <v>N/A</v>
      </c>
      <c r="K27" s="257" t="str">
        <f t="shared" si="21"/>
        <v>N/A</v>
      </c>
      <c r="L27" s="257" t="str">
        <f t="shared" si="22"/>
        <v>N/A</v>
      </c>
      <c r="M27" s="257" t="str">
        <f t="shared" si="22"/>
        <v>N/A</v>
      </c>
      <c r="N27" s="260"/>
      <c r="O27" s="236"/>
      <c r="P27" s="236"/>
      <c r="Q27" s="236"/>
      <c r="R27" s="236" t="s">
        <v>336</v>
      </c>
      <c r="S27" s="363">
        <v>24</v>
      </c>
      <c r="T27" s="254" t="s">
        <v>336</v>
      </c>
      <c r="U27" s="254" t="s">
        <v>336</v>
      </c>
      <c r="V27" s="254" t="s">
        <v>336</v>
      </c>
      <c r="W27" s="254" t="s">
        <v>336</v>
      </c>
      <c r="X27" s="254" t="s">
        <v>336</v>
      </c>
      <c r="Y27" s="371">
        <v>24</v>
      </c>
      <c r="Z27" s="254" t="s">
        <v>336</v>
      </c>
      <c r="AA27" s="254" t="s">
        <v>336</v>
      </c>
      <c r="AB27" s="254" t="s">
        <v>336</v>
      </c>
      <c r="AC27" s="254" t="s">
        <v>336</v>
      </c>
      <c r="AD27" s="254" t="s">
        <v>336</v>
      </c>
      <c r="AE27" s="236"/>
      <c r="AF27" s="254" t="s">
        <v>336</v>
      </c>
      <c r="AG27" s="254" t="s">
        <v>336</v>
      </c>
      <c r="AH27" s="254" t="s">
        <v>336</v>
      </c>
      <c r="AI27" s="254" t="s">
        <v>336</v>
      </c>
      <c r="AJ27" s="254" t="s">
        <v>336</v>
      </c>
      <c r="AK27" s="363">
        <v>24</v>
      </c>
      <c r="AL27" s="254" t="s">
        <v>336</v>
      </c>
      <c r="AM27" s="254" t="s">
        <v>336</v>
      </c>
      <c r="AN27" s="254" t="s">
        <v>336</v>
      </c>
      <c r="AO27" s="254" t="s">
        <v>336</v>
      </c>
      <c r="AP27" s="254" t="s">
        <v>336</v>
      </c>
      <c r="AQ27" s="371">
        <v>24</v>
      </c>
      <c r="AR27" s="236"/>
      <c r="AS27" s="236"/>
      <c r="AT27" s="300"/>
      <c r="AU27" s="236"/>
      <c r="AV27" s="257" t="str">
        <f t="shared" si="23"/>
        <v>N/A</v>
      </c>
      <c r="AW27" s="257" t="str">
        <f t="shared" si="24"/>
        <v>N/A</v>
      </c>
      <c r="AX27" s="257" t="str">
        <f t="shared" si="25"/>
        <v>N/A</v>
      </c>
      <c r="AY27" s="257" t="str">
        <f t="shared" si="26"/>
        <v>N/A</v>
      </c>
      <c r="AZ27" s="257" t="str">
        <f t="shared" si="26"/>
        <v>N/A</v>
      </c>
      <c r="BA27" s="302">
        <v>22</v>
      </c>
      <c r="BB27" s="257" t="str">
        <f t="shared" si="27"/>
        <v>N/A</v>
      </c>
      <c r="BC27" s="257" t="str">
        <f t="shared" si="14"/>
        <v>N/A</v>
      </c>
      <c r="BD27" s="257" t="str">
        <f t="shared" si="14"/>
        <v>N/A</v>
      </c>
      <c r="BE27" s="257" t="str">
        <f t="shared" si="14"/>
        <v>N/A</v>
      </c>
      <c r="BF27" s="257" t="str">
        <f t="shared" si="14"/>
        <v>N/A</v>
      </c>
      <c r="BG27" s="371">
        <v>22</v>
      </c>
    </row>
    <row r="28" spans="2:59" ht="15" thickBot="1" x14ac:dyDescent="0.35">
      <c r="B28" s="303">
        <v>23</v>
      </c>
      <c r="C28" s="265" t="str">
        <f t="shared" si="15"/>
        <v>N/A</v>
      </c>
      <c r="D28" s="265" t="str">
        <f t="shared" si="16"/>
        <v>N/A</v>
      </c>
      <c r="E28" s="265" t="str">
        <f t="shared" si="17"/>
        <v>N/A</v>
      </c>
      <c r="F28" s="265" t="str">
        <f t="shared" si="18"/>
        <v>N/A</v>
      </c>
      <c r="G28" s="265" t="str">
        <f t="shared" si="18"/>
        <v>N/A</v>
      </c>
      <c r="H28" s="356">
        <v>23</v>
      </c>
      <c r="I28" s="265" t="str">
        <f t="shared" si="19"/>
        <v>N/A</v>
      </c>
      <c r="J28" s="265" t="str">
        <f t="shared" si="20"/>
        <v>N/A</v>
      </c>
      <c r="K28" s="265" t="str">
        <f t="shared" si="21"/>
        <v>N/A</v>
      </c>
      <c r="L28" s="265" t="str">
        <f t="shared" si="22"/>
        <v>N/A</v>
      </c>
      <c r="M28" s="265" t="str">
        <f t="shared" si="22"/>
        <v>N/A</v>
      </c>
      <c r="N28" s="260"/>
      <c r="O28" s="236"/>
      <c r="P28" s="231" t="s">
        <v>365</v>
      </c>
      <c r="Q28" s="236"/>
      <c r="R28" s="236" t="s">
        <v>336</v>
      </c>
      <c r="S28" s="364">
        <v>25</v>
      </c>
      <c r="T28" s="246" t="s">
        <v>336</v>
      </c>
      <c r="U28" s="246" t="s">
        <v>336</v>
      </c>
      <c r="V28" s="246" t="s">
        <v>336</v>
      </c>
      <c r="W28" s="246" t="s">
        <v>336</v>
      </c>
      <c r="X28" s="246" t="s">
        <v>336</v>
      </c>
      <c r="Y28" s="372">
        <v>25</v>
      </c>
      <c r="Z28" s="246" t="s">
        <v>336</v>
      </c>
      <c r="AA28" s="246" t="s">
        <v>336</v>
      </c>
      <c r="AB28" s="246" t="s">
        <v>336</v>
      </c>
      <c r="AC28" s="246" t="s">
        <v>336</v>
      </c>
      <c r="AD28" s="246" t="s">
        <v>336</v>
      </c>
      <c r="AE28" s="236"/>
      <c r="AF28" s="246" t="s">
        <v>336</v>
      </c>
      <c r="AG28" s="246" t="s">
        <v>336</v>
      </c>
      <c r="AH28" s="246" t="s">
        <v>336</v>
      </c>
      <c r="AI28" s="246" t="s">
        <v>336</v>
      </c>
      <c r="AJ28" s="246" t="s">
        <v>336</v>
      </c>
      <c r="AK28" s="364">
        <v>25</v>
      </c>
      <c r="AL28" s="246" t="s">
        <v>336</v>
      </c>
      <c r="AM28" s="246" t="s">
        <v>336</v>
      </c>
      <c r="AN28" s="246" t="s">
        <v>336</v>
      </c>
      <c r="AO28" s="246" t="s">
        <v>336</v>
      </c>
      <c r="AP28" s="246" t="s">
        <v>336</v>
      </c>
      <c r="AQ28" s="372">
        <v>25</v>
      </c>
      <c r="AR28" s="236"/>
      <c r="AS28" s="231" t="s">
        <v>365</v>
      </c>
      <c r="AT28" s="236"/>
      <c r="AU28" s="236"/>
      <c r="AV28" s="265" t="str">
        <f t="shared" si="23"/>
        <v>N/A</v>
      </c>
      <c r="AW28" s="265" t="str">
        <f t="shared" si="24"/>
        <v>N/A</v>
      </c>
      <c r="AX28" s="265" t="str">
        <f t="shared" si="25"/>
        <v>N/A</v>
      </c>
      <c r="AY28" s="265" t="str">
        <f t="shared" si="26"/>
        <v>N/A</v>
      </c>
      <c r="AZ28" s="265" t="str">
        <f t="shared" si="26"/>
        <v>N/A</v>
      </c>
      <c r="BA28" s="303">
        <v>23</v>
      </c>
      <c r="BB28" s="265" t="str">
        <f t="shared" si="27"/>
        <v>N/A</v>
      </c>
      <c r="BC28" s="265" t="str">
        <f t="shared" si="14"/>
        <v>N/A</v>
      </c>
      <c r="BD28" s="265" t="str">
        <f t="shared" si="14"/>
        <v>N/A</v>
      </c>
      <c r="BE28" s="265" t="str">
        <f t="shared" si="14"/>
        <v>N/A</v>
      </c>
      <c r="BF28" s="265" t="str">
        <f t="shared" si="14"/>
        <v>N/A</v>
      </c>
      <c r="BG28" s="372">
        <v>23</v>
      </c>
    </row>
    <row r="29" spans="2:59" x14ac:dyDescent="0.3">
      <c r="B29" s="302">
        <v>24</v>
      </c>
      <c r="C29" s="257" t="str">
        <f t="shared" si="15"/>
        <v>N/A</v>
      </c>
      <c r="D29" s="257" t="str">
        <f t="shared" si="16"/>
        <v>N/A</v>
      </c>
      <c r="E29" s="257" t="str">
        <f t="shared" si="17"/>
        <v>N/A</v>
      </c>
      <c r="F29" s="257" t="str">
        <f t="shared" si="18"/>
        <v>N/A</v>
      </c>
      <c r="G29" s="257" t="str">
        <f t="shared" si="18"/>
        <v>N/A</v>
      </c>
      <c r="H29" s="355">
        <v>24</v>
      </c>
      <c r="I29" s="257" t="str">
        <f t="shared" si="19"/>
        <v>N/A</v>
      </c>
      <c r="J29" s="257" t="str">
        <f t="shared" si="20"/>
        <v>N/A</v>
      </c>
      <c r="K29" s="257" t="str">
        <f t="shared" si="21"/>
        <v>N/A</v>
      </c>
      <c r="L29" s="257" t="str">
        <f t="shared" si="22"/>
        <v>N/A</v>
      </c>
      <c r="M29" s="257" t="str">
        <f t="shared" si="22"/>
        <v>N/A</v>
      </c>
      <c r="N29" s="260"/>
      <c r="O29" s="298"/>
      <c r="P29" s="299">
        <f>SUM(T4:X48,Z4:AD48)*208/1000</f>
        <v>0</v>
      </c>
      <c r="Q29" s="376"/>
      <c r="R29" s="236" t="s">
        <v>336</v>
      </c>
      <c r="S29" s="363">
        <v>26</v>
      </c>
      <c r="T29" s="254" t="s">
        <v>336</v>
      </c>
      <c r="U29" s="254" t="s">
        <v>336</v>
      </c>
      <c r="V29" s="254" t="s">
        <v>336</v>
      </c>
      <c r="W29" s="254" t="s">
        <v>336</v>
      </c>
      <c r="X29" s="254" t="s">
        <v>336</v>
      </c>
      <c r="Y29" s="371">
        <v>26</v>
      </c>
      <c r="Z29" s="254" t="s">
        <v>336</v>
      </c>
      <c r="AA29" s="254" t="s">
        <v>336</v>
      </c>
      <c r="AB29" s="254" t="s">
        <v>336</v>
      </c>
      <c r="AC29" s="254" t="s">
        <v>336</v>
      </c>
      <c r="AD29" s="254" t="s">
        <v>336</v>
      </c>
      <c r="AE29" s="236"/>
      <c r="AF29" s="254" t="s">
        <v>336</v>
      </c>
      <c r="AG29" s="254" t="s">
        <v>336</v>
      </c>
      <c r="AH29" s="254" t="s">
        <v>336</v>
      </c>
      <c r="AI29" s="254" t="s">
        <v>336</v>
      </c>
      <c r="AJ29" s="254" t="s">
        <v>336</v>
      </c>
      <c r="AK29" s="363">
        <v>26</v>
      </c>
      <c r="AL29" s="254" t="s">
        <v>336</v>
      </c>
      <c r="AM29" s="254" t="s">
        <v>336</v>
      </c>
      <c r="AN29" s="254" t="s">
        <v>336</v>
      </c>
      <c r="AO29" s="254" t="s">
        <v>336</v>
      </c>
      <c r="AP29" s="254" t="s">
        <v>336</v>
      </c>
      <c r="AQ29" s="371">
        <v>26</v>
      </c>
      <c r="AR29" s="236"/>
      <c r="AS29" s="299">
        <f>SUM(AF4:AJ48,AL4:AP48)*208/1000</f>
        <v>0</v>
      </c>
      <c r="AT29" s="236"/>
      <c r="AU29" s="236"/>
      <c r="AV29" s="257" t="str">
        <f t="shared" si="23"/>
        <v>N/A</v>
      </c>
      <c r="AW29" s="257" t="str">
        <f t="shared" si="24"/>
        <v>N/A</v>
      </c>
      <c r="AX29" s="257" t="str">
        <f t="shared" si="25"/>
        <v>N/A</v>
      </c>
      <c r="AY29" s="257" t="str">
        <f t="shared" si="26"/>
        <v>N/A</v>
      </c>
      <c r="AZ29" s="257" t="str">
        <f t="shared" si="26"/>
        <v>N/A</v>
      </c>
      <c r="BA29" s="302">
        <v>24</v>
      </c>
      <c r="BB29" s="257" t="str">
        <f t="shared" si="27"/>
        <v>N/A</v>
      </c>
      <c r="BC29" s="257" t="str">
        <f t="shared" si="14"/>
        <v>N/A</v>
      </c>
      <c r="BD29" s="257" t="str">
        <f t="shared" si="14"/>
        <v>N/A</v>
      </c>
      <c r="BE29" s="257" t="str">
        <f t="shared" si="14"/>
        <v>N/A</v>
      </c>
      <c r="BF29" s="257" t="str">
        <f t="shared" si="14"/>
        <v>N/A</v>
      </c>
      <c r="BG29" s="371">
        <v>24</v>
      </c>
    </row>
    <row r="30" spans="2:59" ht="15" thickBot="1" x14ac:dyDescent="0.35">
      <c r="B30" s="303">
        <v>25</v>
      </c>
      <c r="C30" s="265" t="str">
        <f t="shared" si="15"/>
        <v>N/A</v>
      </c>
      <c r="D30" s="265" t="str">
        <f t="shared" si="16"/>
        <v>N/A</v>
      </c>
      <c r="E30" s="265" t="str">
        <f t="shared" si="17"/>
        <v>N/A</v>
      </c>
      <c r="F30" s="265" t="str">
        <f t="shared" si="18"/>
        <v>N/A</v>
      </c>
      <c r="G30" s="265" t="str">
        <f t="shared" si="18"/>
        <v>N/A</v>
      </c>
      <c r="H30" s="356">
        <v>25</v>
      </c>
      <c r="I30" s="265" t="str">
        <f t="shared" si="19"/>
        <v>N/A</v>
      </c>
      <c r="J30" s="265" t="str">
        <f t="shared" si="20"/>
        <v>N/A</v>
      </c>
      <c r="K30" s="265" t="str">
        <f t="shared" si="21"/>
        <v>N/A</v>
      </c>
      <c r="L30" s="265" t="str">
        <f t="shared" si="22"/>
        <v>N/A</v>
      </c>
      <c r="M30" s="265" t="str">
        <f t="shared" si="22"/>
        <v>N/A</v>
      </c>
      <c r="N30" s="260"/>
      <c r="O30" s="298"/>
      <c r="P30" s="304"/>
      <c r="Q30" s="377"/>
      <c r="R30" s="236" t="s">
        <v>336</v>
      </c>
      <c r="S30" s="364">
        <v>27</v>
      </c>
      <c r="T30" s="246" t="s">
        <v>336</v>
      </c>
      <c r="U30" s="246" t="s">
        <v>336</v>
      </c>
      <c r="V30" s="246" t="s">
        <v>336</v>
      </c>
      <c r="W30" s="246" t="s">
        <v>336</v>
      </c>
      <c r="X30" s="246" t="s">
        <v>336</v>
      </c>
      <c r="Y30" s="372">
        <v>27</v>
      </c>
      <c r="Z30" s="246" t="s">
        <v>336</v>
      </c>
      <c r="AA30" s="246" t="s">
        <v>336</v>
      </c>
      <c r="AB30" s="246" t="s">
        <v>336</v>
      </c>
      <c r="AC30" s="246" t="s">
        <v>336</v>
      </c>
      <c r="AD30" s="246" t="s">
        <v>336</v>
      </c>
      <c r="AE30" s="236"/>
      <c r="AF30" s="246" t="s">
        <v>336</v>
      </c>
      <c r="AG30" s="246" t="s">
        <v>336</v>
      </c>
      <c r="AH30" s="246" t="s">
        <v>336</v>
      </c>
      <c r="AI30" s="246" t="s">
        <v>336</v>
      </c>
      <c r="AJ30" s="246" t="s">
        <v>336</v>
      </c>
      <c r="AK30" s="364">
        <v>27</v>
      </c>
      <c r="AL30" s="246" t="s">
        <v>336</v>
      </c>
      <c r="AM30" s="246" t="s">
        <v>336</v>
      </c>
      <c r="AN30" s="246" t="s">
        <v>336</v>
      </c>
      <c r="AO30" s="246" t="s">
        <v>336</v>
      </c>
      <c r="AP30" s="246" t="s">
        <v>336</v>
      </c>
      <c r="AQ30" s="372">
        <v>27</v>
      </c>
      <c r="AR30" s="236"/>
      <c r="AS30" s="236"/>
      <c r="AT30" s="236"/>
      <c r="AU30" s="236"/>
      <c r="AV30" s="265" t="str">
        <f t="shared" si="23"/>
        <v>N/A</v>
      </c>
      <c r="AW30" s="265" t="str">
        <f t="shared" si="24"/>
        <v>N/A</v>
      </c>
      <c r="AX30" s="265" t="str">
        <f t="shared" si="25"/>
        <v>N/A</v>
      </c>
      <c r="AY30" s="265" t="str">
        <f t="shared" si="26"/>
        <v>N/A</v>
      </c>
      <c r="AZ30" s="265" t="str">
        <f t="shared" si="26"/>
        <v>N/A</v>
      </c>
      <c r="BA30" s="303">
        <v>25</v>
      </c>
      <c r="BB30" s="265" t="str">
        <f t="shared" si="27"/>
        <v>N/A</v>
      </c>
      <c r="BC30" s="265" t="str">
        <f t="shared" si="14"/>
        <v>N/A</v>
      </c>
      <c r="BD30" s="265" t="str">
        <f t="shared" si="14"/>
        <v>N/A</v>
      </c>
      <c r="BE30" s="265" t="str">
        <f t="shared" si="14"/>
        <v>N/A</v>
      </c>
      <c r="BF30" s="265" t="str">
        <f t="shared" si="14"/>
        <v>N/A</v>
      </c>
      <c r="BG30" s="372">
        <v>25</v>
      </c>
    </row>
    <row r="31" spans="2:59" x14ac:dyDescent="0.3">
      <c r="B31" s="302">
        <v>26</v>
      </c>
      <c r="C31" s="257" t="str">
        <f t="shared" si="15"/>
        <v>N/A</v>
      </c>
      <c r="D31" s="257" t="str">
        <f t="shared" si="16"/>
        <v>N/A</v>
      </c>
      <c r="E31" s="257" t="str">
        <f t="shared" si="17"/>
        <v>N/A</v>
      </c>
      <c r="F31" s="257" t="str">
        <f t="shared" si="18"/>
        <v>N/A</v>
      </c>
      <c r="G31" s="257" t="str">
        <f t="shared" si="18"/>
        <v>N/A</v>
      </c>
      <c r="H31" s="355">
        <v>26</v>
      </c>
      <c r="I31" s="257" t="str">
        <f t="shared" si="19"/>
        <v>N/A</v>
      </c>
      <c r="J31" s="257" t="str">
        <f t="shared" si="20"/>
        <v>N/A</v>
      </c>
      <c r="K31" s="257" t="str">
        <f t="shared" si="21"/>
        <v>N/A</v>
      </c>
      <c r="L31" s="257" t="str">
        <f t="shared" si="22"/>
        <v>N/A</v>
      </c>
      <c r="M31" s="257" t="str">
        <f t="shared" si="22"/>
        <v>N/A</v>
      </c>
      <c r="N31" s="260"/>
      <c r="O31" s="236"/>
      <c r="P31" s="236"/>
      <c r="Q31" s="236"/>
      <c r="R31" s="236" t="s">
        <v>336</v>
      </c>
      <c r="S31" s="363">
        <v>28</v>
      </c>
      <c r="T31" s="254" t="s">
        <v>336</v>
      </c>
      <c r="U31" s="254" t="s">
        <v>336</v>
      </c>
      <c r="V31" s="254" t="s">
        <v>336</v>
      </c>
      <c r="W31" s="254" t="s">
        <v>336</v>
      </c>
      <c r="X31" s="254" t="s">
        <v>336</v>
      </c>
      <c r="Y31" s="371">
        <v>28</v>
      </c>
      <c r="Z31" s="254" t="s">
        <v>336</v>
      </c>
      <c r="AA31" s="254" t="s">
        <v>336</v>
      </c>
      <c r="AB31" s="254" t="s">
        <v>336</v>
      </c>
      <c r="AC31" s="254" t="s">
        <v>336</v>
      </c>
      <c r="AD31" s="254" t="s">
        <v>336</v>
      </c>
      <c r="AE31" s="236"/>
      <c r="AF31" s="254" t="s">
        <v>336</v>
      </c>
      <c r="AG31" s="254" t="s">
        <v>336</v>
      </c>
      <c r="AH31" s="254" t="s">
        <v>336</v>
      </c>
      <c r="AI31" s="254" t="s">
        <v>336</v>
      </c>
      <c r="AJ31" s="254" t="s">
        <v>336</v>
      </c>
      <c r="AK31" s="363">
        <v>28</v>
      </c>
      <c r="AL31" s="254" t="s">
        <v>336</v>
      </c>
      <c r="AM31" s="254" t="s">
        <v>336</v>
      </c>
      <c r="AN31" s="254" t="s">
        <v>336</v>
      </c>
      <c r="AO31" s="254" t="s">
        <v>336</v>
      </c>
      <c r="AP31" s="254" t="s">
        <v>336</v>
      </c>
      <c r="AQ31" s="371">
        <v>28</v>
      </c>
      <c r="AR31" s="236"/>
      <c r="AS31" s="236"/>
      <c r="AT31" s="236"/>
      <c r="AU31" s="236"/>
      <c r="AV31" s="257" t="str">
        <f t="shared" si="23"/>
        <v>N/A</v>
      </c>
      <c r="AW31" s="257" t="str">
        <f t="shared" si="24"/>
        <v>N/A</v>
      </c>
      <c r="AX31" s="257" t="str">
        <f t="shared" si="25"/>
        <v>N/A</v>
      </c>
      <c r="AY31" s="257" t="str">
        <f t="shared" si="26"/>
        <v>N/A</v>
      </c>
      <c r="AZ31" s="257" t="str">
        <f t="shared" si="26"/>
        <v>N/A</v>
      </c>
      <c r="BA31" s="302">
        <v>26</v>
      </c>
      <c r="BB31" s="257" t="str">
        <f t="shared" si="27"/>
        <v>N/A</v>
      </c>
      <c r="BC31" s="257" t="str">
        <f t="shared" si="14"/>
        <v>N/A</v>
      </c>
      <c r="BD31" s="257" t="str">
        <f t="shared" si="14"/>
        <v>N/A</v>
      </c>
      <c r="BE31" s="257" t="str">
        <f t="shared" si="14"/>
        <v>N/A</v>
      </c>
      <c r="BF31" s="257" t="str">
        <f t="shared" si="14"/>
        <v>N/A</v>
      </c>
      <c r="BG31" s="371">
        <v>26</v>
      </c>
    </row>
    <row r="32" spans="2:59" ht="15" thickBot="1" x14ac:dyDescent="0.35">
      <c r="B32" s="303">
        <v>27</v>
      </c>
      <c r="C32" s="265" t="str">
        <f t="shared" si="15"/>
        <v>N/A</v>
      </c>
      <c r="D32" s="265" t="str">
        <f t="shared" si="16"/>
        <v>N/A</v>
      </c>
      <c r="E32" s="265" t="str">
        <f t="shared" si="17"/>
        <v>N/A</v>
      </c>
      <c r="F32" s="265" t="str">
        <f t="shared" si="18"/>
        <v>N/A</v>
      </c>
      <c r="G32" s="265" t="str">
        <f t="shared" si="18"/>
        <v>N/A</v>
      </c>
      <c r="H32" s="356">
        <v>27</v>
      </c>
      <c r="I32" s="265" t="str">
        <f t="shared" si="19"/>
        <v>N/A</v>
      </c>
      <c r="J32" s="265" t="str">
        <f t="shared" si="20"/>
        <v>N/A</v>
      </c>
      <c r="K32" s="265" t="str">
        <f t="shared" si="21"/>
        <v>N/A</v>
      </c>
      <c r="L32" s="265" t="str">
        <f t="shared" si="22"/>
        <v>N/A</v>
      </c>
      <c r="M32" s="265" t="str">
        <f t="shared" si="22"/>
        <v>N/A</v>
      </c>
      <c r="N32" s="168"/>
      <c r="O32" s="236"/>
      <c r="P32" s="236"/>
      <c r="Q32" s="236"/>
      <c r="R32" s="236" t="s">
        <v>336</v>
      </c>
      <c r="S32" s="364">
        <v>29</v>
      </c>
      <c r="T32" s="246" t="s">
        <v>336</v>
      </c>
      <c r="U32" s="246" t="s">
        <v>336</v>
      </c>
      <c r="V32" s="246" t="s">
        <v>336</v>
      </c>
      <c r="W32" s="246" t="s">
        <v>336</v>
      </c>
      <c r="X32" s="246" t="s">
        <v>336</v>
      </c>
      <c r="Y32" s="372">
        <v>29</v>
      </c>
      <c r="Z32" s="246" t="s">
        <v>336</v>
      </c>
      <c r="AA32" s="246" t="s">
        <v>336</v>
      </c>
      <c r="AB32" s="246" t="s">
        <v>336</v>
      </c>
      <c r="AC32" s="246" t="s">
        <v>336</v>
      </c>
      <c r="AD32" s="246" t="s">
        <v>336</v>
      </c>
      <c r="AE32" s="236"/>
      <c r="AF32" s="246" t="s">
        <v>336</v>
      </c>
      <c r="AG32" s="246" t="s">
        <v>336</v>
      </c>
      <c r="AH32" s="246" t="s">
        <v>336</v>
      </c>
      <c r="AI32" s="246" t="s">
        <v>336</v>
      </c>
      <c r="AJ32" s="246" t="s">
        <v>336</v>
      </c>
      <c r="AK32" s="364">
        <v>29</v>
      </c>
      <c r="AL32" s="246" t="s">
        <v>336</v>
      </c>
      <c r="AM32" s="246" t="s">
        <v>336</v>
      </c>
      <c r="AN32" s="246" t="s">
        <v>336</v>
      </c>
      <c r="AO32" s="246" t="s">
        <v>336</v>
      </c>
      <c r="AP32" s="246" t="s">
        <v>336</v>
      </c>
      <c r="AQ32" s="372">
        <v>29</v>
      </c>
      <c r="AR32" s="236"/>
      <c r="AS32" s="236"/>
      <c r="AT32" s="236"/>
      <c r="AU32" s="236"/>
      <c r="AV32" s="265" t="str">
        <f t="shared" si="23"/>
        <v>N/A</v>
      </c>
      <c r="AW32" s="265" t="str">
        <f t="shared" si="24"/>
        <v>N/A</v>
      </c>
      <c r="AX32" s="265" t="str">
        <f t="shared" si="25"/>
        <v>N/A</v>
      </c>
      <c r="AY32" s="265" t="str">
        <f t="shared" si="26"/>
        <v>N/A</v>
      </c>
      <c r="AZ32" s="265" t="str">
        <f t="shared" si="26"/>
        <v>N/A</v>
      </c>
      <c r="BA32" s="303">
        <v>27</v>
      </c>
      <c r="BB32" s="265" t="str">
        <f t="shared" si="27"/>
        <v>N/A</v>
      </c>
      <c r="BC32" s="265" t="str">
        <f t="shared" si="14"/>
        <v>N/A</v>
      </c>
      <c r="BD32" s="265" t="str">
        <f t="shared" si="14"/>
        <v>N/A</v>
      </c>
      <c r="BE32" s="265" t="str">
        <f t="shared" si="14"/>
        <v>N/A</v>
      </c>
      <c r="BF32" s="265" t="str">
        <f t="shared" si="14"/>
        <v>N/A</v>
      </c>
      <c r="BG32" s="372">
        <v>27</v>
      </c>
    </row>
    <row r="33" spans="2:59" x14ac:dyDescent="0.3">
      <c r="B33" s="302">
        <v>28</v>
      </c>
      <c r="C33" s="257" t="str">
        <f t="shared" si="15"/>
        <v>N/A</v>
      </c>
      <c r="D33" s="257" t="str">
        <f t="shared" si="16"/>
        <v>N/A</v>
      </c>
      <c r="E33" s="257" t="str">
        <f t="shared" si="17"/>
        <v>N/A</v>
      </c>
      <c r="F33" s="257" t="str">
        <f t="shared" si="18"/>
        <v>N/A</v>
      </c>
      <c r="G33" s="257" t="str">
        <f t="shared" si="18"/>
        <v>N/A</v>
      </c>
      <c r="H33" s="355">
        <v>28</v>
      </c>
      <c r="I33" s="257" t="str">
        <f t="shared" si="19"/>
        <v>N/A</v>
      </c>
      <c r="J33" s="257" t="str">
        <f t="shared" si="20"/>
        <v>N/A</v>
      </c>
      <c r="K33" s="257" t="str">
        <f t="shared" si="21"/>
        <v>N/A</v>
      </c>
      <c r="L33" s="257" t="str">
        <f t="shared" si="22"/>
        <v>N/A</v>
      </c>
      <c r="M33" s="257" t="str">
        <f t="shared" si="22"/>
        <v>N/A</v>
      </c>
      <c r="N33" s="236"/>
      <c r="O33" s="236"/>
      <c r="P33" s="236"/>
      <c r="Q33" s="236"/>
      <c r="R33" s="236" t="s">
        <v>336</v>
      </c>
      <c r="S33" s="365">
        <v>30</v>
      </c>
      <c r="T33" s="254" t="s">
        <v>336</v>
      </c>
      <c r="U33" s="254" t="s">
        <v>336</v>
      </c>
      <c r="V33" s="254" t="s">
        <v>336</v>
      </c>
      <c r="W33" s="254" t="s">
        <v>336</v>
      </c>
      <c r="X33" s="254" t="s">
        <v>336</v>
      </c>
      <c r="Y33" s="373">
        <v>30</v>
      </c>
      <c r="Z33" s="254" t="s">
        <v>336</v>
      </c>
      <c r="AA33" s="254" t="s">
        <v>336</v>
      </c>
      <c r="AB33" s="254" t="s">
        <v>336</v>
      </c>
      <c r="AC33" s="254" t="s">
        <v>336</v>
      </c>
      <c r="AD33" s="254" t="s">
        <v>336</v>
      </c>
      <c r="AE33" s="236"/>
      <c r="AF33" s="254" t="s">
        <v>336</v>
      </c>
      <c r="AG33" s="254" t="s">
        <v>336</v>
      </c>
      <c r="AH33" s="254" t="s">
        <v>336</v>
      </c>
      <c r="AI33" s="254" t="s">
        <v>336</v>
      </c>
      <c r="AJ33" s="254" t="s">
        <v>336</v>
      </c>
      <c r="AK33" s="365">
        <v>30</v>
      </c>
      <c r="AL33" s="254" t="s">
        <v>336</v>
      </c>
      <c r="AM33" s="254" t="s">
        <v>336</v>
      </c>
      <c r="AN33" s="254" t="s">
        <v>336</v>
      </c>
      <c r="AO33" s="254" t="s">
        <v>336</v>
      </c>
      <c r="AP33" s="254" t="s">
        <v>336</v>
      </c>
      <c r="AQ33" s="373">
        <v>30</v>
      </c>
      <c r="AR33" s="236"/>
      <c r="AS33" s="236"/>
      <c r="AT33" s="236"/>
      <c r="AU33" s="236"/>
      <c r="AV33" s="257" t="str">
        <f t="shared" si="23"/>
        <v>N/A</v>
      </c>
      <c r="AW33" s="257" t="str">
        <f t="shared" si="24"/>
        <v>N/A</v>
      </c>
      <c r="AX33" s="257" t="str">
        <f t="shared" si="25"/>
        <v>N/A</v>
      </c>
      <c r="AY33" s="257" t="str">
        <f t="shared" si="26"/>
        <v>N/A</v>
      </c>
      <c r="AZ33" s="257" t="str">
        <f t="shared" si="26"/>
        <v>N/A</v>
      </c>
      <c r="BA33" s="302">
        <v>28</v>
      </c>
      <c r="BB33" s="257" t="str">
        <f t="shared" si="27"/>
        <v>N/A</v>
      </c>
      <c r="BC33" s="257" t="str">
        <f t="shared" si="14"/>
        <v>N/A</v>
      </c>
      <c r="BD33" s="257" t="str">
        <f t="shared" si="14"/>
        <v>N/A</v>
      </c>
      <c r="BE33" s="257" t="str">
        <f t="shared" si="14"/>
        <v>N/A</v>
      </c>
      <c r="BF33" s="257" t="str">
        <f t="shared" si="14"/>
        <v>N/A</v>
      </c>
      <c r="BG33" s="371">
        <v>28</v>
      </c>
    </row>
    <row r="34" spans="2:59" ht="15" thickBot="1" x14ac:dyDescent="0.35">
      <c r="B34" s="303">
        <v>29</v>
      </c>
      <c r="C34" s="265" t="str">
        <f t="shared" si="15"/>
        <v>N/A</v>
      </c>
      <c r="D34" s="265" t="str">
        <f t="shared" si="16"/>
        <v>N/A</v>
      </c>
      <c r="E34" s="265" t="str">
        <f t="shared" si="17"/>
        <v>N/A</v>
      </c>
      <c r="F34" s="265" t="str">
        <f t="shared" si="18"/>
        <v>N/A</v>
      </c>
      <c r="G34" s="265" t="str">
        <f t="shared" si="18"/>
        <v>N/A</v>
      </c>
      <c r="H34" s="356">
        <v>29</v>
      </c>
      <c r="I34" s="265" t="str">
        <f t="shared" si="19"/>
        <v>N/A</v>
      </c>
      <c r="J34" s="265" t="str">
        <f t="shared" si="20"/>
        <v>N/A</v>
      </c>
      <c r="K34" s="265" t="str">
        <f t="shared" si="21"/>
        <v>N/A</v>
      </c>
      <c r="L34" s="265" t="str">
        <f t="shared" si="22"/>
        <v>N/A</v>
      </c>
      <c r="M34" s="265" t="str">
        <f t="shared" si="22"/>
        <v>N/A</v>
      </c>
      <c r="N34" s="236"/>
      <c r="O34" s="236"/>
      <c r="P34" s="236"/>
      <c r="Q34" s="236"/>
      <c r="R34" s="236" t="s">
        <v>336</v>
      </c>
      <c r="S34" s="366">
        <v>31</v>
      </c>
      <c r="T34" s="246" t="s">
        <v>336</v>
      </c>
      <c r="U34" s="246" t="s">
        <v>336</v>
      </c>
      <c r="V34" s="246" t="s">
        <v>336</v>
      </c>
      <c r="W34" s="246" t="s">
        <v>336</v>
      </c>
      <c r="X34" s="246" t="s">
        <v>336</v>
      </c>
      <c r="Y34" s="374">
        <v>31</v>
      </c>
      <c r="Z34" s="246" t="s">
        <v>336</v>
      </c>
      <c r="AA34" s="246" t="s">
        <v>336</v>
      </c>
      <c r="AB34" s="246" t="s">
        <v>336</v>
      </c>
      <c r="AC34" s="246" t="s">
        <v>336</v>
      </c>
      <c r="AD34" s="246" t="s">
        <v>336</v>
      </c>
      <c r="AE34" s="236"/>
      <c r="AF34" s="246" t="s">
        <v>336</v>
      </c>
      <c r="AG34" s="246" t="s">
        <v>336</v>
      </c>
      <c r="AH34" s="246" t="s">
        <v>336</v>
      </c>
      <c r="AI34" s="246" t="s">
        <v>336</v>
      </c>
      <c r="AJ34" s="246" t="s">
        <v>336</v>
      </c>
      <c r="AK34" s="366">
        <v>31</v>
      </c>
      <c r="AL34" s="246" t="s">
        <v>336</v>
      </c>
      <c r="AM34" s="246" t="s">
        <v>336</v>
      </c>
      <c r="AN34" s="246" t="s">
        <v>336</v>
      </c>
      <c r="AO34" s="246" t="s">
        <v>336</v>
      </c>
      <c r="AP34" s="246" t="s">
        <v>336</v>
      </c>
      <c r="AQ34" s="374">
        <v>31</v>
      </c>
      <c r="AR34" s="236"/>
      <c r="AS34" s="236"/>
      <c r="AT34" s="236"/>
      <c r="AU34" s="236"/>
      <c r="AV34" s="265" t="str">
        <f t="shared" si="23"/>
        <v>N/A</v>
      </c>
      <c r="AW34" s="265" t="str">
        <f t="shared" si="24"/>
        <v>N/A</v>
      </c>
      <c r="AX34" s="265" t="str">
        <f t="shared" si="25"/>
        <v>N/A</v>
      </c>
      <c r="AY34" s="265" t="str">
        <f t="shared" si="26"/>
        <v>N/A</v>
      </c>
      <c r="AZ34" s="265" t="str">
        <f t="shared" si="26"/>
        <v>N/A</v>
      </c>
      <c r="BA34" s="303">
        <v>29</v>
      </c>
      <c r="BB34" s="265" t="str">
        <f t="shared" si="27"/>
        <v>N/A</v>
      </c>
      <c r="BC34" s="265" t="str">
        <f t="shared" si="14"/>
        <v>N/A</v>
      </c>
      <c r="BD34" s="265" t="str">
        <f t="shared" si="14"/>
        <v>N/A</v>
      </c>
      <c r="BE34" s="265" t="str">
        <f t="shared" si="14"/>
        <v>N/A</v>
      </c>
      <c r="BF34" s="265" t="str">
        <f t="shared" si="14"/>
        <v>N/A</v>
      </c>
      <c r="BG34" s="372">
        <v>29</v>
      </c>
    </row>
    <row r="35" spans="2:59" ht="15" thickBot="1" x14ac:dyDescent="0.35">
      <c r="B35" s="301" t="s">
        <v>338</v>
      </c>
      <c r="C35" s="231">
        <f>SUM(C21:C34)</f>
        <v>0</v>
      </c>
      <c r="D35" s="231">
        <f>SUM(D21:D34)</f>
        <v>0</v>
      </c>
      <c r="E35" s="231">
        <f>SUM(E21:E34)</f>
        <v>0</v>
      </c>
      <c r="F35" s="231">
        <f>SUM(F21:F34)</f>
        <v>0</v>
      </c>
      <c r="G35" s="231">
        <f>SUM(G21:G34)</f>
        <v>0</v>
      </c>
      <c r="H35" s="301" t="s">
        <v>338</v>
      </c>
      <c r="I35" s="231">
        <f>SUM(I21:I34)</f>
        <v>0</v>
      </c>
      <c r="J35" s="231">
        <f>SUM(J21:J34)</f>
        <v>0</v>
      </c>
      <c r="K35" s="231">
        <f>SUM(K21:K34)</f>
        <v>0</v>
      </c>
      <c r="L35" s="231">
        <f>SUM(L21:L34)</f>
        <v>0</v>
      </c>
      <c r="M35" s="231">
        <f>SUM(M21:M34)</f>
        <v>0</v>
      </c>
      <c r="N35" s="236"/>
      <c r="O35" s="236"/>
      <c r="P35" s="236"/>
      <c r="Q35" s="300"/>
      <c r="R35" s="236" t="s">
        <v>336</v>
      </c>
      <c r="S35" s="365">
        <v>32</v>
      </c>
      <c r="T35" s="254" t="s">
        <v>336</v>
      </c>
      <c r="U35" s="254" t="s">
        <v>336</v>
      </c>
      <c r="V35" s="254" t="s">
        <v>336</v>
      </c>
      <c r="W35" s="254" t="s">
        <v>336</v>
      </c>
      <c r="X35" s="254" t="s">
        <v>336</v>
      </c>
      <c r="Y35" s="373">
        <v>32</v>
      </c>
      <c r="Z35" s="254" t="s">
        <v>336</v>
      </c>
      <c r="AA35" s="254" t="s">
        <v>336</v>
      </c>
      <c r="AB35" s="254" t="s">
        <v>336</v>
      </c>
      <c r="AC35" s="254" t="s">
        <v>336</v>
      </c>
      <c r="AD35" s="254" t="s">
        <v>336</v>
      </c>
      <c r="AE35" s="236"/>
      <c r="AF35" s="254" t="s">
        <v>336</v>
      </c>
      <c r="AG35" s="254" t="s">
        <v>336</v>
      </c>
      <c r="AH35" s="254" t="s">
        <v>336</v>
      </c>
      <c r="AI35" s="254" t="s">
        <v>336</v>
      </c>
      <c r="AJ35" s="254" t="s">
        <v>336</v>
      </c>
      <c r="AK35" s="365">
        <v>32</v>
      </c>
      <c r="AL35" s="254" t="s">
        <v>336</v>
      </c>
      <c r="AM35" s="254" t="s">
        <v>336</v>
      </c>
      <c r="AN35" s="254" t="s">
        <v>336</v>
      </c>
      <c r="AO35" s="254" t="s">
        <v>336</v>
      </c>
      <c r="AP35" s="254" t="s">
        <v>336</v>
      </c>
      <c r="AQ35" s="373">
        <v>32</v>
      </c>
      <c r="AR35" s="236"/>
      <c r="AS35" s="236"/>
      <c r="AT35" s="236"/>
      <c r="AU35" s="236"/>
      <c r="AV35" s="231">
        <f>SUM(AV21:AV34)</f>
        <v>0</v>
      </c>
      <c r="AW35" s="231">
        <f>SUM(AW21:AW34)</f>
        <v>0</v>
      </c>
      <c r="AX35" s="231">
        <f>SUM(AX21:AX34)</f>
        <v>0</v>
      </c>
      <c r="AY35" s="231">
        <f>SUM(AY21:AY34)</f>
        <v>0</v>
      </c>
      <c r="AZ35" s="231">
        <f>SUM(AZ21:AZ34)</f>
        <v>0</v>
      </c>
      <c r="BA35" s="301" t="s">
        <v>338</v>
      </c>
      <c r="BB35" s="231">
        <f>SUM(BB21:BB34)</f>
        <v>0</v>
      </c>
      <c r="BC35" s="231">
        <f>SUM(BC21:BC34)</f>
        <v>0</v>
      </c>
      <c r="BD35" s="231">
        <f>SUM(BD21:BD34)</f>
        <v>0</v>
      </c>
      <c r="BE35" s="231">
        <f>SUM(BE21:BE34)</f>
        <v>0</v>
      </c>
      <c r="BF35" s="231">
        <f>SUM(BF21:BF34)</f>
        <v>0</v>
      </c>
      <c r="BG35" s="301" t="s">
        <v>338</v>
      </c>
    </row>
    <row r="36" spans="2:59" ht="15" thickBot="1" x14ac:dyDescent="0.35">
      <c r="B36" s="247" t="s">
        <v>192</v>
      </c>
      <c r="C36" s="248" t="s">
        <v>219</v>
      </c>
      <c r="D36" s="249" t="s">
        <v>220</v>
      </c>
      <c r="E36" s="249" t="s">
        <v>332</v>
      </c>
      <c r="F36" s="249" t="s">
        <v>333</v>
      </c>
      <c r="G36" s="231" t="s">
        <v>535</v>
      </c>
      <c r="H36" s="247" t="s">
        <v>192</v>
      </c>
      <c r="I36" s="248" t="s">
        <v>219</v>
      </c>
      <c r="J36" s="249" t="s">
        <v>220</v>
      </c>
      <c r="K36" s="249" t="s">
        <v>332</v>
      </c>
      <c r="L36" s="249" t="s">
        <v>333</v>
      </c>
      <c r="M36" s="231" t="s">
        <v>535</v>
      </c>
      <c r="N36" s="236"/>
      <c r="O36" s="236"/>
      <c r="P36" s="236"/>
      <c r="Q36" s="236"/>
      <c r="R36" s="236" t="s">
        <v>336</v>
      </c>
      <c r="S36" s="366">
        <v>33</v>
      </c>
      <c r="T36" s="246" t="s">
        <v>336</v>
      </c>
      <c r="U36" s="246" t="s">
        <v>336</v>
      </c>
      <c r="V36" s="246" t="s">
        <v>336</v>
      </c>
      <c r="W36" s="246" t="s">
        <v>336</v>
      </c>
      <c r="X36" s="246" t="s">
        <v>336</v>
      </c>
      <c r="Y36" s="374">
        <v>33</v>
      </c>
      <c r="Z36" s="246" t="s">
        <v>336</v>
      </c>
      <c r="AA36" s="246" t="s">
        <v>336</v>
      </c>
      <c r="AB36" s="246" t="s">
        <v>336</v>
      </c>
      <c r="AC36" s="246" t="s">
        <v>336</v>
      </c>
      <c r="AD36" s="246" t="s">
        <v>336</v>
      </c>
      <c r="AE36" s="236"/>
      <c r="AF36" s="246" t="s">
        <v>336</v>
      </c>
      <c r="AG36" s="246" t="s">
        <v>336</v>
      </c>
      <c r="AH36" s="246" t="s">
        <v>336</v>
      </c>
      <c r="AI36" s="246" t="s">
        <v>336</v>
      </c>
      <c r="AJ36" s="246" t="s">
        <v>336</v>
      </c>
      <c r="AK36" s="366">
        <v>33</v>
      </c>
      <c r="AL36" s="246" t="s">
        <v>336</v>
      </c>
      <c r="AM36" s="246" t="s">
        <v>336</v>
      </c>
      <c r="AN36" s="246" t="s">
        <v>336</v>
      </c>
      <c r="AO36" s="246" t="s">
        <v>336</v>
      </c>
      <c r="AP36" s="246" t="s">
        <v>336</v>
      </c>
      <c r="AQ36" s="374">
        <v>33</v>
      </c>
      <c r="AR36" s="236"/>
      <c r="AS36" s="236"/>
      <c r="AT36" s="236"/>
      <c r="AU36" s="236"/>
      <c r="AV36" s="248" t="s">
        <v>219</v>
      </c>
      <c r="AW36" s="249" t="s">
        <v>220</v>
      </c>
      <c r="AX36" s="249" t="s">
        <v>332</v>
      </c>
      <c r="AY36" s="249" t="s">
        <v>333</v>
      </c>
      <c r="AZ36" s="231" t="s">
        <v>535</v>
      </c>
      <c r="BA36" s="247" t="s">
        <v>192</v>
      </c>
      <c r="BB36" s="248" t="s">
        <v>219</v>
      </c>
      <c r="BC36" s="249" t="s">
        <v>220</v>
      </c>
      <c r="BD36" s="249" t="s">
        <v>332</v>
      </c>
      <c r="BE36" s="249" t="s">
        <v>333</v>
      </c>
      <c r="BF36" s="231" t="s">
        <v>535</v>
      </c>
      <c r="BG36" s="247" t="s">
        <v>192</v>
      </c>
    </row>
    <row r="37" spans="2:59" x14ac:dyDescent="0.3">
      <c r="B37" s="305">
        <v>30</v>
      </c>
      <c r="C37" s="257" t="str">
        <f t="shared" ref="C37:C50" si="28">T33</f>
        <v>N/A</v>
      </c>
      <c r="D37" s="257" t="str">
        <f t="shared" ref="D37:D50" si="29">U33</f>
        <v>N/A</v>
      </c>
      <c r="E37" s="257" t="str">
        <f t="shared" ref="E37:E50" si="30">V33</f>
        <v>N/A</v>
      </c>
      <c r="F37" s="257" t="str">
        <f t="shared" ref="F37:G50" si="31">W33</f>
        <v>N/A</v>
      </c>
      <c r="G37" s="257" t="str">
        <f t="shared" si="31"/>
        <v>N/A</v>
      </c>
      <c r="H37" s="352">
        <v>30</v>
      </c>
      <c r="I37" s="257" t="str">
        <f>Z33</f>
        <v>N/A</v>
      </c>
      <c r="J37" s="257" t="str">
        <f>AA33</f>
        <v>N/A</v>
      </c>
      <c r="K37" s="257" t="str">
        <f>AB33</f>
        <v>N/A</v>
      </c>
      <c r="L37" s="257" t="str">
        <f>AC33</f>
        <v>N/A</v>
      </c>
      <c r="M37" s="257" t="str">
        <f>AD33</f>
        <v>N/A</v>
      </c>
      <c r="N37" s="236"/>
      <c r="O37" s="236"/>
      <c r="P37" s="236"/>
      <c r="Q37" s="236"/>
      <c r="R37" s="236" t="s">
        <v>336</v>
      </c>
      <c r="S37" s="365">
        <v>34</v>
      </c>
      <c r="T37" s="254" t="s">
        <v>336</v>
      </c>
      <c r="U37" s="254" t="s">
        <v>336</v>
      </c>
      <c r="V37" s="254" t="s">
        <v>336</v>
      </c>
      <c r="W37" s="254" t="s">
        <v>336</v>
      </c>
      <c r="X37" s="254" t="s">
        <v>336</v>
      </c>
      <c r="Y37" s="373">
        <v>34</v>
      </c>
      <c r="Z37" s="254" t="s">
        <v>336</v>
      </c>
      <c r="AA37" s="254" t="s">
        <v>336</v>
      </c>
      <c r="AB37" s="254" t="s">
        <v>336</v>
      </c>
      <c r="AC37" s="254" t="s">
        <v>336</v>
      </c>
      <c r="AD37" s="254" t="s">
        <v>336</v>
      </c>
      <c r="AE37" s="236"/>
      <c r="AF37" s="254" t="s">
        <v>336</v>
      </c>
      <c r="AG37" s="254" t="s">
        <v>336</v>
      </c>
      <c r="AH37" s="254" t="s">
        <v>336</v>
      </c>
      <c r="AI37" s="254" t="s">
        <v>336</v>
      </c>
      <c r="AJ37" s="254" t="s">
        <v>336</v>
      </c>
      <c r="AK37" s="365">
        <v>34</v>
      </c>
      <c r="AL37" s="254" t="s">
        <v>336</v>
      </c>
      <c r="AM37" s="254" t="s">
        <v>336</v>
      </c>
      <c r="AN37" s="254" t="s">
        <v>336</v>
      </c>
      <c r="AO37" s="254" t="s">
        <v>336</v>
      </c>
      <c r="AP37" s="254" t="s">
        <v>336</v>
      </c>
      <c r="AQ37" s="373">
        <v>34</v>
      </c>
      <c r="AR37" s="236"/>
      <c r="AS37" s="236"/>
      <c r="AT37" s="236"/>
      <c r="AU37" s="236"/>
      <c r="AV37" s="257" t="str">
        <f>AF33</f>
        <v>N/A</v>
      </c>
      <c r="AW37" s="257" t="str">
        <f>AG33</f>
        <v>N/A</v>
      </c>
      <c r="AX37" s="257" t="str">
        <f>AH33</f>
        <v>N/A</v>
      </c>
      <c r="AY37" s="257" t="str">
        <f>AI33</f>
        <v>N/A</v>
      </c>
      <c r="AZ37" s="257" t="str">
        <f>AJ33</f>
        <v>N/A</v>
      </c>
      <c r="BA37" s="305">
        <v>30</v>
      </c>
      <c r="BB37" s="257" t="str">
        <f>AL33</f>
        <v>N/A</v>
      </c>
      <c r="BC37" s="257" t="str">
        <f>AM33</f>
        <v>N/A</v>
      </c>
      <c r="BD37" s="257" t="str">
        <f>AN33</f>
        <v>N/A</v>
      </c>
      <c r="BE37" s="257" t="str">
        <f>AO33</f>
        <v>N/A</v>
      </c>
      <c r="BF37" s="257" t="str">
        <f>AP33</f>
        <v>N/A</v>
      </c>
      <c r="BG37" s="373">
        <v>30</v>
      </c>
    </row>
    <row r="38" spans="2:59" ht="15" thickBot="1" x14ac:dyDescent="0.35">
      <c r="B38" s="306">
        <v>31</v>
      </c>
      <c r="C38" s="265" t="str">
        <f t="shared" si="28"/>
        <v>N/A</v>
      </c>
      <c r="D38" s="265" t="str">
        <f t="shared" si="29"/>
        <v>N/A</v>
      </c>
      <c r="E38" s="265" t="str">
        <f t="shared" si="30"/>
        <v>N/A</v>
      </c>
      <c r="F38" s="265" t="str">
        <f t="shared" si="31"/>
        <v>N/A</v>
      </c>
      <c r="G38" s="265" t="str">
        <f t="shared" si="31"/>
        <v>N/A</v>
      </c>
      <c r="H38" s="353">
        <v>31</v>
      </c>
      <c r="I38" s="265" t="str">
        <f t="shared" ref="I38:I52" si="32">Z34</f>
        <v>N/A</v>
      </c>
      <c r="J38" s="265" t="str">
        <f t="shared" ref="J38:J52" si="33">AA34</f>
        <v>N/A</v>
      </c>
      <c r="K38" s="265" t="str">
        <f t="shared" ref="K38:K52" si="34">AB34</f>
        <v>N/A</v>
      </c>
      <c r="L38" s="265" t="str">
        <f t="shared" ref="L38:M52" si="35">AC34</f>
        <v>N/A</v>
      </c>
      <c r="M38" s="265" t="str">
        <f t="shared" si="35"/>
        <v>N/A</v>
      </c>
      <c r="N38" s="236"/>
      <c r="O38" s="236"/>
      <c r="P38" s="236"/>
      <c r="Q38" s="236"/>
      <c r="R38" s="236" t="s">
        <v>336</v>
      </c>
      <c r="S38" s="366">
        <v>35</v>
      </c>
      <c r="T38" s="246" t="s">
        <v>336</v>
      </c>
      <c r="U38" s="246" t="s">
        <v>336</v>
      </c>
      <c r="V38" s="246" t="s">
        <v>336</v>
      </c>
      <c r="W38" s="246" t="s">
        <v>336</v>
      </c>
      <c r="X38" s="246" t="s">
        <v>336</v>
      </c>
      <c r="Y38" s="374">
        <v>35</v>
      </c>
      <c r="Z38" s="246" t="s">
        <v>336</v>
      </c>
      <c r="AA38" s="246" t="s">
        <v>336</v>
      </c>
      <c r="AB38" s="246" t="s">
        <v>336</v>
      </c>
      <c r="AC38" s="246" t="s">
        <v>336</v>
      </c>
      <c r="AD38" s="246" t="s">
        <v>336</v>
      </c>
      <c r="AE38" s="236"/>
      <c r="AF38" s="246" t="s">
        <v>336</v>
      </c>
      <c r="AG38" s="246" t="s">
        <v>336</v>
      </c>
      <c r="AH38" s="246" t="s">
        <v>336</v>
      </c>
      <c r="AI38" s="246" t="s">
        <v>336</v>
      </c>
      <c r="AJ38" s="246" t="s">
        <v>336</v>
      </c>
      <c r="AK38" s="366">
        <v>35</v>
      </c>
      <c r="AL38" s="246" t="s">
        <v>336</v>
      </c>
      <c r="AM38" s="246" t="s">
        <v>336</v>
      </c>
      <c r="AN38" s="246" t="s">
        <v>336</v>
      </c>
      <c r="AO38" s="246" t="s">
        <v>336</v>
      </c>
      <c r="AP38" s="246" t="s">
        <v>336</v>
      </c>
      <c r="AQ38" s="374">
        <v>35</v>
      </c>
      <c r="AR38" s="236"/>
      <c r="AS38" s="236"/>
      <c r="AT38" s="236"/>
      <c r="AU38" s="236"/>
      <c r="AV38" s="265" t="str">
        <f t="shared" ref="AV38:AV50" si="36">AF34</f>
        <v>N/A</v>
      </c>
      <c r="AW38" s="265" t="str">
        <f t="shared" ref="AW38:AW50" si="37">AG34</f>
        <v>N/A</v>
      </c>
      <c r="AX38" s="265" t="str">
        <f t="shared" ref="AX38:AX50" si="38">AH34</f>
        <v>N/A</v>
      </c>
      <c r="AY38" s="265" t="str">
        <f t="shared" ref="AY38:AZ50" si="39">AI34</f>
        <v>N/A</v>
      </c>
      <c r="AZ38" s="265" t="str">
        <f t="shared" si="39"/>
        <v>N/A</v>
      </c>
      <c r="BA38" s="306">
        <v>31</v>
      </c>
      <c r="BB38" s="265" t="str">
        <f t="shared" ref="BB38:BB52" si="40">AL34</f>
        <v>N/A</v>
      </c>
      <c r="BC38" s="265" t="str">
        <f t="shared" ref="BC38:BC52" si="41">AM34</f>
        <v>N/A</v>
      </c>
      <c r="BD38" s="265" t="str">
        <f t="shared" ref="BD38:BD52" si="42">AN34</f>
        <v>N/A</v>
      </c>
      <c r="BE38" s="265" t="str">
        <f t="shared" ref="BE38:BF52" si="43">AO34</f>
        <v>N/A</v>
      </c>
      <c r="BF38" s="265" t="str">
        <f t="shared" si="43"/>
        <v>N/A</v>
      </c>
      <c r="BG38" s="374">
        <v>31</v>
      </c>
    </row>
    <row r="39" spans="2:59" x14ac:dyDescent="0.3">
      <c r="B39" s="305">
        <v>32</v>
      </c>
      <c r="C39" s="257" t="str">
        <f t="shared" si="28"/>
        <v>N/A</v>
      </c>
      <c r="D39" s="257" t="str">
        <f t="shared" si="29"/>
        <v>N/A</v>
      </c>
      <c r="E39" s="257" t="str">
        <f t="shared" si="30"/>
        <v>N/A</v>
      </c>
      <c r="F39" s="257" t="str">
        <f t="shared" si="31"/>
        <v>N/A</v>
      </c>
      <c r="G39" s="257" t="str">
        <f t="shared" si="31"/>
        <v>N/A</v>
      </c>
      <c r="H39" s="352">
        <v>32</v>
      </c>
      <c r="I39" s="257" t="str">
        <f t="shared" si="32"/>
        <v>N/A</v>
      </c>
      <c r="J39" s="257" t="str">
        <f t="shared" si="33"/>
        <v>N/A</v>
      </c>
      <c r="K39" s="257" t="str">
        <f t="shared" si="34"/>
        <v>N/A</v>
      </c>
      <c r="L39" s="257" t="str">
        <f t="shared" si="35"/>
        <v>N/A</v>
      </c>
      <c r="M39" s="257" t="str">
        <f t="shared" si="35"/>
        <v>N/A</v>
      </c>
      <c r="N39" s="236"/>
      <c r="O39" s="236"/>
      <c r="P39" s="236"/>
      <c r="Q39" s="236"/>
      <c r="R39" s="236" t="s">
        <v>336</v>
      </c>
      <c r="S39" s="365">
        <v>36</v>
      </c>
      <c r="T39" s="254" t="s">
        <v>336</v>
      </c>
      <c r="U39" s="254" t="s">
        <v>336</v>
      </c>
      <c r="V39" s="254" t="s">
        <v>336</v>
      </c>
      <c r="W39" s="254" t="s">
        <v>336</v>
      </c>
      <c r="X39" s="254" t="s">
        <v>336</v>
      </c>
      <c r="Y39" s="373">
        <v>36</v>
      </c>
      <c r="Z39" s="254" t="s">
        <v>336</v>
      </c>
      <c r="AA39" s="254" t="s">
        <v>336</v>
      </c>
      <c r="AB39" s="254" t="s">
        <v>336</v>
      </c>
      <c r="AC39" s="254" t="s">
        <v>336</v>
      </c>
      <c r="AD39" s="254" t="s">
        <v>336</v>
      </c>
      <c r="AE39" s="236"/>
      <c r="AF39" s="254" t="s">
        <v>336</v>
      </c>
      <c r="AG39" s="254" t="s">
        <v>336</v>
      </c>
      <c r="AH39" s="254" t="s">
        <v>336</v>
      </c>
      <c r="AI39" s="254" t="s">
        <v>336</v>
      </c>
      <c r="AJ39" s="254" t="s">
        <v>336</v>
      </c>
      <c r="AK39" s="365">
        <v>36</v>
      </c>
      <c r="AL39" s="254" t="s">
        <v>336</v>
      </c>
      <c r="AM39" s="254" t="s">
        <v>336</v>
      </c>
      <c r="AN39" s="254" t="s">
        <v>336</v>
      </c>
      <c r="AO39" s="254" t="s">
        <v>336</v>
      </c>
      <c r="AP39" s="254" t="s">
        <v>336</v>
      </c>
      <c r="AQ39" s="373">
        <v>36</v>
      </c>
      <c r="AR39" s="236"/>
      <c r="AS39" s="236"/>
      <c r="AT39" s="236"/>
      <c r="AU39" s="236"/>
      <c r="AV39" s="257" t="str">
        <f t="shared" si="36"/>
        <v>N/A</v>
      </c>
      <c r="AW39" s="257" t="str">
        <f t="shared" si="37"/>
        <v>N/A</v>
      </c>
      <c r="AX39" s="257" t="str">
        <f t="shared" si="38"/>
        <v>N/A</v>
      </c>
      <c r="AY39" s="257" t="str">
        <f t="shared" si="39"/>
        <v>N/A</v>
      </c>
      <c r="AZ39" s="257" t="str">
        <f t="shared" si="39"/>
        <v>N/A</v>
      </c>
      <c r="BA39" s="305">
        <v>32</v>
      </c>
      <c r="BB39" s="257" t="str">
        <f t="shared" si="40"/>
        <v>N/A</v>
      </c>
      <c r="BC39" s="257" t="str">
        <f t="shared" si="41"/>
        <v>N/A</v>
      </c>
      <c r="BD39" s="257" t="str">
        <f t="shared" si="42"/>
        <v>N/A</v>
      </c>
      <c r="BE39" s="257" t="str">
        <f t="shared" si="43"/>
        <v>N/A</v>
      </c>
      <c r="BF39" s="257" t="str">
        <f t="shared" si="43"/>
        <v>N/A</v>
      </c>
      <c r="BG39" s="373">
        <v>32</v>
      </c>
    </row>
    <row r="40" spans="2:59" ht="15" thickBot="1" x14ac:dyDescent="0.35">
      <c r="B40" s="306">
        <v>33</v>
      </c>
      <c r="C40" s="265" t="str">
        <f t="shared" si="28"/>
        <v>N/A</v>
      </c>
      <c r="D40" s="265" t="str">
        <f t="shared" si="29"/>
        <v>N/A</v>
      </c>
      <c r="E40" s="265" t="str">
        <f t="shared" si="30"/>
        <v>N/A</v>
      </c>
      <c r="F40" s="265" t="str">
        <f t="shared" si="31"/>
        <v>N/A</v>
      </c>
      <c r="G40" s="265" t="str">
        <f t="shared" si="31"/>
        <v>N/A</v>
      </c>
      <c r="H40" s="353">
        <v>33</v>
      </c>
      <c r="I40" s="265" t="str">
        <f t="shared" si="32"/>
        <v>N/A</v>
      </c>
      <c r="J40" s="265" t="str">
        <f t="shared" si="33"/>
        <v>N/A</v>
      </c>
      <c r="K40" s="265" t="str">
        <f t="shared" si="34"/>
        <v>N/A</v>
      </c>
      <c r="L40" s="265" t="str">
        <f t="shared" si="35"/>
        <v>N/A</v>
      </c>
      <c r="M40" s="265" t="str">
        <f t="shared" si="35"/>
        <v>N/A</v>
      </c>
      <c r="N40" s="236"/>
      <c r="O40" s="236"/>
      <c r="P40" s="236"/>
      <c r="Q40" s="236"/>
      <c r="R40" s="236" t="s">
        <v>336</v>
      </c>
      <c r="S40" s="366">
        <v>37</v>
      </c>
      <c r="T40" s="246" t="s">
        <v>336</v>
      </c>
      <c r="U40" s="246" t="s">
        <v>336</v>
      </c>
      <c r="V40" s="246" t="s">
        <v>336</v>
      </c>
      <c r="W40" s="246" t="s">
        <v>336</v>
      </c>
      <c r="X40" s="246" t="s">
        <v>336</v>
      </c>
      <c r="Y40" s="374">
        <v>37</v>
      </c>
      <c r="Z40" s="246" t="s">
        <v>336</v>
      </c>
      <c r="AA40" s="246" t="s">
        <v>336</v>
      </c>
      <c r="AB40" s="246" t="s">
        <v>336</v>
      </c>
      <c r="AC40" s="246" t="s">
        <v>336</v>
      </c>
      <c r="AD40" s="246" t="s">
        <v>336</v>
      </c>
      <c r="AE40" s="236"/>
      <c r="AF40" s="246" t="s">
        <v>336</v>
      </c>
      <c r="AG40" s="246" t="s">
        <v>336</v>
      </c>
      <c r="AH40" s="246" t="s">
        <v>336</v>
      </c>
      <c r="AI40" s="246" t="s">
        <v>336</v>
      </c>
      <c r="AJ40" s="246" t="s">
        <v>336</v>
      </c>
      <c r="AK40" s="366">
        <v>37</v>
      </c>
      <c r="AL40" s="246" t="s">
        <v>336</v>
      </c>
      <c r="AM40" s="246" t="s">
        <v>336</v>
      </c>
      <c r="AN40" s="246" t="s">
        <v>336</v>
      </c>
      <c r="AO40" s="246" t="s">
        <v>336</v>
      </c>
      <c r="AP40" s="246" t="s">
        <v>336</v>
      </c>
      <c r="AQ40" s="374">
        <v>37</v>
      </c>
      <c r="AR40" s="236"/>
      <c r="AS40" s="236"/>
      <c r="AT40" s="236"/>
      <c r="AU40" s="236"/>
      <c r="AV40" s="265" t="str">
        <f t="shared" si="36"/>
        <v>N/A</v>
      </c>
      <c r="AW40" s="265" t="str">
        <f t="shared" si="37"/>
        <v>N/A</v>
      </c>
      <c r="AX40" s="265" t="str">
        <f t="shared" si="38"/>
        <v>N/A</v>
      </c>
      <c r="AY40" s="265" t="str">
        <f t="shared" si="39"/>
        <v>N/A</v>
      </c>
      <c r="AZ40" s="265" t="str">
        <f t="shared" si="39"/>
        <v>N/A</v>
      </c>
      <c r="BA40" s="306">
        <v>33</v>
      </c>
      <c r="BB40" s="265" t="str">
        <f t="shared" si="40"/>
        <v>N/A</v>
      </c>
      <c r="BC40" s="265" t="str">
        <f t="shared" si="41"/>
        <v>N/A</v>
      </c>
      <c r="BD40" s="265" t="str">
        <f t="shared" si="42"/>
        <v>N/A</v>
      </c>
      <c r="BE40" s="265" t="str">
        <f t="shared" si="43"/>
        <v>N/A</v>
      </c>
      <c r="BF40" s="265" t="str">
        <f t="shared" si="43"/>
        <v>N/A</v>
      </c>
      <c r="BG40" s="374">
        <v>33</v>
      </c>
    </row>
    <row r="41" spans="2:59" x14ac:dyDescent="0.3">
      <c r="B41" s="305">
        <v>34</v>
      </c>
      <c r="C41" s="257" t="str">
        <f t="shared" si="28"/>
        <v>N/A</v>
      </c>
      <c r="D41" s="257" t="str">
        <f t="shared" si="29"/>
        <v>N/A</v>
      </c>
      <c r="E41" s="257" t="str">
        <f t="shared" si="30"/>
        <v>N/A</v>
      </c>
      <c r="F41" s="257" t="str">
        <f t="shared" si="31"/>
        <v>N/A</v>
      </c>
      <c r="G41" s="257" t="str">
        <f t="shared" si="31"/>
        <v>N/A</v>
      </c>
      <c r="H41" s="352">
        <v>34</v>
      </c>
      <c r="I41" s="257" t="str">
        <f t="shared" si="32"/>
        <v>N/A</v>
      </c>
      <c r="J41" s="257" t="str">
        <f t="shared" si="33"/>
        <v>N/A</v>
      </c>
      <c r="K41" s="257" t="str">
        <f t="shared" si="34"/>
        <v>N/A</v>
      </c>
      <c r="L41" s="257" t="str">
        <f t="shared" si="35"/>
        <v>N/A</v>
      </c>
      <c r="M41" s="257" t="str">
        <f t="shared" si="35"/>
        <v>N/A</v>
      </c>
      <c r="N41" s="236"/>
      <c r="O41" s="236"/>
      <c r="P41" s="236"/>
      <c r="Q41" s="236"/>
      <c r="R41" s="236" t="s">
        <v>336</v>
      </c>
      <c r="S41" s="365">
        <v>38</v>
      </c>
      <c r="T41" s="254" t="s">
        <v>336</v>
      </c>
      <c r="U41" s="254" t="s">
        <v>336</v>
      </c>
      <c r="V41" s="254" t="s">
        <v>336</v>
      </c>
      <c r="W41" s="254" t="s">
        <v>336</v>
      </c>
      <c r="X41" s="254" t="s">
        <v>336</v>
      </c>
      <c r="Y41" s="373">
        <v>38</v>
      </c>
      <c r="Z41" s="254" t="s">
        <v>336</v>
      </c>
      <c r="AA41" s="254" t="s">
        <v>336</v>
      </c>
      <c r="AB41" s="254" t="s">
        <v>336</v>
      </c>
      <c r="AC41" s="254" t="s">
        <v>336</v>
      </c>
      <c r="AD41" s="254" t="s">
        <v>336</v>
      </c>
      <c r="AE41" s="236"/>
      <c r="AF41" s="254" t="s">
        <v>336</v>
      </c>
      <c r="AG41" s="254" t="s">
        <v>336</v>
      </c>
      <c r="AH41" s="254" t="s">
        <v>336</v>
      </c>
      <c r="AI41" s="254" t="s">
        <v>336</v>
      </c>
      <c r="AJ41" s="254" t="s">
        <v>336</v>
      </c>
      <c r="AK41" s="365">
        <v>38</v>
      </c>
      <c r="AL41" s="254" t="s">
        <v>336</v>
      </c>
      <c r="AM41" s="254" t="s">
        <v>336</v>
      </c>
      <c r="AN41" s="254" t="s">
        <v>336</v>
      </c>
      <c r="AO41" s="254" t="s">
        <v>336</v>
      </c>
      <c r="AP41" s="254" t="s">
        <v>336</v>
      </c>
      <c r="AQ41" s="373">
        <v>38</v>
      </c>
      <c r="AR41" s="236"/>
      <c r="AS41" s="236"/>
      <c r="AT41" s="236"/>
      <c r="AU41" s="236"/>
      <c r="AV41" s="257" t="str">
        <f t="shared" si="36"/>
        <v>N/A</v>
      </c>
      <c r="AW41" s="257" t="str">
        <f t="shared" si="37"/>
        <v>N/A</v>
      </c>
      <c r="AX41" s="257" t="str">
        <f t="shared" si="38"/>
        <v>N/A</v>
      </c>
      <c r="AY41" s="257" t="str">
        <f t="shared" si="39"/>
        <v>N/A</v>
      </c>
      <c r="AZ41" s="257" t="str">
        <f t="shared" si="39"/>
        <v>N/A</v>
      </c>
      <c r="BA41" s="305">
        <v>34</v>
      </c>
      <c r="BB41" s="257" t="str">
        <f t="shared" si="40"/>
        <v>N/A</v>
      </c>
      <c r="BC41" s="257" t="str">
        <f t="shared" si="41"/>
        <v>N/A</v>
      </c>
      <c r="BD41" s="257" t="str">
        <f t="shared" si="42"/>
        <v>N/A</v>
      </c>
      <c r="BE41" s="257" t="str">
        <f t="shared" si="43"/>
        <v>N/A</v>
      </c>
      <c r="BF41" s="257" t="str">
        <f t="shared" si="43"/>
        <v>N/A</v>
      </c>
      <c r="BG41" s="373">
        <v>34</v>
      </c>
    </row>
    <row r="42" spans="2:59" ht="15" thickBot="1" x14ac:dyDescent="0.35">
      <c r="B42" s="306">
        <v>35</v>
      </c>
      <c r="C42" s="265" t="str">
        <f t="shared" si="28"/>
        <v>N/A</v>
      </c>
      <c r="D42" s="265" t="str">
        <f t="shared" si="29"/>
        <v>N/A</v>
      </c>
      <c r="E42" s="265" t="str">
        <f t="shared" si="30"/>
        <v>N/A</v>
      </c>
      <c r="F42" s="265" t="str">
        <f t="shared" si="31"/>
        <v>N/A</v>
      </c>
      <c r="G42" s="265" t="str">
        <f t="shared" si="31"/>
        <v>N/A</v>
      </c>
      <c r="H42" s="353">
        <v>35</v>
      </c>
      <c r="I42" s="265" t="str">
        <f t="shared" si="32"/>
        <v>N/A</v>
      </c>
      <c r="J42" s="265" t="str">
        <f t="shared" si="33"/>
        <v>N/A</v>
      </c>
      <c r="K42" s="265" t="str">
        <f t="shared" si="34"/>
        <v>N/A</v>
      </c>
      <c r="L42" s="265" t="str">
        <f t="shared" si="35"/>
        <v>N/A</v>
      </c>
      <c r="M42" s="265" t="str">
        <f t="shared" si="35"/>
        <v>N/A</v>
      </c>
      <c r="N42" s="236"/>
      <c r="O42" s="236"/>
      <c r="P42" s="236"/>
      <c r="Q42" s="236"/>
      <c r="R42" s="236" t="s">
        <v>336</v>
      </c>
      <c r="S42" s="366">
        <v>39</v>
      </c>
      <c r="T42" s="246" t="s">
        <v>336</v>
      </c>
      <c r="U42" s="246" t="s">
        <v>336</v>
      </c>
      <c r="V42" s="246" t="s">
        <v>336</v>
      </c>
      <c r="W42" s="246" t="s">
        <v>336</v>
      </c>
      <c r="X42" s="246" t="s">
        <v>336</v>
      </c>
      <c r="Y42" s="374">
        <v>39</v>
      </c>
      <c r="Z42" s="246" t="s">
        <v>336</v>
      </c>
      <c r="AA42" s="246" t="s">
        <v>336</v>
      </c>
      <c r="AB42" s="246" t="s">
        <v>336</v>
      </c>
      <c r="AC42" s="246" t="s">
        <v>336</v>
      </c>
      <c r="AD42" s="246" t="s">
        <v>336</v>
      </c>
      <c r="AE42" s="236"/>
      <c r="AF42" s="246" t="s">
        <v>336</v>
      </c>
      <c r="AG42" s="246" t="s">
        <v>336</v>
      </c>
      <c r="AH42" s="246" t="s">
        <v>336</v>
      </c>
      <c r="AI42" s="246" t="s">
        <v>336</v>
      </c>
      <c r="AJ42" s="246" t="s">
        <v>336</v>
      </c>
      <c r="AK42" s="366">
        <v>39</v>
      </c>
      <c r="AL42" s="246" t="s">
        <v>336</v>
      </c>
      <c r="AM42" s="246" t="s">
        <v>336</v>
      </c>
      <c r="AN42" s="246" t="s">
        <v>336</v>
      </c>
      <c r="AO42" s="246" t="s">
        <v>336</v>
      </c>
      <c r="AP42" s="246" t="s">
        <v>336</v>
      </c>
      <c r="AQ42" s="374">
        <v>39</v>
      </c>
      <c r="AR42" s="236"/>
      <c r="AS42" s="236"/>
      <c r="AT42" s="236"/>
      <c r="AU42" s="236"/>
      <c r="AV42" s="265" t="str">
        <f t="shared" si="36"/>
        <v>N/A</v>
      </c>
      <c r="AW42" s="265" t="str">
        <f t="shared" si="37"/>
        <v>N/A</v>
      </c>
      <c r="AX42" s="265" t="str">
        <f t="shared" si="38"/>
        <v>N/A</v>
      </c>
      <c r="AY42" s="265" t="str">
        <f t="shared" si="39"/>
        <v>N/A</v>
      </c>
      <c r="AZ42" s="265" t="str">
        <f t="shared" si="39"/>
        <v>N/A</v>
      </c>
      <c r="BA42" s="306">
        <v>35</v>
      </c>
      <c r="BB42" s="265" t="str">
        <f t="shared" si="40"/>
        <v>N/A</v>
      </c>
      <c r="BC42" s="265" t="str">
        <f t="shared" si="41"/>
        <v>N/A</v>
      </c>
      <c r="BD42" s="265" t="str">
        <f t="shared" si="42"/>
        <v>N/A</v>
      </c>
      <c r="BE42" s="265" t="str">
        <f t="shared" si="43"/>
        <v>N/A</v>
      </c>
      <c r="BF42" s="265" t="str">
        <f t="shared" si="43"/>
        <v>N/A</v>
      </c>
      <c r="BG42" s="374">
        <v>35</v>
      </c>
    </row>
    <row r="43" spans="2:59" x14ac:dyDescent="0.3">
      <c r="B43" s="305">
        <v>36</v>
      </c>
      <c r="C43" s="257" t="str">
        <f t="shared" si="28"/>
        <v>N/A</v>
      </c>
      <c r="D43" s="257" t="str">
        <f t="shared" si="29"/>
        <v>N/A</v>
      </c>
      <c r="E43" s="257" t="str">
        <f t="shared" si="30"/>
        <v>N/A</v>
      </c>
      <c r="F43" s="257" t="str">
        <f t="shared" si="31"/>
        <v>N/A</v>
      </c>
      <c r="G43" s="257" t="str">
        <f t="shared" si="31"/>
        <v>N/A</v>
      </c>
      <c r="H43" s="352">
        <v>36</v>
      </c>
      <c r="I43" s="257" t="str">
        <f t="shared" si="32"/>
        <v>N/A</v>
      </c>
      <c r="J43" s="257" t="str">
        <f t="shared" si="33"/>
        <v>N/A</v>
      </c>
      <c r="K43" s="257" t="str">
        <f t="shared" si="34"/>
        <v>N/A</v>
      </c>
      <c r="L43" s="257" t="str">
        <f t="shared" si="35"/>
        <v>N/A</v>
      </c>
      <c r="M43" s="257" t="str">
        <f t="shared" si="35"/>
        <v>N/A</v>
      </c>
      <c r="N43" s="236"/>
      <c r="O43" s="236"/>
      <c r="P43" s="236"/>
      <c r="Q43" s="236"/>
      <c r="R43" s="236" t="s">
        <v>336</v>
      </c>
      <c r="S43" s="365">
        <v>40</v>
      </c>
      <c r="T43" s="254" t="s">
        <v>336</v>
      </c>
      <c r="U43" s="254" t="s">
        <v>336</v>
      </c>
      <c r="V43" s="254" t="s">
        <v>336</v>
      </c>
      <c r="W43" s="254" t="s">
        <v>336</v>
      </c>
      <c r="X43" s="254" t="s">
        <v>336</v>
      </c>
      <c r="Y43" s="373">
        <v>40</v>
      </c>
      <c r="Z43" s="254" t="s">
        <v>336</v>
      </c>
      <c r="AA43" s="254" t="s">
        <v>336</v>
      </c>
      <c r="AB43" s="254" t="s">
        <v>336</v>
      </c>
      <c r="AC43" s="254" t="s">
        <v>336</v>
      </c>
      <c r="AD43" s="254" t="s">
        <v>336</v>
      </c>
      <c r="AE43" s="236"/>
      <c r="AF43" s="254" t="s">
        <v>336</v>
      </c>
      <c r="AG43" s="254" t="s">
        <v>336</v>
      </c>
      <c r="AH43" s="254" t="s">
        <v>336</v>
      </c>
      <c r="AI43" s="254" t="s">
        <v>336</v>
      </c>
      <c r="AJ43" s="254" t="s">
        <v>336</v>
      </c>
      <c r="AK43" s="365">
        <v>40</v>
      </c>
      <c r="AL43" s="254" t="s">
        <v>336</v>
      </c>
      <c r="AM43" s="254" t="s">
        <v>336</v>
      </c>
      <c r="AN43" s="254" t="s">
        <v>336</v>
      </c>
      <c r="AO43" s="254" t="s">
        <v>336</v>
      </c>
      <c r="AP43" s="254" t="s">
        <v>336</v>
      </c>
      <c r="AQ43" s="373">
        <v>40</v>
      </c>
      <c r="AR43" s="236"/>
      <c r="AS43" s="236"/>
      <c r="AT43" s="236"/>
      <c r="AU43" s="236"/>
      <c r="AV43" s="257" t="str">
        <f t="shared" si="36"/>
        <v>N/A</v>
      </c>
      <c r="AW43" s="257" t="str">
        <f t="shared" si="37"/>
        <v>N/A</v>
      </c>
      <c r="AX43" s="257" t="str">
        <f t="shared" si="38"/>
        <v>N/A</v>
      </c>
      <c r="AY43" s="257" t="str">
        <f t="shared" si="39"/>
        <v>N/A</v>
      </c>
      <c r="AZ43" s="257" t="str">
        <f t="shared" si="39"/>
        <v>N/A</v>
      </c>
      <c r="BA43" s="305">
        <v>36</v>
      </c>
      <c r="BB43" s="257" t="str">
        <f t="shared" si="40"/>
        <v>N/A</v>
      </c>
      <c r="BC43" s="257" t="str">
        <f t="shared" si="41"/>
        <v>N/A</v>
      </c>
      <c r="BD43" s="257" t="str">
        <f t="shared" si="42"/>
        <v>N/A</v>
      </c>
      <c r="BE43" s="257" t="str">
        <f t="shared" si="43"/>
        <v>N/A</v>
      </c>
      <c r="BF43" s="257" t="str">
        <f t="shared" si="43"/>
        <v>N/A</v>
      </c>
      <c r="BG43" s="373">
        <v>36</v>
      </c>
    </row>
    <row r="44" spans="2:59" ht="15" thickBot="1" x14ac:dyDescent="0.35">
      <c r="B44" s="306">
        <v>37</v>
      </c>
      <c r="C44" s="265" t="str">
        <f t="shared" si="28"/>
        <v>N/A</v>
      </c>
      <c r="D44" s="265" t="str">
        <f t="shared" si="29"/>
        <v>N/A</v>
      </c>
      <c r="E44" s="265" t="str">
        <f t="shared" si="30"/>
        <v>N/A</v>
      </c>
      <c r="F44" s="265" t="str">
        <f t="shared" si="31"/>
        <v>N/A</v>
      </c>
      <c r="G44" s="265" t="str">
        <f t="shared" si="31"/>
        <v>N/A</v>
      </c>
      <c r="H44" s="353">
        <v>37</v>
      </c>
      <c r="I44" s="265" t="str">
        <f t="shared" si="32"/>
        <v>N/A</v>
      </c>
      <c r="J44" s="265" t="str">
        <f t="shared" si="33"/>
        <v>N/A</v>
      </c>
      <c r="K44" s="265" t="str">
        <f t="shared" si="34"/>
        <v>N/A</v>
      </c>
      <c r="L44" s="265" t="str">
        <f t="shared" si="35"/>
        <v>N/A</v>
      </c>
      <c r="M44" s="265" t="str">
        <f t="shared" si="35"/>
        <v>N/A</v>
      </c>
      <c r="N44" s="236"/>
      <c r="O44" s="236"/>
      <c r="P44" s="236"/>
      <c r="Q44" s="236"/>
      <c r="R44" s="236" t="s">
        <v>336</v>
      </c>
      <c r="S44" s="366">
        <v>41</v>
      </c>
      <c r="T44" s="246" t="s">
        <v>336</v>
      </c>
      <c r="U44" s="246" t="s">
        <v>336</v>
      </c>
      <c r="V44" s="246" t="s">
        <v>336</v>
      </c>
      <c r="W44" s="246" t="s">
        <v>336</v>
      </c>
      <c r="X44" s="246" t="s">
        <v>336</v>
      </c>
      <c r="Y44" s="374">
        <v>41</v>
      </c>
      <c r="Z44" s="246" t="s">
        <v>336</v>
      </c>
      <c r="AA44" s="246" t="s">
        <v>336</v>
      </c>
      <c r="AB44" s="246" t="s">
        <v>336</v>
      </c>
      <c r="AC44" s="246" t="s">
        <v>336</v>
      </c>
      <c r="AD44" s="246" t="s">
        <v>336</v>
      </c>
      <c r="AE44" s="236"/>
      <c r="AF44" s="246" t="s">
        <v>336</v>
      </c>
      <c r="AG44" s="246" t="s">
        <v>336</v>
      </c>
      <c r="AH44" s="246" t="s">
        <v>336</v>
      </c>
      <c r="AI44" s="246" t="s">
        <v>336</v>
      </c>
      <c r="AJ44" s="246" t="s">
        <v>336</v>
      </c>
      <c r="AK44" s="366">
        <v>41</v>
      </c>
      <c r="AL44" s="246" t="s">
        <v>336</v>
      </c>
      <c r="AM44" s="246" t="s">
        <v>336</v>
      </c>
      <c r="AN44" s="246" t="s">
        <v>336</v>
      </c>
      <c r="AO44" s="246" t="s">
        <v>336</v>
      </c>
      <c r="AP44" s="246" t="s">
        <v>336</v>
      </c>
      <c r="AQ44" s="374">
        <v>41</v>
      </c>
      <c r="AR44" s="236"/>
      <c r="AS44" s="236"/>
      <c r="AT44" s="236"/>
      <c r="AU44" s="236"/>
      <c r="AV44" s="265" t="str">
        <f t="shared" si="36"/>
        <v>N/A</v>
      </c>
      <c r="AW44" s="265" t="str">
        <f t="shared" si="37"/>
        <v>N/A</v>
      </c>
      <c r="AX44" s="265" t="str">
        <f t="shared" si="38"/>
        <v>N/A</v>
      </c>
      <c r="AY44" s="265" t="str">
        <f t="shared" si="39"/>
        <v>N/A</v>
      </c>
      <c r="AZ44" s="265" t="str">
        <f t="shared" si="39"/>
        <v>N/A</v>
      </c>
      <c r="BA44" s="306">
        <v>37</v>
      </c>
      <c r="BB44" s="265" t="str">
        <f t="shared" si="40"/>
        <v>N/A</v>
      </c>
      <c r="BC44" s="265" t="str">
        <f t="shared" si="41"/>
        <v>N/A</v>
      </c>
      <c r="BD44" s="265" t="str">
        <f t="shared" si="42"/>
        <v>N/A</v>
      </c>
      <c r="BE44" s="265" t="str">
        <f t="shared" si="43"/>
        <v>N/A</v>
      </c>
      <c r="BF44" s="265" t="str">
        <f t="shared" si="43"/>
        <v>N/A</v>
      </c>
      <c r="BG44" s="374">
        <v>37</v>
      </c>
    </row>
    <row r="45" spans="2:59" x14ac:dyDescent="0.3">
      <c r="B45" s="305">
        <v>38</v>
      </c>
      <c r="C45" s="257" t="str">
        <f t="shared" si="28"/>
        <v>N/A</v>
      </c>
      <c r="D45" s="257" t="str">
        <f t="shared" si="29"/>
        <v>N/A</v>
      </c>
      <c r="E45" s="257" t="str">
        <f t="shared" si="30"/>
        <v>N/A</v>
      </c>
      <c r="F45" s="257" t="str">
        <f t="shared" si="31"/>
        <v>N/A</v>
      </c>
      <c r="G45" s="257" t="str">
        <f t="shared" si="31"/>
        <v>N/A</v>
      </c>
      <c r="H45" s="352">
        <v>38</v>
      </c>
      <c r="I45" s="257" t="str">
        <f t="shared" si="32"/>
        <v>N/A</v>
      </c>
      <c r="J45" s="257" t="str">
        <f t="shared" si="33"/>
        <v>N/A</v>
      </c>
      <c r="K45" s="257" t="str">
        <f t="shared" si="34"/>
        <v>N/A</v>
      </c>
      <c r="L45" s="257" t="str">
        <f t="shared" si="35"/>
        <v>N/A</v>
      </c>
      <c r="M45" s="257" t="str">
        <f t="shared" si="35"/>
        <v>N/A</v>
      </c>
      <c r="N45" s="236"/>
      <c r="O45" s="236"/>
      <c r="P45" s="236"/>
      <c r="Q45" s="236"/>
      <c r="R45" s="236" t="s">
        <v>336</v>
      </c>
      <c r="S45" s="365">
        <v>42</v>
      </c>
      <c r="T45" s="254" t="s">
        <v>336</v>
      </c>
      <c r="U45" s="254" t="s">
        <v>336</v>
      </c>
      <c r="V45" s="254" t="s">
        <v>336</v>
      </c>
      <c r="W45" s="254" t="s">
        <v>336</v>
      </c>
      <c r="X45" s="254" t="s">
        <v>336</v>
      </c>
      <c r="Y45" s="373">
        <v>42</v>
      </c>
      <c r="Z45" s="254" t="s">
        <v>336</v>
      </c>
      <c r="AA45" s="254" t="s">
        <v>336</v>
      </c>
      <c r="AB45" s="254" t="s">
        <v>336</v>
      </c>
      <c r="AC45" s="254" t="s">
        <v>336</v>
      </c>
      <c r="AD45" s="254" t="s">
        <v>336</v>
      </c>
      <c r="AE45" s="236"/>
      <c r="AF45" s="254" t="s">
        <v>336</v>
      </c>
      <c r="AG45" s="254" t="s">
        <v>336</v>
      </c>
      <c r="AH45" s="254" t="s">
        <v>336</v>
      </c>
      <c r="AI45" s="254" t="s">
        <v>336</v>
      </c>
      <c r="AJ45" s="254" t="s">
        <v>336</v>
      </c>
      <c r="AK45" s="365">
        <v>42</v>
      </c>
      <c r="AL45" s="254" t="s">
        <v>336</v>
      </c>
      <c r="AM45" s="254" t="s">
        <v>336</v>
      </c>
      <c r="AN45" s="254" t="s">
        <v>336</v>
      </c>
      <c r="AO45" s="254" t="s">
        <v>336</v>
      </c>
      <c r="AP45" s="254" t="s">
        <v>336</v>
      </c>
      <c r="AQ45" s="373">
        <v>42</v>
      </c>
      <c r="AR45" s="236"/>
      <c r="AS45" s="236"/>
      <c r="AT45" s="236"/>
      <c r="AU45" s="236"/>
      <c r="AV45" s="257" t="str">
        <f t="shared" si="36"/>
        <v>N/A</v>
      </c>
      <c r="AW45" s="257" t="str">
        <f t="shared" si="37"/>
        <v>N/A</v>
      </c>
      <c r="AX45" s="257" t="str">
        <f t="shared" si="38"/>
        <v>N/A</v>
      </c>
      <c r="AY45" s="257" t="str">
        <f t="shared" si="39"/>
        <v>N/A</v>
      </c>
      <c r="AZ45" s="257" t="str">
        <f t="shared" si="39"/>
        <v>N/A</v>
      </c>
      <c r="BA45" s="305">
        <v>38</v>
      </c>
      <c r="BB45" s="257" t="str">
        <f t="shared" si="40"/>
        <v>N/A</v>
      </c>
      <c r="BC45" s="257" t="str">
        <f t="shared" si="41"/>
        <v>N/A</v>
      </c>
      <c r="BD45" s="257" t="str">
        <f t="shared" si="42"/>
        <v>N/A</v>
      </c>
      <c r="BE45" s="257" t="str">
        <f t="shared" si="43"/>
        <v>N/A</v>
      </c>
      <c r="BF45" s="257" t="str">
        <f t="shared" si="43"/>
        <v>N/A</v>
      </c>
      <c r="BG45" s="373">
        <v>38</v>
      </c>
    </row>
    <row r="46" spans="2:59" ht="15" thickBot="1" x14ac:dyDescent="0.35">
      <c r="B46" s="306">
        <v>39</v>
      </c>
      <c r="C46" s="265" t="str">
        <f t="shared" si="28"/>
        <v>N/A</v>
      </c>
      <c r="D46" s="265" t="str">
        <f t="shared" si="29"/>
        <v>N/A</v>
      </c>
      <c r="E46" s="265" t="str">
        <f t="shared" si="30"/>
        <v>N/A</v>
      </c>
      <c r="F46" s="265" t="str">
        <f t="shared" si="31"/>
        <v>N/A</v>
      </c>
      <c r="G46" s="265" t="str">
        <f t="shared" si="31"/>
        <v>N/A</v>
      </c>
      <c r="H46" s="353">
        <v>39</v>
      </c>
      <c r="I46" s="265" t="str">
        <f t="shared" si="32"/>
        <v>N/A</v>
      </c>
      <c r="J46" s="265" t="str">
        <f t="shared" si="33"/>
        <v>N/A</v>
      </c>
      <c r="K46" s="265" t="str">
        <f t="shared" si="34"/>
        <v>N/A</v>
      </c>
      <c r="L46" s="265" t="str">
        <f t="shared" si="35"/>
        <v>N/A</v>
      </c>
      <c r="M46" s="265" t="str">
        <f t="shared" si="35"/>
        <v>N/A</v>
      </c>
      <c r="N46" s="236"/>
      <c r="O46" s="236"/>
      <c r="P46" s="236"/>
      <c r="Q46" s="236"/>
      <c r="R46" s="236" t="s">
        <v>336</v>
      </c>
      <c r="S46" s="366">
        <v>43</v>
      </c>
      <c r="T46" s="246" t="s">
        <v>336</v>
      </c>
      <c r="U46" s="246" t="s">
        <v>336</v>
      </c>
      <c r="V46" s="246" t="s">
        <v>336</v>
      </c>
      <c r="W46" s="246" t="s">
        <v>336</v>
      </c>
      <c r="X46" s="246" t="s">
        <v>336</v>
      </c>
      <c r="Y46" s="374">
        <v>43</v>
      </c>
      <c r="Z46" s="246" t="s">
        <v>336</v>
      </c>
      <c r="AA46" s="246" t="s">
        <v>336</v>
      </c>
      <c r="AB46" s="246" t="s">
        <v>336</v>
      </c>
      <c r="AC46" s="246" t="s">
        <v>336</v>
      </c>
      <c r="AD46" s="246" t="s">
        <v>336</v>
      </c>
      <c r="AE46" s="236"/>
      <c r="AF46" s="246" t="s">
        <v>336</v>
      </c>
      <c r="AG46" s="246" t="s">
        <v>336</v>
      </c>
      <c r="AH46" s="246" t="s">
        <v>336</v>
      </c>
      <c r="AI46" s="246" t="s">
        <v>336</v>
      </c>
      <c r="AJ46" s="246" t="s">
        <v>336</v>
      </c>
      <c r="AK46" s="366">
        <v>43</v>
      </c>
      <c r="AL46" s="246" t="s">
        <v>336</v>
      </c>
      <c r="AM46" s="246" t="s">
        <v>336</v>
      </c>
      <c r="AN46" s="246" t="s">
        <v>336</v>
      </c>
      <c r="AO46" s="246" t="s">
        <v>336</v>
      </c>
      <c r="AP46" s="246" t="s">
        <v>336</v>
      </c>
      <c r="AQ46" s="374">
        <v>43</v>
      </c>
      <c r="AR46" s="236"/>
      <c r="AS46" s="236"/>
      <c r="AT46" s="236"/>
      <c r="AU46" s="236"/>
      <c r="AV46" s="265" t="str">
        <f t="shared" si="36"/>
        <v>N/A</v>
      </c>
      <c r="AW46" s="265" t="str">
        <f t="shared" si="37"/>
        <v>N/A</v>
      </c>
      <c r="AX46" s="265" t="str">
        <f t="shared" si="38"/>
        <v>N/A</v>
      </c>
      <c r="AY46" s="265" t="str">
        <f t="shared" si="39"/>
        <v>N/A</v>
      </c>
      <c r="AZ46" s="265" t="str">
        <f t="shared" si="39"/>
        <v>N/A</v>
      </c>
      <c r="BA46" s="306">
        <v>39</v>
      </c>
      <c r="BB46" s="265" t="str">
        <f t="shared" si="40"/>
        <v>N/A</v>
      </c>
      <c r="BC46" s="265" t="str">
        <f t="shared" si="41"/>
        <v>N/A</v>
      </c>
      <c r="BD46" s="265" t="str">
        <f t="shared" si="42"/>
        <v>N/A</v>
      </c>
      <c r="BE46" s="265" t="str">
        <f t="shared" si="43"/>
        <v>N/A</v>
      </c>
      <c r="BF46" s="265" t="str">
        <f t="shared" si="43"/>
        <v>N/A</v>
      </c>
      <c r="BG46" s="374">
        <v>39</v>
      </c>
    </row>
    <row r="47" spans="2:59" ht="15" thickBot="1" x14ac:dyDescent="0.35">
      <c r="B47" s="305">
        <v>40</v>
      </c>
      <c r="C47" s="257" t="str">
        <f t="shared" si="28"/>
        <v>N/A</v>
      </c>
      <c r="D47" s="257" t="str">
        <f t="shared" si="29"/>
        <v>N/A</v>
      </c>
      <c r="E47" s="257" t="str">
        <f t="shared" si="30"/>
        <v>N/A</v>
      </c>
      <c r="F47" s="257" t="str">
        <f t="shared" si="31"/>
        <v>N/A</v>
      </c>
      <c r="G47" s="257" t="str">
        <f t="shared" si="31"/>
        <v>N/A</v>
      </c>
      <c r="H47" s="352">
        <v>40</v>
      </c>
      <c r="I47" s="257" t="str">
        <f t="shared" si="32"/>
        <v>N/A</v>
      </c>
      <c r="J47" s="257" t="str">
        <f t="shared" si="33"/>
        <v>N/A</v>
      </c>
      <c r="K47" s="257" t="str">
        <f t="shared" si="34"/>
        <v>N/A</v>
      </c>
      <c r="L47" s="257" t="str">
        <f t="shared" si="35"/>
        <v>N/A</v>
      </c>
      <c r="M47" s="257" t="str">
        <f t="shared" si="35"/>
        <v>N/A</v>
      </c>
      <c r="N47" s="236"/>
      <c r="O47" s="236"/>
      <c r="P47" s="236"/>
      <c r="Q47" s="236"/>
      <c r="R47" s="236" t="s">
        <v>336</v>
      </c>
      <c r="S47" s="367">
        <v>44</v>
      </c>
      <c r="T47" s="293" t="s">
        <v>336</v>
      </c>
      <c r="U47" s="293" t="s">
        <v>336</v>
      </c>
      <c r="V47" s="293" t="s">
        <v>336</v>
      </c>
      <c r="W47" s="254" t="s">
        <v>336</v>
      </c>
      <c r="X47" s="254" t="s">
        <v>336</v>
      </c>
      <c r="Y47" s="375">
        <v>44</v>
      </c>
      <c r="Z47" s="293" t="s">
        <v>336</v>
      </c>
      <c r="AA47" s="254" t="s">
        <v>336</v>
      </c>
      <c r="AB47" s="293" t="s">
        <v>336</v>
      </c>
      <c r="AC47" s="254" t="s">
        <v>336</v>
      </c>
      <c r="AD47" s="254" t="s">
        <v>336</v>
      </c>
      <c r="AE47" s="236"/>
      <c r="AF47" s="293" t="s">
        <v>336</v>
      </c>
      <c r="AG47" s="293" t="s">
        <v>336</v>
      </c>
      <c r="AH47" s="293" t="s">
        <v>336</v>
      </c>
      <c r="AI47" s="254" t="s">
        <v>336</v>
      </c>
      <c r="AJ47" s="254" t="s">
        <v>336</v>
      </c>
      <c r="AK47" s="367">
        <v>44</v>
      </c>
      <c r="AL47" s="293" t="s">
        <v>336</v>
      </c>
      <c r="AM47" s="293" t="s">
        <v>336</v>
      </c>
      <c r="AN47" s="293" t="s">
        <v>336</v>
      </c>
      <c r="AO47" s="254" t="s">
        <v>336</v>
      </c>
      <c r="AP47" s="254" t="s">
        <v>336</v>
      </c>
      <c r="AQ47" s="375">
        <v>44</v>
      </c>
      <c r="AR47" s="236"/>
      <c r="AS47" s="236"/>
      <c r="AT47" s="236"/>
      <c r="AU47" s="236"/>
      <c r="AV47" s="257" t="str">
        <f t="shared" si="36"/>
        <v>N/A</v>
      </c>
      <c r="AW47" s="257" t="str">
        <f t="shared" si="37"/>
        <v>N/A</v>
      </c>
      <c r="AX47" s="257" t="str">
        <f t="shared" si="38"/>
        <v>N/A</v>
      </c>
      <c r="AY47" s="257" t="str">
        <f t="shared" si="39"/>
        <v>N/A</v>
      </c>
      <c r="AZ47" s="257" t="str">
        <f t="shared" si="39"/>
        <v>N/A</v>
      </c>
      <c r="BA47" s="305">
        <v>40</v>
      </c>
      <c r="BB47" s="257" t="str">
        <f t="shared" si="40"/>
        <v>N/A</v>
      </c>
      <c r="BC47" s="257" t="str">
        <f t="shared" si="41"/>
        <v>N/A</v>
      </c>
      <c r="BD47" s="257" t="str">
        <f t="shared" si="42"/>
        <v>N/A</v>
      </c>
      <c r="BE47" s="257" t="str">
        <f t="shared" si="43"/>
        <v>N/A</v>
      </c>
      <c r="BF47" s="257" t="str">
        <f t="shared" si="43"/>
        <v>N/A</v>
      </c>
      <c r="BG47" s="373">
        <v>40</v>
      </c>
    </row>
    <row r="48" spans="2:59" ht="15" thickBot="1" x14ac:dyDescent="0.35">
      <c r="B48" s="306">
        <v>41</v>
      </c>
      <c r="C48" s="265" t="str">
        <f t="shared" si="28"/>
        <v>N/A</v>
      </c>
      <c r="D48" s="265" t="str">
        <f t="shared" si="29"/>
        <v>N/A</v>
      </c>
      <c r="E48" s="265" t="str">
        <f t="shared" si="30"/>
        <v>N/A</v>
      </c>
      <c r="F48" s="265" t="str">
        <f t="shared" si="31"/>
        <v>N/A</v>
      </c>
      <c r="G48" s="265" t="str">
        <f t="shared" si="31"/>
        <v>N/A</v>
      </c>
      <c r="H48" s="353">
        <v>41</v>
      </c>
      <c r="I48" s="265" t="str">
        <f t="shared" si="32"/>
        <v>N/A</v>
      </c>
      <c r="J48" s="265" t="str">
        <f t="shared" si="33"/>
        <v>N/A</v>
      </c>
      <c r="K48" s="265" t="str">
        <f t="shared" si="34"/>
        <v>N/A</v>
      </c>
      <c r="L48" s="265" t="str">
        <f t="shared" si="35"/>
        <v>N/A</v>
      </c>
      <c r="M48" s="265" t="str">
        <f t="shared" si="35"/>
        <v>N/A</v>
      </c>
      <c r="N48" s="236"/>
      <c r="O48" s="236"/>
      <c r="P48" s="236"/>
      <c r="Q48" s="236"/>
      <c r="R48" s="236" t="s">
        <v>336</v>
      </c>
      <c r="S48" s="367">
        <v>45</v>
      </c>
      <c r="T48" s="347" t="s">
        <v>336</v>
      </c>
      <c r="U48" s="347" t="s">
        <v>336</v>
      </c>
      <c r="V48" s="347" t="s">
        <v>336</v>
      </c>
      <c r="W48" s="348" t="s">
        <v>336</v>
      </c>
      <c r="X48" s="348" t="s">
        <v>336</v>
      </c>
      <c r="Y48" s="375">
        <v>45</v>
      </c>
      <c r="Z48" s="347" t="s">
        <v>336</v>
      </c>
      <c r="AA48" s="348" t="s">
        <v>336</v>
      </c>
      <c r="AB48" s="347" t="s">
        <v>336</v>
      </c>
      <c r="AC48" s="348" t="s">
        <v>336</v>
      </c>
      <c r="AD48" s="348" t="s">
        <v>336</v>
      </c>
      <c r="AE48" s="236"/>
      <c r="AF48" s="344" t="s">
        <v>336</v>
      </c>
      <c r="AG48" s="344" t="s">
        <v>336</v>
      </c>
      <c r="AH48" s="344" t="s">
        <v>336</v>
      </c>
      <c r="AI48" s="345" t="s">
        <v>336</v>
      </c>
      <c r="AJ48" s="348" t="s">
        <v>336</v>
      </c>
      <c r="AK48" s="367">
        <v>45</v>
      </c>
      <c r="AL48" s="344" t="s">
        <v>336</v>
      </c>
      <c r="AM48" s="344" t="s">
        <v>336</v>
      </c>
      <c r="AN48" s="344" t="s">
        <v>336</v>
      </c>
      <c r="AO48" s="345" t="s">
        <v>336</v>
      </c>
      <c r="AP48" s="348" t="s">
        <v>336</v>
      </c>
      <c r="AQ48" s="375">
        <v>45</v>
      </c>
      <c r="AR48" s="236"/>
      <c r="AS48" s="236"/>
      <c r="AT48" s="236"/>
      <c r="AU48" s="236"/>
      <c r="AV48" s="265" t="str">
        <f t="shared" si="36"/>
        <v>N/A</v>
      </c>
      <c r="AW48" s="265" t="str">
        <f t="shared" si="37"/>
        <v>N/A</v>
      </c>
      <c r="AX48" s="265" t="str">
        <f t="shared" si="38"/>
        <v>N/A</v>
      </c>
      <c r="AY48" s="265" t="str">
        <f t="shared" si="39"/>
        <v>N/A</v>
      </c>
      <c r="AZ48" s="265" t="str">
        <f t="shared" si="39"/>
        <v>N/A</v>
      </c>
      <c r="BA48" s="306">
        <v>41</v>
      </c>
      <c r="BB48" s="265" t="str">
        <f t="shared" si="40"/>
        <v>N/A</v>
      </c>
      <c r="BC48" s="265" t="str">
        <f t="shared" si="41"/>
        <v>N/A</v>
      </c>
      <c r="BD48" s="265" t="str">
        <f t="shared" si="42"/>
        <v>N/A</v>
      </c>
      <c r="BE48" s="265" t="str">
        <f t="shared" si="43"/>
        <v>N/A</v>
      </c>
      <c r="BF48" s="265" t="str">
        <f t="shared" si="43"/>
        <v>N/A</v>
      </c>
      <c r="BG48" s="374">
        <v>41</v>
      </c>
    </row>
    <row r="49" spans="2:59" x14ac:dyDescent="0.3">
      <c r="B49" s="305">
        <v>42</v>
      </c>
      <c r="C49" s="257" t="str">
        <f t="shared" si="28"/>
        <v>N/A</v>
      </c>
      <c r="D49" s="257" t="str">
        <f t="shared" si="29"/>
        <v>N/A</v>
      </c>
      <c r="E49" s="257" t="str">
        <f t="shared" si="30"/>
        <v>N/A</v>
      </c>
      <c r="F49" s="257" t="str">
        <f t="shared" si="31"/>
        <v>N/A</v>
      </c>
      <c r="G49" s="257" t="str">
        <f t="shared" si="31"/>
        <v>N/A</v>
      </c>
      <c r="H49" s="352">
        <v>42</v>
      </c>
      <c r="I49" s="257" t="str">
        <f t="shared" si="32"/>
        <v>N/A</v>
      </c>
      <c r="J49" s="257" t="str">
        <f t="shared" si="33"/>
        <v>N/A</v>
      </c>
      <c r="K49" s="257" t="str">
        <f t="shared" si="34"/>
        <v>N/A</v>
      </c>
      <c r="L49" s="257" t="str">
        <f t="shared" si="35"/>
        <v>N/A</v>
      </c>
      <c r="M49" s="257" t="str">
        <f t="shared" si="35"/>
        <v>N/A</v>
      </c>
      <c r="N49" s="236"/>
      <c r="O49" s="236"/>
      <c r="P49" s="236"/>
      <c r="Q49" s="236"/>
      <c r="R49" s="236"/>
      <c r="S49" s="522"/>
      <c r="T49" s="236"/>
      <c r="U49" s="236"/>
      <c r="V49" s="236">
        <v>0.75666666666666671</v>
      </c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>
        <v>0.75666666666666671</v>
      </c>
      <c r="AI49" s="236"/>
      <c r="AJ49" s="236"/>
      <c r="AK49" s="368"/>
      <c r="AL49" s="236"/>
      <c r="AM49" s="236"/>
      <c r="AN49" s="236"/>
      <c r="AO49" s="236"/>
      <c r="AP49" s="236"/>
      <c r="AR49" s="236"/>
      <c r="AS49" s="236"/>
      <c r="AT49" s="236"/>
      <c r="AU49" s="236"/>
      <c r="AV49" s="257" t="str">
        <f t="shared" si="36"/>
        <v>N/A</v>
      </c>
      <c r="AW49" s="257" t="str">
        <f t="shared" si="37"/>
        <v>N/A</v>
      </c>
      <c r="AX49" s="257" t="str">
        <f t="shared" si="38"/>
        <v>N/A</v>
      </c>
      <c r="AY49" s="257" t="str">
        <f t="shared" si="39"/>
        <v>N/A</v>
      </c>
      <c r="AZ49" s="257" t="str">
        <f t="shared" si="39"/>
        <v>N/A</v>
      </c>
      <c r="BA49" s="305">
        <v>42</v>
      </c>
      <c r="BB49" s="257" t="str">
        <f t="shared" si="40"/>
        <v>N/A</v>
      </c>
      <c r="BC49" s="257" t="str">
        <f t="shared" si="41"/>
        <v>N/A</v>
      </c>
      <c r="BD49" s="257" t="str">
        <f t="shared" si="42"/>
        <v>N/A</v>
      </c>
      <c r="BE49" s="257" t="str">
        <f t="shared" si="43"/>
        <v>N/A</v>
      </c>
      <c r="BF49" s="257" t="str">
        <f t="shared" si="43"/>
        <v>N/A</v>
      </c>
      <c r="BG49" s="373">
        <v>42</v>
      </c>
    </row>
    <row r="50" spans="2:59" ht="15" thickBot="1" x14ac:dyDescent="0.35">
      <c r="B50" s="306">
        <v>43</v>
      </c>
      <c r="C50" s="265" t="str">
        <f t="shared" si="28"/>
        <v>N/A</v>
      </c>
      <c r="D50" s="265" t="str">
        <f t="shared" si="29"/>
        <v>N/A</v>
      </c>
      <c r="E50" s="265" t="str">
        <f t="shared" si="30"/>
        <v>N/A</v>
      </c>
      <c r="F50" s="265" t="str">
        <f t="shared" si="31"/>
        <v>N/A</v>
      </c>
      <c r="G50" s="265" t="str">
        <f t="shared" si="31"/>
        <v>N/A</v>
      </c>
      <c r="H50" s="353">
        <v>43</v>
      </c>
      <c r="I50" s="265" t="str">
        <f t="shared" si="32"/>
        <v>N/A</v>
      </c>
      <c r="J50" s="265" t="str">
        <f t="shared" si="33"/>
        <v>N/A</v>
      </c>
      <c r="K50" s="265" t="str">
        <f t="shared" si="34"/>
        <v>N/A</v>
      </c>
      <c r="L50" s="265" t="str">
        <f t="shared" si="35"/>
        <v>N/A</v>
      </c>
      <c r="M50" s="265" t="str">
        <f t="shared" si="35"/>
        <v>N/A</v>
      </c>
      <c r="N50" s="236"/>
      <c r="O50" s="236"/>
      <c r="P50" s="236"/>
      <c r="Q50" s="236"/>
      <c r="R50" s="236"/>
      <c r="S50" s="522"/>
      <c r="T50" s="236"/>
      <c r="U50" s="236"/>
      <c r="V50" s="236"/>
      <c r="W50" s="236"/>
      <c r="X50" s="236"/>
      <c r="Y50" s="236"/>
      <c r="Z50" s="236"/>
      <c r="AA50" s="236"/>
      <c r="AB50" s="236"/>
      <c r="AC50" s="236"/>
      <c r="AD50" s="236"/>
      <c r="AE50" s="236"/>
      <c r="AF50" s="236"/>
      <c r="AG50" s="236"/>
      <c r="AH50" s="236"/>
      <c r="AI50" s="236"/>
      <c r="AJ50" s="236"/>
      <c r="AK50" s="368"/>
      <c r="AL50" s="236"/>
      <c r="AM50" s="236"/>
      <c r="AN50" s="236"/>
      <c r="AO50" s="236"/>
      <c r="AP50" s="236"/>
      <c r="AR50" s="236"/>
      <c r="AS50" s="236"/>
      <c r="AT50" s="236"/>
      <c r="AU50" s="236"/>
      <c r="AV50" s="265" t="str">
        <f t="shared" si="36"/>
        <v>N/A</v>
      </c>
      <c r="AW50" s="265" t="str">
        <f t="shared" si="37"/>
        <v>N/A</v>
      </c>
      <c r="AX50" s="265" t="str">
        <f t="shared" si="38"/>
        <v>N/A</v>
      </c>
      <c r="AY50" s="265" t="str">
        <f t="shared" si="39"/>
        <v>N/A</v>
      </c>
      <c r="AZ50" s="265" t="str">
        <f t="shared" si="39"/>
        <v>N/A</v>
      </c>
      <c r="BA50" s="306">
        <v>43</v>
      </c>
      <c r="BB50" s="265" t="str">
        <f t="shared" si="40"/>
        <v>N/A</v>
      </c>
      <c r="BC50" s="265" t="str">
        <f t="shared" si="41"/>
        <v>N/A</v>
      </c>
      <c r="BD50" s="265" t="str">
        <f t="shared" si="42"/>
        <v>N/A</v>
      </c>
      <c r="BE50" s="265" t="str">
        <f t="shared" si="43"/>
        <v>N/A</v>
      </c>
      <c r="BF50" s="265" t="str">
        <f t="shared" si="43"/>
        <v>N/A</v>
      </c>
      <c r="BG50" s="374">
        <v>43</v>
      </c>
    </row>
    <row r="51" spans="2:59" ht="15" thickBot="1" x14ac:dyDescent="0.35">
      <c r="B51" s="307">
        <v>44</v>
      </c>
      <c r="C51" s="343" t="str">
        <f t="shared" ref="C51:E52" si="44">T47</f>
        <v>N/A</v>
      </c>
      <c r="D51" s="343" t="str">
        <f t="shared" si="44"/>
        <v>N/A</v>
      </c>
      <c r="E51" s="343" t="str">
        <f t="shared" si="44"/>
        <v>N/A</v>
      </c>
      <c r="F51" s="343" t="str">
        <f>W47</f>
        <v>N/A</v>
      </c>
      <c r="G51" s="343" t="str">
        <f>X47</f>
        <v>N/A</v>
      </c>
      <c r="H51" s="354">
        <v>44</v>
      </c>
      <c r="I51" s="343" t="str">
        <f t="shared" si="32"/>
        <v>N/A</v>
      </c>
      <c r="J51" s="343" t="str">
        <f t="shared" si="33"/>
        <v>N/A</v>
      </c>
      <c r="K51" s="343" t="str">
        <f t="shared" si="34"/>
        <v>N/A</v>
      </c>
      <c r="L51" s="343" t="str">
        <f t="shared" si="35"/>
        <v>N/A</v>
      </c>
      <c r="M51" s="343" t="str">
        <f t="shared" si="35"/>
        <v>N/A</v>
      </c>
      <c r="N51" s="236"/>
      <c r="O51" s="236"/>
      <c r="P51" s="236"/>
      <c r="Q51" s="236"/>
      <c r="R51" s="236"/>
      <c r="S51" s="522"/>
      <c r="T51" s="236"/>
      <c r="U51" s="236"/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368"/>
      <c r="AL51" s="236"/>
      <c r="AM51" s="236"/>
      <c r="AN51" s="236"/>
      <c r="AO51" s="236"/>
      <c r="AP51" s="236"/>
      <c r="AR51" s="236"/>
      <c r="AS51" s="236"/>
      <c r="AT51" s="236"/>
      <c r="AU51" s="236"/>
      <c r="AV51" s="343" t="str">
        <f t="shared" ref="AV51:AZ52" si="45">AF47</f>
        <v>N/A</v>
      </c>
      <c r="AW51" s="343" t="str">
        <f t="shared" si="45"/>
        <v>N/A</v>
      </c>
      <c r="AX51" s="343" t="str">
        <f t="shared" si="45"/>
        <v>N/A</v>
      </c>
      <c r="AY51" s="343" t="str">
        <f t="shared" si="45"/>
        <v>N/A</v>
      </c>
      <c r="AZ51" s="343" t="str">
        <f t="shared" si="45"/>
        <v>N/A</v>
      </c>
      <c r="BA51" s="307">
        <v>44</v>
      </c>
      <c r="BB51" s="343" t="str">
        <f t="shared" si="40"/>
        <v>N/A</v>
      </c>
      <c r="BC51" s="343" t="str">
        <f t="shared" si="41"/>
        <v>N/A</v>
      </c>
      <c r="BD51" s="343" t="str">
        <f t="shared" si="42"/>
        <v>N/A</v>
      </c>
      <c r="BE51" s="343" t="str">
        <f t="shared" si="43"/>
        <v>N/A</v>
      </c>
      <c r="BF51" s="343" t="str">
        <f t="shared" si="43"/>
        <v>N/A</v>
      </c>
      <c r="BG51" s="375">
        <v>44</v>
      </c>
    </row>
    <row r="52" spans="2:59" x14ac:dyDescent="0.3">
      <c r="B52" s="307">
        <v>45</v>
      </c>
      <c r="C52" s="346" t="str">
        <f t="shared" si="44"/>
        <v>N/A</v>
      </c>
      <c r="D52" s="346" t="str">
        <f t="shared" si="44"/>
        <v>N/A</v>
      </c>
      <c r="E52" s="346" t="str">
        <f t="shared" si="44"/>
        <v>N/A</v>
      </c>
      <c r="F52" s="346" t="str">
        <f>W48</f>
        <v>N/A</v>
      </c>
      <c r="G52" s="346" t="str">
        <f>X48</f>
        <v>N/A</v>
      </c>
      <c r="H52" s="354">
        <v>45</v>
      </c>
      <c r="I52" s="346" t="str">
        <f t="shared" si="32"/>
        <v>N/A</v>
      </c>
      <c r="J52" s="346" t="str">
        <f t="shared" si="33"/>
        <v>N/A</v>
      </c>
      <c r="K52" s="346" t="str">
        <f t="shared" si="34"/>
        <v>N/A</v>
      </c>
      <c r="L52" s="346" t="str">
        <f t="shared" si="35"/>
        <v>N/A</v>
      </c>
      <c r="M52" s="346" t="str">
        <f t="shared" si="35"/>
        <v>N/A</v>
      </c>
      <c r="N52" s="236"/>
      <c r="O52" s="236"/>
      <c r="P52" s="236"/>
      <c r="Q52" s="236"/>
      <c r="R52" s="236"/>
      <c r="S52" s="522"/>
      <c r="T52" s="236"/>
      <c r="U52" s="236"/>
      <c r="V52" s="236"/>
      <c r="W52" s="236"/>
      <c r="X52" s="236"/>
      <c r="Y52" s="236"/>
      <c r="Z52" s="236"/>
      <c r="AA52" s="236"/>
      <c r="AB52" s="236"/>
      <c r="AC52" s="236"/>
      <c r="AD52" s="236"/>
      <c r="AE52" s="236"/>
      <c r="AF52" s="236"/>
      <c r="AG52" s="236"/>
      <c r="AH52" s="236"/>
      <c r="AI52" s="236"/>
      <c r="AJ52" s="236"/>
      <c r="AK52" s="368"/>
      <c r="AL52" s="236"/>
      <c r="AM52" s="236"/>
      <c r="AN52" s="236"/>
      <c r="AO52" s="236"/>
      <c r="AP52" s="236"/>
      <c r="AR52" s="236"/>
      <c r="AS52" s="236"/>
      <c r="AT52" s="236"/>
      <c r="AU52" s="236"/>
      <c r="AV52" s="346" t="str">
        <f t="shared" si="45"/>
        <v>N/A</v>
      </c>
      <c r="AW52" s="346" t="str">
        <f t="shared" si="45"/>
        <v>N/A</v>
      </c>
      <c r="AX52" s="346" t="str">
        <f t="shared" si="45"/>
        <v>N/A</v>
      </c>
      <c r="AY52" s="346" t="str">
        <f t="shared" si="45"/>
        <v>N/A</v>
      </c>
      <c r="AZ52" s="346" t="str">
        <f t="shared" si="45"/>
        <v>N/A</v>
      </c>
      <c r="BA52" s="307">
        <v>45</v>
      </c>
      <c r="BB52" s="346" t="str">
        <f t="shared" si="40"/>
        <v>N/A</v>
      </c>
      <c r="BC52" s="346" t="str">
        <f t="shared" si="41"/>
        <v>N/A</v>
      </c>
      <c r="BD52" s="346" t="str">
        <f t="shared" si="42"/>
        <v>N/A</v>
      </c>
      <c r="BE52" s="346" t="str">
        <f t="shared" si="43"/>
        <v>N/A</v>
      </c>
      <c r="BF52" s="346" t="str">
        <f t="shared" si="43"/>
        <v>N/A</v>
      </c>
      <c r="BG52" s="375">
        <v>45</v>
      </c>
    </row>
    <row r="53" spans="2:59" x14ac:dyDescent="0.3">
      <c r="B53" s="308" t="s">
        <v>339</v>
      </c>
      <c r="C53" s="231">
        <f>SUM(C37:C52)</f>
        <v>0</v>
      </c>
      <c r="D53" s="231">
        <f>SUM(D37:D52)</f>
        <v>0</v>
      </c>
      <c r="E53" s="231">
        <f>SUM(E37:E52)</f>
        <v>0</v>
      </c>
      <c r="F53" s="231">
        <f>SUM(F37:F52)</f>
        <v>0</v>
      </c>
      <c r="G53" s="231">
        <f>SUM(G37:G52)</f>
        <v>0</v>
      </c>
      <c r="H53" s="308" t="s">
        <v>339</v>
      </c>
      <c r="I53" s="231">
        <f>SUM(I37:I52)</f>
        <v>0</v>
      </c>
      <c r="J53" s="231">
        <f>SUM(J37:J52)</f>
        <v>0</v>
      </c>
      <c r="K53" s="231">
        <f>SUM(K37:K52)</f>
        <v>0</v>
      </c>
      <c r="L53" s="231">
        <f>SUM(L37:L52)</f>
        <v>0</v>
      </c>
      <c r="M53" s="231">
        <f>SUM(M37:M52)</f>
        <v>0</v>
      </c>
      <c r="N53" s="236"/>
      <c r="O53" s="236"/>
      <c r="P53" s="236"/>
      <c r="Q53" s="236"/>
      <c r="R53" s="236"/>
      <c r="S53" s="522"/>
      <c r="T53" s="236"/>
      <c r="U53" s="236"/>
      <c r="V53" s="236"/>
      <c r="W53" s="236"/>
      <c r="X53" s="236"/>
      <c r="Y53" s="236"/>
      <c r="Z53" s="236"/>
      <c r="AA53" s="236"/>
      <c r="AB53" s="236"/>
      <c r="AC53" s="236"/>
      <c r="AD53" s="236"/>
      <c r="AE53" s="236"/>
      <c r="AF53" s="236"/>
      <c r="AG53" s="236"/>
      <c r="AH53" s="236"/>
      <c r="AI53" s="236"/>
      <c r="AJ53" s="236"/>
      <c r="AK53" s="368"/>
      <c r="AL53" s="236"/>
      <c r="AM53" s="236"/>
      <c r="AN53" s="236"/>
      <c r="AO53" s="236"/>
      <c r="AP53" s="236"/>
      <c r="AR53" s="236"/>
      <c r="AS53" s="236"/>
      <c r="AT53" s="236"/>
      <c r="AU53" s="236"/>
      <c r="AV53" s="231">
        <f>SUM(AV37:AV52)</f>
        <v>0</v>
      </c>
      <c r="AW53" s="231">
        <f>SUM(AW37:AW52)</f>
        <v>0</v>
      </c>
      <c r="AX53" s="231">
        <f>SUM(AX37:AX52)</f>
        <v>0</v>
      </c>
      <c r="AY53" s="231">
        <f>SUM(AY37:AY52)</f>
        <v>0</v>
      </c>
      <c r="AZ53" s="231">
        <f>SUM(AZ37:AZ52)</f>
        <v>0</v>
      </c>
      <c r="BA53" s="308" t="s">
        <v>339</v>
      </c>
      <c r="BB53" s="231">
        <f>SUM(BB37:BB52)</f>
        <v>0</v>
      </c>
      <c r="BC53" s="231">
        <f>SUM(BC37:BC52)</f>
        <v>0</v>
      </c>
      <c r="BD53" s="231">
        <f>SUM(BD37:BD52)</f>
        <v>0</v>
      </c>
      <c r="BE53" s="231">
        <f>SUM(BE37:BE52)</f>
        <v>0</v>
      </c>
      <c r="BF53" s="231">
        <f>SUM(BF37:BF52)</f>
        <v>0</v>
      </c>
      <c r="BG53" s="308" t="s">
        <v>339</v>
      </c>
    </row>
    <row r="54" spans="2:59" x14ac:dyDescent="0.3">
      <c r="B54" s="935"/>
      <c r="C54" s="935"/>
      <c r="D54" s="935"/>
      <c r="E54" s="935"/>
      <c r="F54" s="935"/>
      <c r="G54" s="528"/>
      <c r="H54" s="935"/>
      <c r="I54" s="935"/>
      <c r="J54" s="935"/>
      <c r="K54" s="935"/>
      <c r="L54" s="935"/>
      <c r="M54" s="528"/>
      <c r="N54" s="236"/>
      <c r="O54" s="236"/>
      <c r="P54" s="236"/>
      <c r="Q54" s="236"/>
      <c r="R54" s="236"/>
      <c r="S54" s="522"/>
      <c r="T54" s="236"/>
      <c r="U54" s="236"/>
      <c r="V54" s="236"/>
      <c r="W54" s="236"/>
      <c r="X54" s="236"/>
      <c r="Y54" s="236"/>
      <c r="Z54" s="236"/>
      <c r="AA54" s="236"/>
      <c r="AB54" s="236"/>
      <c r="AC54" s="236"/>
      <c r="AD54" s="236"/>
      <c r="AE54" s="236"/>
      <c r="AF54" s="236"/>
      <c r="AG54" s="236"/>
      <c r="AH54" s="236"/>
      <c r="AI54" s="236"/>
      <c r="AJ54" s="236"/>
      <c r="AK54" s="368"/>
      <c r="AL54" s="236"/>
      <c r="AM54" s="236"/>
      <c r="AN54" s="236"/>
      <c r="AO54" s="236"/>
      <c r="AP54" s="236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935"/>
      <c r="BC54" s="935"/>
      <c r="BD54" s="935"/>
      <c r="BE54" s="935"/>
      <c r="BF54" s="528"/>
      <c r="BG54" s="236"/>
    </row>
    <row r="55" spans="2:59" x14ac:dyDescent="0.3">
      <c r="B55" s="236"/>
      <c r="C55" s="309" t="s">
        <v>340</v>
      </c>
      <c r="D55" s="933">
        <f>C19</f>
        <v>0</v>
      </c>
      <c r="E55" s="934"/>
      <c r="F55" s="535" t="s">
        <v>537</v>
      </c>
      <c r="G55" s="533">
        <f>G19</f>
        <v>0</v>
      </c>
      <c r="H55" s="236"/>
      <c r="I55" s="309" t="s">
        <v>340</v>
      </c>
      <c r="J55" s="933">
        <f>I19</f>
        <v>0</v>
      </c>
      <c r="K55" s="934"/>
      <c r="L55" s="535" t="s">
        <v>537</v>
      </c>
      <c r="M55" s="533">
        <f>M19</f>
        <v>0</v>
      </c>
      <c r="N55" s="236"/>
      <c r="O55" s="236"/>
      <c r="P55" s="236"/>
      <c r="Q55" s="236"/>
      <c r="R55" s="236"/>
      <c r="S55" s="522"/>
      <c r="T55" s="236"/>
      <c r="U55" s="236"/>
      <c r="V55" s="236"/>
      <c r="W55" s="236"/>
      <c r="X55" s="236"/>
      <c r="Y55" s="236"/>
      <c r="Z55" s="236"/>
      <c r="AA55" s="236"/>
      <c r="AB55" s="236"/>
      <c r="AC55" s="236"/>
      <c r="AD55" s="236"/>
      <c r="AE55" s="236"/>
      <c r="AF55" s="236"/>
      <c r="AG55" s="236"/>
      <c r="AH55" s="236"/>
      <c r="AI55" s="236"/>
      <c r="AJ55" s="236"/>
      <c r="AK55" s="368"/>
      <c r="AL55" s="236"/>
      <c r="AM55" s="236"/>
      <c r="AN55" s="236"/>
      <c r="AO55" s="236"/>
      <c r="AP55" s="236"/>
      <c r="AR55" s="236"/>
      <c r="AS55" s="236"/>
      <c r="AT55" s="236"/>
      <c r="AU55" s="236"/>
      <c r="AV55" s="309" t="s">
        <v>340</v>
      </c>
      <c r="AW55" s="933">
        <f>AV19</f>
        <v>0</v>
      </c>
      <c r="AX55" s="934"/>
      <c r="AY55" s="535" t="s">
        <v>537</v>
      </c>
      <c r="AZ55" s="533">
        <f>AZ19</f>
        <v>0</v>
      </c>
      <c r="BA55" s="236"/>
      <c r="BB55" s="309" t="s">
        <v>340</v>
      </c>
      <c r="BC55" s="933">
        <f>BB19</f>
        <v>0</v>
      </c>
      <c r="BD55" s="934"/>
      <c r="BE55" s="535" t="s">
        <v>537</v>
      </c>
      <c r="BF55" s="533">
        <f>BF19</f>
        <v>0</v>
      </c>
      <c r="BG55" s="236"/>
    </row>
    <row r="56" spans="2:59" ht="15" thickBot="1" x14ac:dyDescent="0.35">
      <c r="B56" s="236"/>
      <c r="C56" s="310" t="s">
        <v>341</v>
      </c>
      <c r="D56" s="929">
        <f>D19</f>
        <v>0</v>
      </c>
      <c r="E56" s="930"/>
      <c r="F56" s="536"/>
      <c r="G56" s="531"/>
      <c r="H56" s="236"/>
      <c r="I56" s="310" t="s">
        <v>341</v>
      </c>
      <c r="J56" s="929">
        <f>J19</f>
        <v>0</v>
      </c>
      <c r="K56" s="930"/>
      <c r="L56" s="536"/>
      <c r="M56" s="531"/>
      <c r="N56" s="236"/>
      <c r="O56" s="236"/>
      <c r="P56" s="236"/>
      <c r="Q56" s="236"/>
      <c r="R56" s="236"/>
      <c r="S56" s="522"/>
      <c r="T56" s="236"/>
      <c r="U56" s="236"/>
      <c r="V56" s="236"/>
      <c r="W56" s="236"/>
      <c r="X56" s="236"/>
      <c r="Y56" s="236"/>
      <c r="Z56" s="236"/>
      <c r="AA56" s="236"/>
      <c r="AB56" s="236"/>
      <c r="AC56" s="236"/>
      <c r="AD56" s="236"/>
      <c r="AE56" s="236"/>
      <c r="AF56" s="236"/>
      <c r="AG56" s="236"/>
      <c r="AH56" s="236"/>
      <c r="AI56" s="236"/>
      <c r="AJ56" s="236"/>
      <c r="AK56" s="368"/>
      <c r="AL56" s="236"/>
      <c r="AM56" s="236"/>
      <c r="AN56" s="236"/>
      <c r="AO56" s="236"/>
      <c r="AP56" s="236"/>
      <c r="AR56" s="236"/>
      <c r="AS56" s="236"/>
      <c r="AT56" s="236"/>
      <c r="AU56" s="236"/>
      <c r="AV56" s="310" t="s">
        <v>341</v>
      </c>
      <c r="AW56" s="929">
        <f>AW19</f>
        <v>0</v>
      </c>
      <c r="AX56" s="930"/>
      <c r="AY56" s="536"/>
      <c r="AZ56" s="531"/>
      <c r="BA56" s="236"/>
      <c r="BB56" s="310" t="s">
        <v>341</v>
      </c>
      <c r="BC56" s="929">
        <f>BC19</f>
        <v>0</v>
      </c>
      <c r="BD56" s="930"/>
      <c r="BE56" s="536"/>
      <c r="BF56" s="531"/>
      <c r="BG56" s="236"/>
    </row>
    <row r="57" spans="2:59" x14ac:dyDescent="0.3">
      <c r="B57" s="236"/>
      <c r="C57" s="309" t="s">
        <v>342</v>
      </c>
      <c r="D57" s="931">
        <f>E19</f>
        <v>0</v>
      </c>
      <c r="E57" s="932"/>
      <c r="F57" s="537"/>
      <c r="G57" s="532"/>
      <c r="H57" s="236"/>
      <c r="I57" s="309" t="s">
        <v>342</v>
      </c>
      <c r="J57" s="931">
        <f>K19</f>
        <v>0</v>
      </c>
      <c r="K57" s="932"/>
      <c r="L57" s="537"/>
      <c r="M57" s="532"/>
      <c r="N57" s="236"/>
      <c r="O57" s="236"/>
      <c r="P57" s="236"/>
      <c r="Q57" s="236"/>
      <c r="R57" s="236"/>
      <c r="S57" s="522"/>
      <c r="T57" s="236"/>
      <c r="U57" s="236"/>
      <c r="V57" s="236"/>
      <c r="W57" s="236"/>
      <c r="X57" s="236"/>
      <c r="Y57" s="236"/>
      <c r="Z57" s="236"/>
      <c r="AA57" s="236"/>
      <c r="AB57" s="236"/>
      <c r="AC57" s="236"/>
      <c r="AD57" s="236"/>
      <c r="AE57" s="236"/>
      <c r="AF57" s="236"/>
      <c r="AG57" s="236"/>
      <c r="AH57" s="236"/>
      <c r="AI57" s="236"/>
      <c r="AJ57" s="236"/>
      <c r="AK57" s="368"/>
      <c r="AL57" s="236"/>
      <c r="AM57" s="236"/>
      <c r="AN57" s="236"/>
      <c r="AO57" s="236"/>
      <c r="AP57" s="236"/>
      <c r="AR57" s="236"/>
      <c r="AS57" s="236"/>
      <c r="AT57" s="236"/>
      <c r="AU57" s="236"/>
      <c r="AV57" s="309" t="s">
        <v>342</v>
      </c>
      <c r="AW57" s="931">
        <f>AX19</f>
        <v>0</v>
      </c>
      <c r="AX57" s="932"/>
      <c r="AY57" s="537"/>
      <c r="AZ57" s="532"/>
      <c r="BA57" s="313"/>
      <c r="BB57" s="309" t="s">
        <v>342</v>
      </c>
      <c r="BC57" s="931">
        <f>BD19</f>
        <v>0</v>
      </c>
      <c r="BD57" s="932"/>
      <c r="BE57" s="537"/>
      <c r="BF57" s="532"/>
      <c r="BG57" s="236"/>
    </row>
    <row r="58" spans="2:59" ht="15" thickBot="1" x14ac:dyDescent="0.35">
      <c r="B58" s="236"/>
      <c r="C58" s="310" t="s">
        <v>343</v>
      </c>
      <c r="D58" s="931">
        <f>F19</f>
        <v>0</v>
      </c>
      <c r="E58" s="932"/>
      <c r="F58" s="537"/>
      <c r="G58" s="532"/>
      <c r="H58" s="236"/>
      <c r="I58" s="310" t="s">
        <v>343</v>
      </c>
      <c r="J58" s="931">
        <f>L19</f>
        <v>0</v>
      </c>
      <c r="K58" s="932"/>
      <c r="L58" s="537"/>
      <c r="M58" s="532"/>
      <c r="N58" s="236"/>
      <c r="O58" s="236"/>
      <c r="P58" s="236"/>
      <c r="Q58" s="236"/>
      <c r="R58" s="236"/>
      <c r="S58" s="522"/>
      <c r="T58" s="236"/>
      <c r="U58" s="236"/>
      <c r="V58" s="236"/>
      <c r="W58" s="236"/>
      <c r="X58" s="236"/>
      <c r="Y58" s="236"/>
      <c r="Z58" s="236"/>
      <c r="AA58" s="236"/>
      <c r="AB58" s="236"/>
      <c r="AC58" s="236"/>
      <c r="AD58" s="236"/>
      <c r="AE58" s="236"/>
      <c r="AF58" s="236"/>
      <c r="AG58" s="236"/>
      <c r="AH58" s="236"/>
      <c r="AI58" s="236"/>
      <c r="AJ58" s="236"/>
      <c r="AK58" s="368"/>
      <c r="AL58" s="236"/>
      <c r="AM58" s="236"/>
      <c r="AN58" s="236"/>
      <c r="AO58" s="236"/>
      <c r="AP58" s="236"/>
      <c r="AR58" s="236"/>
      <c r="AS58" s="236"/>
      <c r="AT58" s="236"/>
      <c r="AU58" s="236"/>
      <c r="AV58" s="310" t="s">
        <v>343</v>
      </c>
      <c r="AW58" s="931">
        <f>AY19</f>
        <v>0</v>
      </c>
      <c r="AX58" s="932"/>
      <c r="AY58" s="537"/>
      <c r="AZ58" s="532"/>
      <c r="BA58" s="314"/>
      <c r="BB58" s="310" t="s">
        <v>343</v>
      </c>
      <c r="BC58" s="931">
        <f>BE19</f>
        <v>0</v>
      </c>
      <c r="BD58" s="932"/>
      <c r="BE58" s="537"/>
      <c r="BF58" s="532"/>
      <c r="BG58" s="236"/>
    </row>
    <row r="59" spans="2:59" x14ac:dyDescent="0.3">
      <c r="B59" s="236"/>
      <c r="C59" s="315" t="s">
        <v>344</v>
      </c>
      <c r="D59" s="832">
        <f>SUM(D55:E58,G55)</f>
        <v>0</v>
      </c>
      <c r="E59" s="832"/>
      <c r="F59" s="538"/>
      <c r="G59" s="319"/>
      <c r="H59" s="236"/>
      <c r="I59" s="315" t="s">
        <v>344</v>
      </c>
      <c r="J59" s="832">
        <f>SUM(J55:J58,M55)</f>
        <v>0</v>
      </c>
      <c r="K59" s="832"/>
      <c r="L59" s="538"/>
      <c r="M59" s="319"/>
      <c r="N59" s="236"/>
      <c r="O59" s="236"/>
      <c r="P59" s="236"/>
      <c r="Q59" s="236"/>
      <c r="R59" s="236"/>
      <c r="S59" s="522"/>
      <c r="T59" s="236"/>
      <c r="U59" s="236"/>
      <c r="V59" s="236"/>
      <c r="W59" s="236"/>
      <c r="X59" s="236"/>
      <c r="Y59" s="236"/>
      <c r="Z59" s="236"/>
      <c r="AA59" s="236"/>
      <c r="AB59" s="236"/>
      <c r="AC59" s="236"/>
      <c r="AD59" s="236"/>
      <c r="AE59" s="236"/>
      <c r="AF59" s="236"/>
      <c r="AG59" s="236"/>
      <c r="AH59" s="236"/>
      <c r="AI59" s="236"/>
      <c r="AJ59" s="236"/>
      <c r="AK59" s="368"/>
      <c r="AL59" s="236"/>
      <c r="AM59" s="236"/>
      <c r="AN59" s="236"/>
      <c r="AO59" s="236"/>
      <c r="AP59" s="236"/>
      <c r="AR59" s="236"/>
      <c r="AS59" s="236"/>
      <c r="AT59" s="236"/>
      <c r="AU59" s="236"/>
      <c r="AV59" s="315" t="s">
        <v>344</v>
      </c>
      <c r="AW59" s="832">
        <f>SUM(AW55:AX58,AZ55)</f>
        <v>0</v>
      </c>
      <c r="AX59" s="832"/>
      <c r="AY59" s="538"/>
      <c r="AZ59" s="319"/>
      <c r="BA59" s="317"/>
      <c r="BB59" s="315" t="s">
        <v>344</v>
      </c>
      <c r="BC59" s="832">
        <f>SUM(BC55:BC58,BF55)</f>
        <v>0</v>
      </c>
      <c r="BD59" s="832"/>
      <c r="BE59" s="538"/>
      <c r="BF59" s="319"/>
      <c r="BG59" s="236"/>
    </row>
    <row r="60" spans="2:59" x14ac:dyDescent="0.3">
      <c r="B60" s="236"/>
      <c r="C60" s="318"/>
      <c r="D60" s="319"/>
      <c r="E60" s="319"/>
      <c r="F60" s="539"/>
      <c r="G60" s="319"/>
      <c r="H60" s="236"/>
      <c r="I60" s="318"/>
      <c r="J60" s="319"/>
      <c r="K60" s="319"/>
      <c r="L60" s="539"/>
      <c r="M60" s="319"/>
      <c r="N60" s="236"/>
      <c r="O60" s="236"/>
      <c r="P60" s="236"/>
      <c r="Q60" s="236"/>
      <c r="R60" s="236"/>
      <c r="S60" s="522"/>
      <c r="T60" s="236"/>
      <c r="U60" s="236"/>
      <c r="V60" s="236"/>
      <c r="W60" s="236"/>
      <c r="X60" s="236"/>
      <c r="Y60" s="236"/>
      <c r="Z60" s="236"/>
      <c r="AA60" s="236"/>
      <c r="AB60" s="236"/>
      <c r="AC60" s="236"/>
      <c r="AD60" s="236"/>
      <c r="AE60" s="236"/>
      <c r="AF60" s="236"/>
      <c r="AG60" s="236"/>
      <c r="AH60" s="236"/>
      <c r="AI60" s="236"/>
      <c r="AJ60" s="236"/>
      <c r="AK60" s="368"/>
      <c r="AL60" s="236"/>
      <c r="AM60" s="236"/>
      <c r="AN60" s="236"/>
      <c r="AO60" s="236"/>
      <c r="AP60" s="236"/>
      <c r="AR60" s="236"/>
      <c r="AS60" s="236"/>
      <c r="AT60" s="236"/>
      <c r="AU60" s="236"/>
      <c r="AV60" s="318"/>
      <c r="AW60" s="319"/>
      <c r="AX60" s="319"/>
      <c r="AY60" s="539"/>
      <c r="AZ60" s="319"/>
      <c r="BA60" s="320"/>
      <c r="BB60" s="318"/>
      <c r="BC60" s="319"/>
      <c r="BD60" s="319"/>
      <c r="BE60" s="539"/>
      <c r="BF60" s="319"/>
      <c r="BG60" s="236"/>
    </row>
    <row r="61" spans="2:59" x14ac:dyDescent="0.3">
      <c r="B61" s="236"/>
      <c r="C61" s="309" t="s">
        <v>345</v>
      </c>
      <c r="D61" s="933">
        <f>C35</f>
        <v>0</v>
      </c>
      <c r="E61" s="934"/>
      <c r="F61" s="535" t="s">
        <v>538</v>
      </c>
      <c r="G61" s="534">
        <f>G35</f>
        <v>0</v>
      </c>
      <c r="H61" s="236"/>
      <c r="I61" s="309" t="s">
        <v>345</v>
      </c>
      <c r="J61" s="933">
        <f>I35</f>
        <v>0</v>
      </c>
      <c r="K61" s="934"/>
      <c r="L61" s="535" t="s">
        <v>538</v>
      </c>
      <c r="M61" s="534">
        <f>M35</f>
        <v>0</v>
      </c>
      <c r="N61" s="236"/>
      <c r="O61" s="236"/>
      <c r="P61" s="236"/>
      <c r="Q61" s="236"/>
      <c r="R61" s="236"/>
      <c r="S61" s="522"/>
      <c r="T61" s="236"/>
      <c r="U61" s="236"/>
      <c r="V61" s="236"/>
      <c r="W61" s="236"/>
      <c r="X61" s="236"/>
      <c r="Y61" s="236"/>
      <c r="Z61" s="236"/>
      <c r="AA61" s="236"/>
      <c r="AB61" s="236"/>
      <c r="AC61" s="236"/>
      <c r="AD61" s="236"/>
      <c r="AE61" s="236"/>
      <c r="AF61" s="236"/>
      <c r="AG61" s="236"/>
      <c r="AH61" s="236"/>
      <c r="AI61" s="236"/>
      <c r="AJ61" s="236"/>
      <c r="AK61" s="368"/>
      <c r="AL61" s="236"/>
      <c r="AM61" s="236"/>
      <c r="AN61" s="236"/>
      <c r="AO61" s="236"/>
      <c r="AP61" s="236"/>
      <c r="AR61" s="236"/>
      <c r="AS61" s="236"/>
      <c r="AT61" s="236"/>
      <c r="AU61" s="236"/>
      <c r="AV61" s="309" t="s">
        <v>345</v>
      </c>
      <c r="AW61" s="933">
        <f>AV35</f>
        <v>0</v>
      </c>
      <c r="AX61" s="934"/>
      <c r="AY61" s="535" t="s">
        <v>538</v>
      </c>
      <c r="AZ61" s="534">
        <f>AZ35</f>
        <v>0</v>
      </c>
      <c r="BA61" s="320"/>
      <c r="BB61" s="309" t="s">
        <v>345</v>
      </c>
      <c r="BC61" s="933">
        <f>BB35</f>
        <v>0</v>
      </c>
      <c r="BD61" s="934"/>
      <c r="BE61" s="535" t="s">
        <v>538</v>
      </c>
      <c r="BF61" s="534">
        <f>BF35</f>
        <v>0</v>
      </c>
      <c r="BG61" s="236"/>
    </row>
    <row r="62" spans="2:59" ht="15" thickBot="1" x14ac:dyDescent="0.35">
      <c r="B62" s="236"/>
      <c r="C62" s="310" t="s">
        <v>346</v>
      </c>
      <c r="D62" s="929">
        <f>D35</f>
        <v>0</v>
      </c>
      <c r="E62" s="930"/>
      <c r="F62" s="536"/>
      <c r="G62" s="531"/>
      <c r="H62" s="236"/>
      <c r="I62" s="310" t="s">
        <v>346</v>
      </c>
      <c r="J62" s="929">
        <f>J35</f>
        <v>0</v>
      </c>
      <c r="K62" s="930"/>
      <c r="L62" s="536"/>
      <c r="M62" s="531"/>
      <c r="N62" s="236"/>
      <c r="O62" s="236"/>
      <c r="P62" s="236"/>
      <c r="Q62" s="236"/>
      <c r="R62" s="236"/>
      <c r="S62" s="522"/>
      <c r="T62" s="236"/>
      <c r="U62" s="236"/>
      <c r="V62" s="236"/>
      <c r="W62" s="236"/>
      <c r="X62" s="236"/>
      <c r="Y62" s="236"/>
      <c r="Z62" s="236"/>
      <c r="AA62" s="236"/>
      <c r="AB62" s="236"/>
      <c r="AC62" s="236"/>
      <c r="AD62" s="236"/>
      <c r="AE62" s="236"/>
      <c r="AF62" s="236"/>
      <c r="AG62" s="236"/>
      <c r="AH62" s="236"/>
      <c r="AI62" s="236"/>
      <c r="AJ62" s="236"/>
      <c r="AK62" s="368"/>
      <c r="AL62" s="236"/>
      <c r="AM62" s="236"/>
      <c r="AN62" s="236"/>
      <c r="AO62" s="236"/>
      <c r="AP62" s="236"/>
      <c r="AR62" s="236"/>
      <c r="AS62" s="236"/>
      <c r="AT62" s="236"/>
      <c r="AU62" s="236"/>
      <c r="AV62" s="310" t="s">
        <v>346</v>
      </c>
      <c r="AW62" s="929">
        <f>AW35</f>
        <v>0</v>
      </c>
      <c r="AX62" s="930"/>
      <c r="AY62" s="536"/>
      <c r="AZ62" s="531"/>
      <c r="BA62" s="314"/>
      <c r="BB62" s="310" t="s">
        <v>346</v>
      </c>
      <c r="BC62" s="929">
        <f>BC35</f>
        <v>0</v>
      </c>
      <c r="BD62" s="930"/>
      <c r="BE62" s="536"/>
      <c r="BF62" s="531"/>
      <c r="BG62" s="236"/>
    </row>
    <row r="63" spans="2:59" x14ac:dyDescent="0.3">
      <c r="B63" s="236"/>
      <c r="C63" s="309" t="s">
        <v>347</v>
      </c>
      <c r="D63" s="931">
        <f>E35</f>
        <v>0</v>
      </c>
      <c r="E63" s="932"/>
      <c r="F63" s="537"/>
      <c r="G63" s="532"/>
      <c r="H63" s="236"/>
      <c r="I63" s="309" t="s">
        <v>347</v>
      </c>
      <c r="J63" s="931">
        <f>K35</f>
        <v>0</v>
      </c>
      <c r="K63" s="932"/>
      <c r="L63" s="537"/>
      <c r="M63" s="532"/>
      <c r="N63" s="236"/>
      <c r="O63" s="236"/>
      <c r="P63" s="236"/>
      <c r="Q63" s="236"/>
      <c r="R63" s="236"/>
      <c r="S63" s="522"/>
      <c r="T63" s="236"/>
      <c r="U63" s="236"/>
      <c r="V63" s="236"/>
      <c r="W63" s="236"/>
      <c r="X63" s="236"/>
      <c r="Y63" s="236"/>
      <c r="Z63" s="236"/>
      <c r="AA63" s="236"/>
      <c r="AB63" s="236"/>
      <c r="AC63" s="236"/>
      <c r="AD63" s="236"/>
      <c r="AE63" s="236"/>
      <c r="AF63" s="236"/>
      <c r="AG63" s="236"/>
      <c r="AH63" s="236"/>
      <c r="AI63" s="236"/>
      <c r="AJ63" s="236"/>
      <c r="AK63" s="368"/>
      <c r="AL63" s="236"/>
      <c r="AM63" s="236"/>
      <c r="AN63" s="236"/>
      <c r="AO63" s="236"/>
      <c r="AP63" s="236"/>
      <c r="AR63" s="236"/>
      <c r="AS63" s="236"/>
      <c r="AT63" s="236"/>
      <c r="AU63" s="236"/>
      <c r="AV63" s="309" t="s">
        <v>347</v>
      </c>
      <c r="AW63" s="931">
        <f>AX35</f>
        <v>0</v>
      </c>
      <c r="AX63" s="932"/>
      <c r="AY63" s="537"/>
      <c r="AZ63" s="532"/>
      <c r="BA63" s="320"/>
      <c r="BB63" s="309" t="s">
        <v>347</v>
      </c>
      <c r="BC63" s="931">
        <f>BD35</f>
        <v>0</v>
      </c>
      <c r="BD63" s="932"/>
      <c r="BE63" s="537"/>
      <c r="BF63" s="532"/>
      <c r="BG63" s="236"/>
    </row>
    <row r="64" spans="2:59" ht="15" thickBot="1" x14ac:dyDescent="0.35">
      <c r="B64" s="236"/>
      <c r="C64" s="310" t="s">
        <v>348</v>
      </c>
      <c r="D64" s="931">
        <f>F35</f>
        <v>0</v>
      </c>
      <c r="E64" s="932"/>
      <c r="F64" s="537"/>
      <c r="G64" s="532"/>
      <c r="H64" s="236"/>
      <c r="I64" s="310" t="s">
        <v>348</v>
      </c>
      <c r="J64" s="931">
        <f>L35</f>
        <v>0</v>
      </c>
      <c r="K64" s="932"/>
      <c r="L64" s="537"/>
      <c r="M64" s="532"/>
      <c r="N64" s="236"/>
      <c r="O64" s="236"/>
      <c r="P64" s="236"/>
      <c r="Q64" s="236"/>
      <c r="R64" s="236"/>
      <c r="S64" s="522"/>
      <c r="T64" s="236"/>
      <c r="U64" s="236"/>
      <c r="V64" s="236"/>
      <c r="W64" s="236"/>
      <c r="X64" s="236"/>
      <c r="Y64" s="236"/>
      <c r="Z64" s="236"/>
      <c r="AA64" s="236"/>
      <c r="AB64" s="236"/>
      <c r="AC64" s="236"/>
      <c r="AD64" s="236"/>
      <c r="AE64" s="236"/>
      <c r="AF64" s="236"/>
      <c r="AG64" s="236"/>
      <c r="AH64" s="236"/>
      <c r="AI64" s="236"/>
      <c r="AJ64" s="236"/>
      <c r="AK64" s="368"/>
      <c r="AL64" s="236"/>
      <c r="AM64" s="236"/>
      <c r="AN64" s="236"/>
      <c r="AO64" s="236"/>
      <c r="AP64" s="236"/>
      <c r="AR64" s="236"/>
      <c r="AS64" s="236"/>
      <c r="AT64" s="236"/>
      <c r="AU64" s="236"/>
      <c r="AV64" s="310" t="s">
        <v>348</v>
      </c>
      <c r="AW64" s="931">
        <f>AY35</f>
        <v>0</v>
      </c>
      <c r="AX64" s="932"/>
      <c r="AY64" s="537"/>
      <c r="AZ64" s="532"/>
      <c r="BA64" s="314"/>
      <c r="BB64" s="310" t="s">
        <v>348</v>
      </c>
      <c r="BC64" s="931">
        <f>BE35</f>
        <v>0</v>
      </c>
      <c r="BD64" s="932"/>
      <c r="BE64" s="537"/>
      <c r="BF64" s="532"/>
      <c r="BG64" s="236"/>
    </row>
    <row r="65" spans="2:59" x14ac:dyDescent="0.3">
      <c r="B65" s="236"/>
      <c r="C65" s="315" t="s">
        <v>337</v>
      </c>
      <c r="D65" s="832">
        <f>SUM(D61:D64,G61)</f>
        <v>0</v>
      </c>
      <c r="E65" s="832"/>
      <c r="F65" s="538"/>
      <c r="G65" s="319"/>
      <c r="H65" s="236"/>
      <c r="I65" s="315" t="s">
        <v>337</v>
      </c>
      <c r="J65" s="832">
        <f>SUM(J61:J64,M61)</f>
        <v>0</v>
      </c>
      <c r="K65" s="832"/>
      <c r="L65" s="538"/>
      <c r="M65" s="319"/>
      <c r="N65" s="236"/>
      <c r="O65" s="236"/>
      <c r="P65" s="236"/>
      <c r="Q65" s="236"/>
      <c r="R65" s="236"/>
      <c r="S65" s="522"/>
      <c r="T65" s="236"/>
      <c r="U65" s="236"/>
      <c r="V65" s="236"/>
      <c r="W65" s="236"/>
      <c r="X65" s="236"/>
      <c r="Y65" s="236"/>
      <c r="Z65" s="236"/>
      <c r="AA65" s="236"/>
      <c r="AB65" s="236"/>
      <c r="AC65" s="236"/>
      <c r="AD65" s="236"/>
      <c r="AE65" s="236"/>
      <c r="AF65" s="236"/>
      <c r="AG65" s="236"/>
      <c r="AH65" s="236"/>
      <c r="AI65" s="236"/>
      <c r="AJ65" s="236"/>
      <c r="AK65" s="368"/>
      <c r="AL65" s="236"/>
      <c r="AM65" s="236"/>
      <c r="AN65" s="236"/>
      <c r="AO65" s="236"/>
      <c r="AP65" s="236"/>
      <c r="AR65" s="236"/>
      <c r="AS65" s="236"/>
      <c r="AT65" s="236"/>
      <c r="AU65" s="236"/>
      <c r="AV65" s="315" t="s">
        <v>337</v>
      </c>
      <c r="AW65" s="832">
        <f>SUM(AW61:AW64,AZ61)</f>
        <v>0</v>
      </c>
      <c r="AX65" s="832"/>
      <c r="AY65" s="538"/>
      <c r="AZ65" s="319"/>
      <c r="BA65" s="317"/>
      <c r="BB65" s="315" t="s">
        <v>337</v>
      </c>
      <c r="BC65" s="832">
        <f>SUM(BC61:BC64,BF61)</f>
        <v>0</v>
      </c>
      <c r="BD65" s="832"/>
      <c r="BE65" s="538"/>
      <c r="BF65" s="319"/>
      <c r="BG65" s="236"/>
    </row>
    <row r="66" spans="2:59" x14ac:dyDescent="0.3">
      <c r="B66" s="236"/>
      <c r="C66" s="318"/>
      <c r="D66" s="319"/>
      <c r="E66" s="319"/>
      <c r="F66" s="539"/>
      <c r="G66" s="319"/>
      <c r="H66" s="236"/>
      <c r="I66" s="318"/>
      <c r="J66" s="319"/>
      <c r="K66" s="319"/>
      <c r="L66" s="539"/>
      <c r="M66" s="319"/>
      <c r="N66" s="236"/>
      <c r="O66" s="236"/>
      <c r="P66" s="236"/>
      <c r="Q66" s="236"/>
      <c r="R66" s="236"/>
      <c r="S66" s="522"/>
      <c r="T66" s="236"/>
      <c r="U66" s="236"/>
      <c r="V66" s="236"/>
      <c r="W66" s="236"/>
      <c r="X66" s="236"/>
      <c r="Y66" s="236"/>
      <c r="Z66" s="236"/>
      <c r="AA66" s="236"/>
      <c r="AB66" s="236"/>
      <c r="AC66" s="236"/>
      <c r="AD66" s="236"/>
      <c r="AE66" s="236"/>
      <c r="AF66" s="236"/>
      <c r="AG66" s="236"/>
      <c r="AH66" s="236"/>
      <c r="AI66" s="236"/>
      <c r="AJ66" s="236"/>
      <c r="AK66" s="368"/>
      <c r="AL66" s="236"/>
      <c r="AM66" s="236"/>
      <c r="AN66" s="236"/>
      <c r="AO66" s="236"/>
      <c r="AP66" s="236"/>
      <c r="AR66" s="236"/>
      <c r="AS66" s="236"/>
      <c r="AT66" s="236"/>
      <c r="AU66" s="236"/>
      <c r="AV66" s="318"/>
      <c r="AW66" s="319"/>
      <c r="AX66" s="319"/>
      <c r="AY66" s="539"/>
      <c r="AZ66" s="319"/>
      <c r="BA66" s="320"/>
      <c r="BB66" s="318"/>
      <c r="BC66" s="319"/>
      <c r="BD66" s="319"/>
      <c r="BE66" s="539"/>
      <c r="BF66" s="319"/>
      <c r="BG66" s="236"/>
    </row>
    <row r="67" spans="2:59" x14ac:dyDescent="0.3">
      <c r="B67" s="236"/>
      <c r="C67" s="309" t="s">
        <v>349</v>
      </c>
      <c r="D67" s="933">
        <f>C53</f>
        <v>0</v>
      </c>
      <c r="E67" s="934"/>
      <c r="F67" s="535" t="s">
        <v>539</v>
      </c>
      <c r="G67" s="533">
        <f>G53</f>
        <v>0</v>
      </c>
      <c r="H67" s="236"/>
      <c r="I67" s="309" t="s">
        <v>349</v>
      </c>
      <c r="J67" s="933">
        <f>I53</f>
        <v>0</v>
      </c>
      <c r="K67" s="934"/>
      <c r="L67" s="535" t="s">
        <v>539</v>
      </c>
      <c r="M67" s="533">
        <f>M53</f>
        <v>0</v>
      </c>
      <c r="N67" s="236"/>
      <c r="O67" s="236"/>
      <c r="P67" s="236"/>
      <c r="Q67" s="236"/>
      <c r="R67" s="236"/>
      <c r="S67" s="522"/>
      <c r="T67" s="236"/>
      <c r="U67" s="236"/>
      <c r="V67" s="236"/>
      <c r="W67" s="236"/>
      <c r="X67" s="236"/>
      <c r="Y67" s="236"/>
      <c r="Z67" s="236"/>
      <c r="AA67" s="236"/>
      <c r="AB67" s="236"/>
      <c r="AC67" s="236"/>
      <c r="AD67" s="236"/>
      <c r="AE67" s="236"/>
      <c r="AF67" s="236"/>
      <c r="AG67" s="236"/>
      <c r="AH67" s="236"/>
      <c r="AI67" s="236"/>
      <c r="AJ67" s="236"/>
      <c r="AK67" s="368"/>
      <c r="AL67" s="236"/>
      <c r="AM67" s="236"/>
      <c r="AN67" s="236"/>
      <c r="AO67" s="236"/>
      <c r="AP67" s="236"/>
      <c r="AR67" s="236"/>
      <c r="AS67" s="236"/>
      <c r="AT67" s="236"/>
      <c r="AU67" s="236"/>
      <c r="AV67" s="309" t="s">
        <v>349</v>
      </c>
      <c r="AW67" s="933">
        <f>AV53</f>
        <v>0</v>
      </c>
      <c r="AX67" s="934"/>
      <c r="AY67" s="535" t="s">
        <v>539</v>
      </c>
      <c r="AZ67" s="533">
        <f>AZ53</f>
        <v>0</v>
      </c>
      <c r="BA67" s="320"/>
      <c r="BB67" s="309" t="s">
        <v>349</v>
      </c>
      <c r="BC67" s="933">
        <f>BB53</f>
        <v>0</v>
      </c>
      <c r="BD67" s="934"/>
      <c r="BE67" s="535" t="s">
        <v>539</v>
      </c>
      <c r="BF67" s="533">
        <f>BF53</f>
        <v>0</v>
      </c>
      <c r="BG67" s="236"/>
    </row>
    <row r="68" spans="2:59" ht="15" thickBot="1" x14ac:dyDescent="0.35">
      <c r="B68" s="236"/>
      <c r="C68" s="310" t="s">
        <v>350</v>
      </c>
      <c r="D68" s="929">
        <f>D53</f>
        <v>0</v>
      </c>
      <c r="E68" s="930"/>
      <c r="F68" s="311"/>
      <c r="G68" s="531"/>
      <c r="H68" s="236"/>
      <c r="I68" s="310" t="s">
        <v>350</v>
      </c>
      <c r="J68" s="929">
        <f>J53</f>
        <v>0</v>
      </c>
      <c r="K68" s="930"/>
      <c r="L68" s="311"/>
      <c r="M68" s="531"/>
      <c r="N68" s="236"/>
      <c r="O68" s="236"/>
      <c r="P68" s="236"/>
      <c r="Q68" s="236"/>
      <c r="R68" s="236"/>
      <c r="S68" s="522"/>
      <c r="T68" s="236"/>
      <c r="U68" s="236"/>
      <c r="V68" s="236"/>
      <c r="W68" s="236"/>
      <c r="X68" s="236"/>
      <c r="Y68" s="236"/>
      <c r="Z68" s="236"/>
      <c r="AA68" s="236"/>
      <c r="AB68" s="236"/>
      <c r="AC68" s="236"/>
      <c r="AD68" s="236"/>
      <c r="AE68" s="236"/>
      <c r="AF68" s="236"/>
      <c r="AG68" s="236"/>
      <c r="AH68" s="236"/>
      <c r="AI68" s="236"/>
      <c r="AJ68" s="236"/>
      <c r="AK68" s="368"/>
      <c r="AL68" s="236"/>
      <c r="AM68" s="236"/>
      <c r="AN68" s="236"/>
      <c r="AO68" s="236"/>
      <c r="AP68" s="236"/>
      <c r="AR68" s="236"/>
      <c r="AS68" s="236"/>
      <c r="AT68" s="236"/>
      <c r="AU68" s="236"/>
      <c r="AV68" s="310" t="s">
        <v>350</v>
      </c>
      <c r="AW68" s="929">
        <f>AW53</f>
        <v>0</v>
      </c>
      <c r="AX68" s="930"/>
      <c r="AY68" s="311"/>
      <c r="AZ68" s="531"/>
      <c r="BA68" s="314"/>
      <c r="BB68" s="310" t="s">
        <v>350</v>
      </c>
      <c r="BC68" s="929">
        <f>BC53</f>
        <v>0</v>
      </c>
      <c r="BD68" s="930"/>
      <c r="BE68" s="311"/>
      <c r="BF68" s="531"/>
      <c r="BG68" s="236"/>
    </row>
    <row r="69" spans="2:59" x14ac:dyDescent="0.3">
      <c r="B69" s="236"/>
      <c r="C69" s="309" t="s">
        <v>351</v>
      </c>
      <c r="D69" s="931">
        <f>E53</f>
        <v>0</v>
      </c>
      <c r="E69" s="932"/>
      <c r="F69" s="312"/>
      <c r="G69" s="532"/>
      <c r="H69" s="236"/>
      <c r="I69" s="309" t="s">
        <v>351</v>
      </c>
      <c r="J69" s="931">
        <f>K53</f>
        <v>0</v>
      </c>
      <c r="K69" s="932"/>
      <c r="L69" s="312"/>
      <c r="M69" s="532"/>
      <c r="N69" s="236"/>
      <c r="O69" s="236"/>
      <c r="P69" s="236"/>
      <c r="Q69" s="236"/>
      <c r="R69" s="236"/>
      <c r="S69" s="522"/>
      <c r="T69" s="236"/>
      <c r="U69" s="236"/>
      <c r="V69" s="236"/>
      <c r="W69" s="236"/>
      <c r="X69" s="236"/>
      <c r="Y69" s="236"/>
      <c r="Z69" s="236"/>
      <c r="AA69" s="236"/>
      <c r="AB69" s="236"/>
      <c r="AC69" s="236"/>
      <c r="AD69" s="236"/>
      <c r="AE69" s="236"/>
      <c r="AF69" s="236"/>
      <c r="AG69" s="236"/>
      <c r="AH69" s="236"/>
      <c r="AI69" s="236"/>
      <c r="AJ69" s="236"/>
      <c r="AK69" s="368"/>
      <c r="AL69" s="236"/>
      <c r="AM69" s="236"/>
      <c r="AN69" s="236"/>
      <c r="AO69" s="236"/>
      <c r="AP69" s="236"/>
      <c r="AR69" s="236"/>
      <c r="AS69" s="236"/>
      <c r="AT69" s="236"/>
      <c r="AU69" s="236"/>
      <c r="AV69" s="309" t="s">
        <v>351</v>
      </c>
      <c r="AW69" s="931">
        <f>AX53</f>
        <v>0</v>
      </c>
      <c r="AX69" s="932"/>
      <c r="AY69" s="312"/>
      <c r="AZ69" s="532"/>
      <c r="BA69" s="320"/>
      <c r="BB69" s="309" t="s">
        <v>351</v>
      </c>
      <c r="BC69" s="931">
        <f>BD53</f>
        <v>0</v>
      </c>
      <c r="BD69" s="932"/>
      <c r="BE69" s="312"/>
      <c r="BF69" s="532"/>
      <c r="BG69" s="236"/>
    </row>
    <row r="70" spans="2:59" ht="15" thickBot="1" x14ac:dyDescent="0.35">
      <c r="B70" s="236"/>
      <c r="C70" s="310" t="s">
        <v>352</v>
      </c>
      <c r="D70" s="931">
        <f>F53</f>
        <v>0</v>
      </c>
      <c r="E70" s="932"/>
      <c r="F70" s="312"/>
      <c r="G70" s="532"/>
      <c r="H70" s="236"/>
      <c r="I70" s="310" t="s">
        <v>352</v>
      </c>
      <c r="J70" s="931">
        <f>L53</f>
        <v>0</v>
      </c>
      <c r="K70" s="932"/>
      <c r="L70" s="312"/>
      <c r="M70" s="532"/>
      <c r="N70" s="236"/>
      <c r="O70" s="236"/>
      <c r="P70" s="236"/>
      <c r="Q70" s="236"/>
      <c r="R70" s="236"/>
      <c r="S70" s="522"/>
      <c r="T70" s="236"/>
      <c r="U70" s="236"/>
      <c r="V70" s="236"/>
      <c r="W70" s="236"/>
      <c r="X70" s="236"/>
      <c r="Y70" s="236"/>
      <c r="Z70" s="236"/>
      <c r="AA70" s="236"/>
      <c r="AB70" s="236"/>
      <c r="AC70" s="236"/>
      <c r="AD70" s="236"/>
      <c r="AE70" s="236"/>
      <c r="AF70" s="236"/>
      <c r="AG70" s="236"/>
      <c r="AH70" s="236"/>
      <c r="AI70" s="236"/>
      <c r="AJ70" s="236"/>
      <c r="AK70" s="368"/>
      <c r="AL70" s="236"/>
      <c r="AM70" s="236"/>
      <c r="AN70" s="236"/>
      <c r="AO70" s="236"/>
      <c r="AP70" s="236"/>
      <c r="AR70" s="236"/>
      <c r="AS70" s="236"/>
      <c r="AT70" s="236"/>
      <c r="AU70" s="236"/>
      <c r="AV70" s="310" t="s">
        <v>352</v>
      </c>
      <c r="AW70" s="931">
        <f>AY53</f>
        <v>0</v>
      </c>
      <c r="AX70" s="932"/>
      <c r="AY70" s="312"/>
      <c r="AZ70" s="532"/>
      <c r="BA70" s="314"/>
      <c r="BB70" s="310" t="s">
        <v>352</v>
      </c>
      <c r="BC70" s="931">
        <f>BE53</f>
        <v>0</v>
      </c>
      <c r="BD70" s="932"/>
      <c r="BE70" s="312"/>
      <c r="BF70" s="532"/>
      <c r="BG70" s="236"/>
    </row>
    <row r="71" spans="2:59" x14ac:dyDescent="0.3">
      <c r="B71" s="236"/>
      <c r="C71" s="315" t="s">
        <v>353</v>
      </c>
      <c r="D71" s="832">
        <f>SUM(D67:D70,G67)</f>
        <v>0</v>
      </c>
      <c r="E71" s="832"/>
      <c r="F71" s="316"/>
      <c r="G71" s="319"/>
      <c r="H71" s="236"/>
      <c r="I71" s="315" t="s">
        <v>353</v>
      </c>
      <c r="J71" s="832">
        <f>SUM(J67:J70,M67)</f>
        <v>0</v>
      </c>
      <c r="K71" s="832"/>
      <c r="L71" s="316"/>
      <c r="M71" s="319"/>
      <c r="N71" s="236"/>
      <c r="O71" s="236"/>
      <c r="P71" s="236"/>
      <c r="Q71" s="236"/>
      <c r="R71" s="236"/>
      <c r="S71" s="522"/>
      <c r="T71" s="236"/>
      <c r="U71" s="236"/>
      <c r="V71" s="236"/>
      <c r="W71" s="236"/>
      <c r="X71" s="236"/>
      <c r="Y71" s="236"/>
      <c r="Z71" s="236"/>
      <c r="AA71" s="236"/>
      <c r="AB71" s="236"/>
      <c r="AC71" s="236"/>
      <c r="AD71" s="236"/>
      <c r="AE71" s="236"/>
      <c r="AF71" s="236"/>
      <c r="AG71" s="236"/>
      <c r="AH71" s="236"/>
      <c r="AI71" s="236"/>
      <c r="AJ71" s="236"/>
      <c r="AK71" s="368"/>
      <c r="AL71" s="236"/>
      <c r="AM71" s="236"/>
      <c r="AN71" s="236"/>
      <c r="AO71" s="236"/>
      <c r="AP71" s="236"/>
      <c r="AR71" s="236"/>
      <c r="AS71" s="236"/>
      <c r="AT71" s="236"/>
      <c r="AU71" s="236"/>
      <c r="AV71" s="315" t="s">
        <v>353</v>
      </c>
      <c r="AW71" s="832">
        <f>SUM(AW67:AW70,AZ67)</f>
        <v>0</v>
      </c>
      <c r="AX71" s="832"/>
      <c r="AY71" s="316"/>
      <c r="AZ71" s="319"/>
      <c r="BA71" s="317"/>
      <c r="BB71" s="315" t="s">
        <v>353</v>
      </c>
      <c r="BC71" s="832">
        <f>SUM(BC67:BC70,BF67)</f>
        <v>0</v>
      </c>
      <c r="BD71" s="832"/>
      <c r="BE71" s="316"/>
      <c r="BF71" s="319"/>
      <c r="BG71" s="236"/>
    </row>
    <row r="72" spans="2:59" x14ac:dyDescent="0.3">
      <c r="B72" s="236"/>
      <c r="C72" s="236"/>
      <c r="D72" s="236"/>
      <c r="E72" s="236"/>
      <c r="F72" s="236"/>
      <c r="G72" s="236"/>
      <c r="H72" s="236"/>
      <c r="I72" s="236"/>
      <c r="J72" s="236"/>
      <c r="K72" s="236"/>
      <c r="L72" s="236"/>
      <c r="M72" s="236"/>
      <c r="N72" s="236"/>
      <c r="O72" s="236"/>
      <c r="P72" s="236"/>
      <c r="Q72" s="236"/>
      <c r="R72" s="236"/>
      <c r="S72" s="522"/>
      <c r="T72" s="236"/>
      <c r="U72" s="236"/>
      <c r="V72" s="236"/>
      <c r="W72" s="236"/>
      <c r="X72" s="236"/>
      <c r="Y72" s="236"/>
      <c r="Z72" s="236"/>
      <c r="AA72" s="236"/>
      <c r="AB72" s="236"/>
      <c r="AC72" s="236"/>
      <c r="AD72" s="236"/>
      <c r="AE72" s="236"/>
      <c r="AF72" s="236"/>
      <c r="AG72" s="236"/>
      <c r="AH72" s="236"/>
      <c r="AI72" s="236"/>
      <c r="AJ72" s="236"/>
      <c r="AK72" s="368"/>
      <c r="AL72" s="236"/>
      <c r="AM72" s="236"/>
      <c r="AN72" s="236"/>
      <c r="AO72" s="236"/>
      <c r="AP72" s="236"/>
      <c r="AR72" s="236"/>
      <c r="AS72" s="236"/>
      <c r="AT72" s="236"/>
      <c r="AU72" s="236"/>
      <c r="AV72" s="236"/>
      <c r="AW72" s="236"/>
      <c r="AX72" s="236"/>
      <c r="AY72" s="236"/>
      <c r="AZ72" s="236"/>
      <c r="BA72" s="236"/>
      <c r="BB72" s="236"/>
      <c r="BC72" s="236"/>
      <c r="BD72" s="236"/>
      <c r="BE72" s="236"/>
      <c r="BF72" s="236"/>
      <c r="BG72" s="236"/>
    </row>
  </sheetData>
  <sheetProtection selectLockedCells="1" selectUnlockedCells="1"/>
  <protectedRanges>
    <protectedRange sqref="B22:B29 B33:B34 C22:F34 B38:B45 C71 A1:A1048576 N1:N1048576 R4:R47 Q26 O14:P16 O24:P26 Q23:Q24 O4:Q6 O9:P11 Q8:Q9 Q11:Q16 O29:P30 Q37:Q47 AK1:AQ2 AU1:AU27 AR14:AS16 AR24:AS26 AT13:AT16 AR4:AT6 AR19:AS21 AT26:AT27 AS29:AS48 AT1:AT3 BA33:BA45 BA16:BA29 C65:G68 D71:G1048576 B72:C1048576 C55:G56 Q49:AU1048576 B49:B53 H22:H29 H33:H34 H38:H45 I71 J71:M1048576 H72:I1048576 H49:H53 BG33:BG45 BA49:BA53 BG49:BG1048576 BH1:XFD1048576 Q48:R48 I6:I18 J5:L18 I22:L34 Q35 BG16:BG18 BA5:BA12 T1 Q1:R3 U1:AJ3 S2:T3 O37:P1048576 Q28:Q29 O19:P21 Q18:Q19 Q21 AR28:AR48 AT28:AU48 AT21:AT24 AT18:AT19 AR9:AS11 AT11 AT8:AT9 BB5:BE18 B1:M3 H6:H12 H5:I5 B4:G12 H4:L4 B16:H18 AL3:AP48 B21:F21 H21:L21 G21:G34 M21:M34 M4:M18 I38:L53 B37:F37 C38:F53 H37:L37 BA1:BG3 BA4:BE4 BG4:BG12 BF4:BF18 BG21:BG29 C59:G62 B19:M20 B35:M36 G37:G53 M37:M53 I65:M68 I55:M56 I59:M62 AV1:AZ53 BB21:BF53 BB19:BG20 T4:X48 S16:S27 S31:S41 S4:S12 S45:S48 Y4:Y12 Y16:Y27 Y31:Y41 Y45:Y48 Z4:AD48 AF4:AJ48 AQ3:AQ12 AQ16:AQ27 AQ31:AQ41 AQ45:AQ48 AK16:AK27 AK31:AK41 AK3:AK12 AK45:AK48 AV55:AZ56 AV71:BF1048576 AV65:BF68 BB55:BF56 AV59:BF62" name="Range1"/>
  </protectedRanges>
  <dataConsolidate/>
  <mergeCells count="83">
    <mergeCell ref="BC62:BD62"/>
    <mergeCell ref="BC63:BD63"/>
    <mergeCell ref="C1:M1"/>
    <mergeCell ref="AV1:BF1"/>
    <mergeCell ref="AF1:AP1"/>
    <mergeCell ref="T1:AD1"/>
    <mergeCell ref="Q24:Q26"/>
    <mergeCell ref="Z2:AC2"/>
    <mergeCell ref="D55:E55"/>
    <mergeCell ref="D56:E56"/>
    <mergeCell ref="B54:F54"/>
    <mergeCell ref="BC55:BD55"/>
    <mergeCell ref="BC56:BD56"/>
    <mergeCell ref="T2:W2"/>
    <mergeCell ref="C2:F2"/>
    <mergeCell ref="I2:L2"/>
    <mergeCell ref="BC71:BD71"/>
    <mergeCell ref="AV2:AY2"/>
    <mergeCell ref="AF2:AI2"/>
    <mergeCell ref="AL2:AO2"/>
    <mergeCell ref="AT9:AT11"/>
    <mergeCell ref="BC65:BD65"/>
    <mergeCell ref="BC67:BD67"/>
    <mergeCell ref="BC68:BD68"/>
    <mergeCell ref="BC69:BD69"/>
    <mergeCell ref="BC70:BD70"/>
    <mergeCell ref="BC59:BD59"/>
    <mergeCell ref="BC61:BD61"/>
    <mergeCell ref="AT19:AT21"/>
    <mergeCell ref="AR1:AT2"/>
    <mergeCell ref="AT24:AT26"/>
    <mergeCell ref="BB2:BE2"/>
    <mergeCell ref="Q19:Q21"/>
    <mergeCell ref="AW56:AX56"/>
    <mergeCell ref="O1:Q2"/>
    <mergeCell ref="Q9:Q11"/>
    <mergeCell ref="AW55:AX55"/>
    <mergeCell ref="BB54:BE54"/>
    <mergeCell ref="H54:L54"/>
    <mergeCell ref="J55:K55"/>
    <mergeCell ref="J56:K56"/>
    <mergeCell ref="J57:K57"/>
    <mergeCell ref="BC64:BD64"/>
    <mergeCell ref="D70:E70"/>
    <mergeCell ref="BC57:BD57"/>
    <mergeCell ref="BC58:BD58"/>
    <mergeCell ref="D57:E57"/>
    <mergeCell ref="D58:E58"/>
    <mergeCell ref="J58:K58"/>
    <mergeCell ref="J59:K59"/>
    <mergeCell ref="J61:K61"/>
    <mergeCell ref="J62:K62"/>
    <mergeCell ref="AW57:AX57"/>
    <mergeCell ref="AW58:AX58"/>
    <mergeCell ref="J63:K63"/>
    <mergeCell ref="AW61:AX61"/>
    <mergeCell ref="D67:E67"/>
    <mergeCell ref="AW65:AX65"/>
    <mergeCell ref="D59:E59"/>
    <mergeCell ref="AW62:AX62"/>
    <mergeCell ref="AW63:AX63"/>
    <mergeCell ref="AW64:AX64"/>
    <mergeCell ref="AW67:AX67"/>
    <mergeCell ref="D61:E61"/>
    <mergeCell ref="D62:E62"/>
    <mergeCell ref="AW59:AX59"/>
    <mergeCell ref="D63:E63"/>
    <mergeCell ref="J64:K64"/>
    <mergeCell ref="J65:K65"/>
    <mergeCell ref="J67:K67"/>
    <mergeCell ref="D65:E65"/>
    <mergeCell ref="AW68:AX68"/>
    <mergeCell ref="AW69:AX69"/>
    <mergeCell ref="AW70:AX70"/>
    <mergeCell ref="AW71:AX71"/>
    <mergeCell ref="D64:E64"/>
    <mergeCell ref="J71:K71"/>
    <mergeCell ref="J68:K68"/>
    <mergeCell ref="J69:K69"/>
    <mergeCell ref="J70:K70"/>
    <mergeCell ref="D68:E68"/>
    <mergeCell ref="D69:E69"/>
    <mergeCell ref="D71:E71"/>
  </mergeCells>
  <conditionalFormatting sqref="C4:C5 T4:U48">
    <cfRule type="notContainsText" dxfId="136" priority="119" operator="notContains" text="N/A">
      <formula>ISERROR(SEARCH("N/A",C4))</formula>
    </cfRule>
  </conditionalFormatting>
  <conditionalFormatting sqref="V4:X48 Z4:AD48">
    <cfRule type="notContainsText" dxfId="135" priority="118" operator="notContains" text="N/A">
      <formula>ISERROR(SEARCH("N/A",V4))</formula>
    </cfRule>
  </conditionalFormatting>
  <conditionalFormatting sqref="C6:C18">
    <cfRule type="notContainsText" dxfId="134" priority="117" operator="notContains" text="N/A">
      <formula>ISERROR(SEARCH("N/A",C6))</formula>
    </cfRule>
  </conditionalFormatting>
  <conditionalFormatting sqref="D4:D5">
    <cfRule type="notContainsText" dxfId="133" priority="116" operator="notContains" text="N/A">
      <formula>ISERROR(SEARCH("N/A",D4))</formula>
    </cfRule>
  </conditionalFormatting>
  <conditionalFormatting sqref="D6:D18">
    <cfRule type="notContainsText" dxfId="132" priority="115" operator="notContains" text="N/A">
      <formula>ISERROR(SEARCH("N/A",D6))</formula>
    </cfRule>
  </conditionalFormatting>
  <conditionalFormatting sqref="E4:E5">
    <cfRule type="notContainsText" dxfId="131" priority="114" operator="notContains" text="N/A">
      <formula>ISERROR(SEARCH("N/A",E4))</formula>
    </cfRule>
  </conditionalFormatting>
  <conditionalFormatting sqref="E6:E18">
    <cfRule type="notContainsText" dxfId="130" priority="113" operator="notContains" text="N/A">
      <formula>ISERROR(SEARCH("N/A",E6))</formula>
    </cfRule>
  </conditionalFormatting>
  <conditionalFormatting sqref="F4:F5">
    <cfRule type="notContainsText" dxfId="129" priority="112" operator="notContains" text="N/A">
      <formula>ISERROR(SEARCH("N/A",F4))</formula>
    </cfRule>
  </conditionalFormatting>
  <conditionalFormatting sqref="F6:F18">
    <cfRule type="notContainsText" dxfId="128" priority="111" operator="notContains" text="N/A">
      <formula>ISERROR(SEARCH("N/A",F6))</formula>
    </cfRule>
  </conditionalFormatting>
  <conditionalFormatting sqref="C21:G34">
    <cfRule type="notContainsText" dxfId="127" priority="94" operator="notContains" text="N/A">
      <formula>ISERROR(SEARCH("N/A",C21))</formula>
    </cfRule>
  </conditionalFormatting>
  <conditionalFormatting sqref="C37:G52">
    <cfRule type="notContainsText" dxfId="126" priority="92" operator="notContains" text="N/A">
      <formula>ISERROR(SEARCH("N/A",C37))</formula>
    </cfRule>
  </conditionalFormatting>
  <conditionalFormatting sqref="AF4:AG48">
    <cfRule type="notContainsText" dxfId="125" priority="91" operator="notContains" text="N/A">
      <formula>ISERROR(SEARCH("N/A",AF4))</formula>
    </cfRule>
  </conditionalFormatting>
  <conditionalFormatting sqref="AH4:AI48">
    <cfRule type="notContainsText" dxfId="124" priority="90" operator="notContains" text="N/A">
      <formula>ISERROR(SEARCH("N/A",AH4))</formula>
    </cfRule>
  </conditionalFormatting>
  <conditionalFormatting sqref="AY6:AY18">
    <cfRule type="notContainsText" dxfId="123" priority="72" operator="notContains" text="N/A">
      <formula>ISERROR(SEARCH("N/A",AY6))</formula>
    </cfRule>
  </conditionalFormatting>
  <conditionalFormatting sqref="AV21:AV22">
    <cfRule type="notContainsText" dxfId="122" priority="71" operator="notContains" text="N/A">
      <formula>ISERROR(SEARCH("N/A",AV21))</formula>
    </cfRule>
  </conditionalFormatting>
  <conditionalFormatting sqref="AV23:AV34">
    <cfRule type="notContainsText" dxfId="121" priority="70" operator="notContains" text="N/A">
      <formula>ISERROR(SEARCH("N/A",AV23))</formula>
    </cfRule>
  </conditionalFormatting>
  <conditionalFormatting sqref="AW23:AW34">
    <cfRule type="notContainsText" dxfId="120" priority="68" operator="notContains" text="N/A">
      <formula>ISERROR(SEARCH("N/A",AW23))</formula>
    </cfRule>
  </conditionalFormatting>
  <conditionalFormatting sqref="AX23:AX34">
    <cfRule type="notContainsText" dxfId="119" priority="66" operator="notContains" text="N/A">
      <formula>ISERROR(SEARCH("N/A",AX23))</formula>
    </cfRule>
  </conditionalFormatting>
  <conditionalFormatting sqref="AV4:AV5">
    <cfRule type="notContainsText" dxfId="118" priority="79" operator="notContains" text="N/A">
      <formula>ISERROR(SEARCH("N/A",AV4))</formula>
    </cfRule>
  </conditionalFormatting>
  <conditionalFormatting sqref="AV6:AV18">
    <cfRule type="notContainsText" dxfId="117" priority="78" operator="notContains" text="N/A">
      <formula>ISERROR(SEARCH("N/A",AV6))</formula>
    </cfRule>
  </conditionalFormatting>
  <conditionalFormatting sqref="AW4:AW5 AX4">
    <cfRule type="notContainsText" dxfId="116" priority="77" operator="notContains" text="N/A">
      <formula>ISERROR(SEARCH("N/A",AW4))</formula>
    </cfRule>
  </conditionalFormatting>
  <conditionalFormatting sqref="AW6:AW18">
    <cfRule type="notContainsText" dxfId="115" priority="76" operator="notContains" text="N/A">
      <formula>ISERROR(SEARCH("N/A",AW6))</formula>
    </cfRule>
  </conditionalFormatting>
  <conditionalFormatting sqref="AX5">
    <cfRule type="notContainsText" dxfId="114" priority="75" operator="notContains" text="N/A">
      <formula>ISERROR(SEARCH("N/A",AX5))</formula>
    </cfRule>
  </conditionalFormatting>
  <conditionalFormatting sqref="AX6:AX18">
    <cfRule type="notContainsText" dxfId="113" priority="74" operator="notContains" text="N/A">
      <formula>ISERROR(SEARCH("N/A",AX6))</formula>
    </cfRule>
  </conditionalFormatting>
  <conditionalFormatting sqref="AY4:AY5">
    <cfRule type="notContainsText" dxfId="112" priority="73" operator="notContains" text="N/A">
      <formula>ISERROR(SEARCH("N/A",AY4))</formula>
    </cfRule>
  </conditionalFormatting>
  <conditionalFormatting sqref="AW21:AW22">
    <cfRule type="notContainsText" dxfId="111" priority="69" operator="notContains" text="N/A">
      <formula>ISERROR(SEARCH("N/A",AW21))</formula>
    </cfRule>
  </conditionalFormatting>
  <conditionalFormatting sqref="AX21:AX22">
    <cfRule type="notContainsText" dxfId="110" priority="67" operator="notContains" text="N/A">
      <formula>ISERROR(SEARCH("N/A",AX21))</formula>
    </cfRule>
  </conditionalFormatting>
  <conditionalFormatting sqref="AY21:AY22">
    <cfRule type="notContainsText" dxfId="109" priority="65" operator="notContains" text="N/A">
      <formula>ISERROR(SEARCH("N/A",AY21))</formula>
    </cfRule>
  </conditionalFormatting>
  <conditionalFormatting sqref="AY23:AY34">
    <cfRule type="notContainsText" dxfId="108" priority="64" operator="notContains" text="N/A">
      <formula>ISERROR(SEARCH("N/A",AY23))</formula>
    </cfRule>
  </conditionalFormatting>
  <conditionalFormatting sqref="AV37:AZ52">
    <cfRule type="notContainsText" dxfId="107" priority="63" operator="notContains" text="N/A">
      <formula>ISERROR(SEARCH("N/A",AV37))</formula>
    </cfRule>
  </conditionalFormatting>
  <conditionalFormatting sqref="I4:I18">
    <cfRule type="notContainsText" dxfId="106" priority="62" operator="notContains" text="N/A">
      <formula>ISERROR(SEARCH("N/A",I4))</formula>
    </cfRule>
  </conditionalFormatting>
  <conditionalFormatting sqref="J4:M18">
    <cfRule type="notContainsText" dxfId="105" priority="42" operator="notContains" text="N/A">
      <formula>ISERROR(SEARCH("N/A",J4))</formula>
    </cfRule>
  </conditionalFormatting>
  <conditionalFormatting sqref="I21:M34">
    <cfRule type="notContainsText" dxfId="104" priority="41" operator="notContains" text="N/A">
      <formula>ISERROR(SEARCH("N/A",I21))</formula>
    </cfRule>
  </conditionalFormatting>
  <conditionalFormatting sqref="I37:M52">
    <cfRule type="notContainsText" dxfId="103" priority="40" operator="notContains" text="N/A">
      <formula>ISERROR(SEARCH("N/A",I37))</formula>
    </cfRule>
  </conditionalFormatting>
  <conditionalFormatting sqref="AL4:AM48">
    <cfRule type="notContainsText" dxfId="102" priority="39" operator="notContains" text="N/A">
      <formula>ISERROR(SEARCH("N/A",AL4))</formula>
    </cfRule>
  </conditionalFormatting>
  <conditionalFormatting sqref="AN4:AO48">
    <cfRule type="notContainsText" dxfId="101" priority="38" operator="notContains" text="N/A">
      <formula>ISERROR(SEARCH("N/A",AN4))</formula>
    </cfRule>
  </conditionalFormatting>
  <conditionalFormatting sqref="BC21:BC22">
    <cfRule type="notContainsText" dxfId="100" priority="20" operator="notContains" text="N/A">
      <formula>ISERROR(SEARCH("N/A",BC21))</formula>
    </cfRule>
  </conditionalFormatting>
  <conditionalFormatting sqref="BB23:BB34">
    <cfRule type="notContainsText" dxfId="99" priority="21" operator="notContains" text="N/A">
      <formula>ISERROR(SEARCH("N/A",BB23))</formula>
    </cfRule>
  </conditionalFormatting>
  <conditionalFormatting sqref="BD5">
    <cfRule type="notContainsText" dxfId="98" priority="26" operator="notContains" text="N/A">
      <formula>ISERROR(SEARCH("N/A",BD5))</formula>
    </cfRule>
  </conditionalFormatting>
  <conditionalFormatting sqref="BC6:BC18">
    <cfRule type="notContainsText" dxfId="97" priority="27" operator="notContains" text="N/A">
      <formula>ISERROR(SEARCH("N/A",BC6))</formula>
    </cfRule>
  </conditionalFormatting>
  <conditionalFormatting sqref="BE23:BE34">
    <cfRule type="notContainsText" dxfId="96" priority="15" operator="notContains" text="N/A">
      <formula>ISERROR(SEARCH("N/A",BE23))</formula>
    </cfRule>
  </conditionalFormatting>
  <conditionalFormatting sqref="BE21:BE22">
    <cfRule type="notContainsText" dxfId="95" priority="16" operator="notContains" text="N/A">
      <formula>ISERROR(SEARCH("N/A",BE21))</formula>
    </cfRule>
  </conditionalFormatting>
  <conditionalFormatting sqref="BB37:BF52">
    <cfRule type="notContainsText" dxfId="94" priority="31" operator="notContains" text="N/A">
      <formula>ISERROR(SEARCH("N/A",BB37))</formula>
    </cfRule>
  </conditionalFormatting>
  <conditionalFormatting sqref="BE6:BE18">
    <cfRule type="notContainsText" dxfId="93" priority="23" operator="notContains" text="N/A">
      <formula>ISERROR(SEARCH("N/A",BE6))</formula>
    </cfRule>
  </conditionalFormatting>
  <conditionalFormatting sqref="BB4:BB5">
    <cfRule type="notContainsText" dxfId="92" priority="30" operator="notContains" text="N/A">
      <formula>ISERROR(SEARCH("N/A",BB4))</formula>
    </cfRule>
  </conditionalFormatting>
  <conditionalFormatting sqref="BB6:BB18">
    <cfRule type="notContainsText" dxfId="91" priority="29" operator="notContains" text="N/A">
      <formula>ISERROR(SEARCH("N/A",BB6))</formula>
    </cfRule>
  </conditionalFormatting>
  <conditionalFormatting sqref="BC4:BC5 BD4">
    <cfRule type="notContainsText" dxfId="90" priority="28" operator="notContains" text="N/A">
      <formula>ISERROR(SEARCH("N/A",BC4))</formula>
    </cfRule>
  </conditionalFormatting>
  <conditionalFormatting sqref="BD6:BD18">
    <cfRule type="notContainsText" dxfId="89" priority="25" operator="notContains" text="N/A">
      <formula>ISERROR(SEARCH("N/A",BD6))</formula>
    </cfRule>
  </conditionalFormatting>
  <conditionalFormatting sqref="BE4:BE5">
    <cfRule type="notContainsText" dxfId="88" priority="24" operator="notContains" text="N/A">
      <formula>ISERROR(SEARCH("N/A",BE4))</formula>
    </cfRule>
  </conditionalFormatting>
  <conditionalFormatting sqref="BB21:BB22">
    <cfRule type="notContainsText" dxfId="87" priority="22" operator="notContains" text="N/A">
      <formula>ISERROR(SEARCH("N/A",BB21))</formula>
    </cfRule>
  </conditionalFormatting>
  <conditionalFormatting sqref="BC23:BC34">
    <cfRule type="notContainsText" dxfId="86" priority="19" operator="notContains" text="N/A">
      <formula>ISERROR(SEARCH("N/A",BC23))</formula>
    </cfRule>
  </conditionalFormatting>
  <conditionalFormatting sqref="BD23:BD34">
    <cfRule type="notContainsText" dxfId="85" priority="17" operator="notContains" text="N/A">
      <formula>ISERROR(SEARCH("N/A",BD23))</formula>
    </cfRule>
  </conditionalFormatting>
  <conditionalFormatting sqref="BD21:BD22">
    <cfRule type="notContainsText" dxfId="84" priority="18" operator="notContains" text="N/A">
      <formula>ISERROR(SEARCH("N/A",BD21))</formula>
    </cfRule>
  </conditionalFormatting>
  <conditionalFormatting sqref="AJ4:AJ48">
    <cfRule type="notContainsText" dxfId="83" priority="10" operator="notContains" text="N/A">
      <formula>ISERROR(SEARCH("N/A",AJ4))</formula>
    </cfRule>
  </conditionalFormatting>
  <conditionalFormatting sqref="AP4:AP48">
    <cfRule type="notContainsText" dxfId="82" priority="9" operator="notContains" text="N/A">
      <formula>ISERROR(SEARCH("N/A",AP4))</formula>
    </cfRule>
  </conditionalFormatting>
  <conditionalFormatting sqref="G4:G5">
    <cfRule type="notContainsText" dxfId="81" priority="12" operator="notContains" text="N/A">
      <formula>ISERROR(SEARCH("N/A",G4))</formula>
    </cfRule>
  </conditionalFormatting>
  <conditionalFormatting sqref="G6:G18">
    <cfRule type="notContainsText" dxfId="80" priority="11" operator="notContains" text="N/A">
      <formula>ISERROR(SEARCH("N/A",G6))</formula>
    </cfRule>
  </conditionalFormatting>
  <conditionalFormatting sqref="BF21:BF22">
    <cfRule type="notContainsText" dxfId="79" priority="2" operator="notContains" text="N/A">
      <formula>ISERROR(SEARCH("N/A",BF21))</formula>
    </cfRule>
  </conditionalFormatting>
  <conditionalFormatting sqref="BF23:BF34">
    <cfRule type="notContainsText" dxfId="78" priority="1" operator="notContains" text="N/A">
      <formula>ISERROR(SEARCH("N/A",BF23))</formula>
    </cfRule>
  </conditionalFormatting>
  <conditionalFormatting sqref="AZ6:AZ18">
    <cfRule type="notContainsText" dxfId="77" priority="7" operator="notContains" text="N/A">
      <formula>ISERROR(SEARCH("N/A",AZ6))</formula>
    </cfRule>
  </conditionalFormatting>
  <conditionalFormatting sqref="AZ4:AZ5">
    <cfRule type="notContainsText" dxfId="76" priority="8" operator="notContains" text="N/A">
      <formula>ISERROR(SEARCH("N/A",AZ4))</formula>
    </cfRule>
  </conditionalFormatting>
  <conditionalFormatting sqref="BF6:BF18">
    <cfRule type="notContainsText" dxfId="75" priority="5" operator="notContains" text="N/A">
      <formula>ISERROR(SEARCH("N/A",BF6))</formula>
    </cfRule>
  </conditionalFormatting>
  <conditionalFormatting sqref="BF4:BF5">
    <cfRule type="notContainsText" dxfId="74" priority="6" operator="notContains" text="N/A">
      <formula>ISERROR(SEARCH("N/A",BF4))</formula>
    </cfRule>
  </conditionalFormatting>
  <conditionalFormatting sqref="AZ21:AZ22">
    <cfRule type="notContainsText" dxfId="73" priority="4" operator="notContains" text="N/A">
      <formula>ISERROR(SEARCH("N/A",AZ21))</formula>
    </cfRule>
  </conditionalFormatting>
  <conditionalFormatting sqref="AZ23:AZ34">
    <cfRule type="notContainsText" dxfId="72" priority="3" operator="notContains" text="N/A">
      <formula>ISERROR(SEARCH("N/A",AZ23))</formula>
    </cfRule>
  </conditionalFormatting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68" r:id="rId4" name="Button 32">
              <controlPr defaultSize="0" print="0" autoFill="0" autoPict="0" macro="[0]!PowerDistribute.PowerDistribute">
                <anchor moveWithCells="1" sizeWithCells="1">
                  <from>
                    <xdr:col>19</xdr:col>
                    <xdr:colOff>0</xdr:colOff>
                    <xdr:row>48</xdr:row>
                    <xdr:rowOff>182880</xdr:rowOff>
                  </from>
                  <to>
                    <xdr:col>42</xdr:col>
                    <xdr:colOff>45720</xdr:colOff>
                    <xdr:row>50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6" tint="-0.499984740745262"/>
  </sheetPr>
  <dimension ref="B1:BH72"/>
  <sheetViews>
    <sheetView showGridLines="0" topLeftCell="H1" zoomScale="70" zoomScaleNormal="70" workbookViewId="0">
      <selection activeCell="Q39" sqref="Q39"/>
    </sheetView>
  </sheetViews>
  <sheetFormatPr defaultColWidth="9.109375" defaultRowHeight="14.4" x14ac:dyDescent="0.3"/>
  <cols>
    <col min="1" max="1" width="3.109375" style="237" customWidth="1"/>
    <col min="2" max="2" width="4.109375" style="237" bestFit="1" customWidth="1"/>
    <col min="3" max="3" width="16.44140625" style="237" bestFit="1" customWidth="1"/>
    <col min="4" max="4" width="15.109375" style="237" bestFit="1" customWidth="1"/>
    <col min="5" max="5" width="13.109375" style="237" bestFit="1" customWidth="1"/>
    <col min="6" max="6" width="15.6640625" style="237" bestFit="1" customWidth="1"/>
    <col min="7" max="7" width="15.6640625" style="237" customWidth="1"/>
    <col min="8" max="8" width="4.109375" style="237" bestFit="1" customWidth="1"/>
    <col min="9" max="9" width="16.44140625" style="237" bestFit="1" customWidth="1"/>
    <col min="10" max="10" width="15.109375" style="237" bestFit="1" customWidth="1"/>
    <col min="11" max="11" width="13.109375" style="237" bestFit="1" customWidth="1"/>
    <col min="12" max="12" width="15.6640625" style="237" bestFit="1" customWidth="1"/>
    <col min="13" max="13" width="15.6640625" style="237" customWidth="1"/>
    <col min="14" max="14" width="2" style="237" customWidth="1"/>
    <col min="15" max="15" width="3.33203125" style="237" customWidth="1"/>
    <col min="16" max="16" width="15" style="237" bestFit="1" customWidth="1"/>
    <col min="17" max="17" width="2.44140625" style="237" customWidth="1"/>
    <col min="18" max="18" width="1" style="237" customWidth="1"/>
    <col min="19" max="19" width="4.5546875" style="237" bestFit="1" customWidth="1"/>
    <col min="20" max="24" width="11.6640625" style="237" customWidth="1"/>
    <col min="25" max="25" width="4.5546875" style="237" bestFit="1" customWidth="1"/>
    <col min="26" max="30" width="11.6640625" style="237" customWidth="1"/>
    <col min="31" max="31" width="2.33203125" style="237" customWidth="1"/>
    <col min="32" max="36" width="11.6640625" style="237" customWidth="1"/>
    <col min="37" max="37" width="4.5546875" style="131" bestFit="1" customWidth="1"/>
    <col min="38" max="42" width="11.6640625" style="237" customWidth="1"/>
    <col min="43" max="43" width="4.5546875" style="131" bestFit="1" customWidth="1"/>
    <col min="44" max="44" width="3.44140625" style="237" customWidth="1"/>
    <col min="45" max="45" width="15" style="237" bestFit="1" customWidth="1"/>
    <col min="46" max="46" width="3.44140625" style="237" customWidth="1"/>
    <col min="47" max="47" width="1.5546875" style="237" customWidth="1"/>
    <col min="48" max="48" width="16.44140625" style="237" bestFit="1" customWidth="1"/>
    <col min="49" max="49" width="15.109375" style="237" bestFit="1" customWidth="1"/>
    <col min="50" max="50" width="13.109375" style="237" bestFit="1" customWidth="1"/>
    <col min="51" max="51" width="15.6640625" style="237" bestFit="1" customWidth="1"/>
    <col min="52" max="52" width="15.6640625" style="237" customWidth="1"/>
    <col min="53" max="53" width="4.33203125" style="237" customWidth="1"/>
    <col min="54" max="54" width="16.44140625" style="237" bestFit="1" customWidth="1"/>
    <col min="55" max="55" width="15.109375" style="237" bestFit="1" customWidth="1"/>
    <col min="56" max="56" width="13.109375" style="237" bestFit="1" customWidth="1"/>
    <col min="57" max="57" width="15.6640625" style="237" bestFit="1" customWidth="1"/>
    <col min="58" max="58" width="15.6640625" style="237" customWidth="1"/>
    <col min="59" max="59" width="4.109375" style="237" bestFit="1" customWidth="1"/>
    <col min="60" max="16384" width="9.109375" style="237"/>
  </cols>
  <sheetData>
    <row r="1" spans="2:60" ht="15" customHeight="1" x14ac:dyDescent="0.3">
      <c r="B1" s="295"/>
      <c r="C1" s="826" t="s">
        <v>521</v>
      </c>
      <c r="D1" s="827"/>
      <c r="E1" s="827"/>
      <c r="F1" s="827"/>
      <c r="G1" s="827"/>
      <c r="H1" s="827"/>
      <c r="I1" s="827"/>
      <c r="J1" s="827"/>
      <c r="K1" s="827"/>
      <c r="L1" s="827"/>
      <c r="M1" s="827"/>
      <c r="N1" s="235"/>
      <c r="O1" s="827" t="s">
        <v>541</v>
      </c>
      <c r="P1" s="827"/>
      <c r="Q1" s="827"/>
      <c r="R1" s="236"/>
      <c r="S1" s="236"/>
      <c r="T1" s="826" t="s">
        <v>545</v>
      </c>
      <c r="U1" s="827"/>
      <c r="V1" s="827"/>
      <c r="W1" s="827"/>
      <c r="X1" s="827"/>
      <c r="Y1" s="827"/>
      <c r="Z1" s="827"/>
      <c r="AA1" s="827"/>
      <c r="AB1" s="827"/>
      <c r="AC1" s="827"/>
      <c r="AD1" s="827"/>
      <c r="AE1" s="236"/>
      <c r="AF1" s="827" t="s">
        <v>214</v>
      </c>
      <c r="AG1" s="827"/>
      <c r="AH1" s="827"/>
      <c r="AI1" s="827"/>
      <c r="AJ1" s="827"/>
      <c r="AK1" s="827"/>
      <c r="AL1" s="827"/>
      <c r="AM1" s="827"/>
      <c r="AN1" s="827"/>
      <c r="AO1" s="827"/>
      <c r="AP1" s="827"/>
      <c r="AQ1" s="368"/>
      <c r="AR1" s="827" t="s">
        <v>496</v>
      </c>
      <c r="AS1" s="827"/>
      <c r="AT1" s="827"/>
      <c r="AU1" s="236"/>
      <c r="AV1" s="826" t="s">
        <v>197</v>
      </c>
      <c r="AW1" s="827"/>
      <c r="AX1" s="827"/>
      <c r="AY1" s="827"/>
      <c r="AZ1" s="827"/>
      <c r="BA1" s="827"/>
      <c r="BB1" s="827"/>
      <c r="BC1" s="827"/>
      <c r="BD1" s="827"/>
      <c r="BE1" s="827"/>
      <c r="BF1" s="827"/>
      <c r="BG1" s="236"/>
    </row>
    <row r="2" spans="2:60" ht="15.75" customHeight="1" thickBot="1" x14ac:dyDescent="0.35">
      <c r="B2" s="296"/>
      <c r="C2" s="827" t="s">
        <v>467</v>
      </c>
      <c r="D2" s="827"/>
      <c r="E2" s="827"/>
      <c r="F2" s="939"/>
      <c r="G2" s="342"/>
      <c r="H2" s="296"/>
      <c r="I2" s="827" t="s">
        <v>468</v>
      </c>
      <c r="J2" s="827"/>
      <c r="K2" s="827"/>
      <c r="L2" s="827"/>
      <c r="M2" s="342"/>
      <c r="N2" s="235"/>
      <c r="O2" s="827"/>
      <c r="P2" s="827"/>
      <c r="Q2" s="827"/>
      <c r="R2" s="236"/>
      <c r="S2" s="296"/>
      <c r="T2" s="915" t="s">
        <v>467</v>
      </c>
      <c r="U2" s="915"/>
      <c r="V2" s="915"/>
      <c r="W2" s="915"/>
      <c r="X2" s="342"/>
      <c r="Y2" s="342"/>
      <c r="Z2" s="915" t="s">
        <v>360</v>
      </c>
      <c r="AA2" s="915"/>
      <c r="AB2" s="915"/>
      <c r="AC2" s="915"/>
      <c r="AD2" s="342"/>
      <c r="AE2" s="236"/>
      <c r="AF2" s="915" t="s">
        <v>354</v>
      </c>
      <c r="AG2" s="915"/>
      <c r="AH2" s="915"/>
      <c r="AI2" s="915"/>
      <c r="AJ2" s="527"/>
      <c r="AK2" s="351"/>
      <c r="AL2" s="915" t="s">
        <v>360</v>
      </c>
      <c r="AM2" s="915"/>
      <c r="AN2" s="915"/>
      <c r="AO2" s="915"/>
      <c r="AP2" s="342"/>
      <c r="AQ2" s="368"/>
      <c r="AR2" s="827"/>
      <c r="AS2" s="827"/>
      <c r="AT2" s="827"/>
      <c r="AU2" s="236"/>
      <c r="AV2" s="827" t="s">
        <v>354</v>
      </c>
      <c r="AW2" s="827"/>
      <c r="AX2" s="827"/>
      <c r="AY2" s="939"/>
      <c r="AZ2" s="342"/>
      <c r="BA2" s="296"/>
      <c r="BB2" s="827" t="s">
        <v>360</v>
      </c>
      <c r="BC2" s="827"/>
      <c r="BD2" s="827"/>
      <c r="BE2" s="827"/>
      <c r="BF2" s="342"/>
      <c r="BG2" s="236"/>
    </row>
    <row r="3" spans="2:60" ht="15" thickBot="1" x14ac:dyDescent="0.35">
      <c r="B3" s="247" t="s">
        <v>192</v>
      </c>
      <c r="C3" s="297" t="s">
        <v>219</v>
      </c>
      <c r="D3" s="231" t="s">
        <v>220</v>
      </c>
      <c r="E3" s="231" t="s">
        <v>332</v>
      </c>
      <c r="F3" s="231" t="s">
        <v>333</v>
      </c>
      <c r="G3" s="231" t="s">
        <v>535</v>
      </c>
      <c r="H3" s="247" t="s">
        <v>192</v>
      </c>
      <c r="I3" s="297" t="s">
        <v>219</v>
      </c>
      <c r="J3" s="231" t="s">
        <v>220</v>
      </c>
      <c r="K3" s="231" t="s">
        <v>332</v>
      </c>
      <c r="L3" s="231" t="s">
        <v>333</v>
      </c>
      <c r="M3" s="231" t="s">
        <v>535</v>
      </c>
      <c r="N3" s="498"/>
      <c r="O3" s="499"/>
      <c r="P3" s="231" t="s">
        <v>467</v>
      </c>
      <c r="Q3" s="236"/>
      <c r="R3" s="236"/>
      <c r="S3" s="242" t="s">
        <v>191</v>
      </c>
      <c r="T3" s="243" t="s">
        <v>217</v>
      </c>
      <c r="U3" s="243" t="s">
        <v>218</v>
      </c>
      <c r="V3" s="243" t="s">
        <v>330</v>
      </c>
      <c r="W3" s="244" t="s">
        <v>331</v>
      </c>
      <c r="X3" s="350" t="s">
        <v>536</v>
      </c>
      <c r="Y3" s="350"/>
      <c r="Z3" s="243" t="s">
        <v>217</v>
      </c>
      <c r="AA3" s="243" t="s">
        <v>218</v>
      </c>
      <c r="AB3" s="243" t="s">
        <v>330</v>
      </c>
      <c r="AC3" s="244" t="s">
        <v>331</v>
      </c>
      <c r="AD3" s="350" t="s">
        <v>536</v>
      </c>
      <c r="AE3" s="499"/>
      <c r="AF3" s="243" t="s">
        <v>217</v>
      </c>
      <c r="AG3" s="243" t="s">
        <v>218</v>
      </c>
      <c r="AH3" s="243" t="s">
        <v>330</v>
      </c>
      <c r="AI3" s="244" t="s">
        <v>331</v>
      </c>
      <c r="AJ3" s="350" t="s">
        <v>536</v>
      </c>
      <c r="AK3" s="360" t="s">
        <v>191</v>
      </c>
      <c r="AL3" s="243" t="s">
        <v>217</v>
      </c>
      <c r="AM3" s="243" t="s">
        <v>218</v>
      </c>
      <c r="AN3" s="243" t="s">
        <v>330</v>
      </c>
      <c r="AO3" s="244" t="s">
        <v>331</v>
      </c>
      <c r="AP3" s="350" t="s">
        <v>536</v>
      </c>
      <c r="AQ3" s="360" t="s">
        <v>191</v>
      </c>
      <c r="AR3" s="236"/>
      <c r="AS3" s="231" t="s">
        <v>467</v>
      </c>
      <c r="AT3" s="236"/>
      <c r="AU3" s="236"/>
      <c r="AV3" s="297" t="s">
        <v>219</v>
      </c>
      <c r="AW3" s="231" t="s">
        <v>220</v>
      </c>
      <c r="AX3" s="231" t="s">
        <v>332</v>
      </c>
      <c r="AY3" s="231" t="s">
        <v>333</v>
      </c>
      <c r="AZ3" s="231" t="s">
        <v>535</v>
      </c>
      <c r="BA3" s="247" t="s">
        <v>192</v>
      </c>
      <c r="BB3" s="297" t="s">
        <v>219</v>
      </c>
      <c r="BC3" s="231" t="s">
        <v>220</v>
      </c>
      <c r="BD3" s="231" t="s">
        <v>332</v>
      </c>
      <c r="BE3" s="231" t="s">
        <v>333</v>
      </c>
      <c r="BF3" s="231" t="s">
        <v>535</v>
      </c>
      <c r="BG3" s="236"/>
    </row>
    <row r="4" spans="2:60" ht="15" thickBot="1" x14ac:dyDescent="0.35">
      <c r="B4" s="256">
        <v>1</v>
      </c>
      <c r="C4" s="257" t="str">
        <f t="shared" ref="C4:G18" si="0">T4</f>
        <v>N/A</v>
      </c>
      <c r="D4" s="257" t="str">
        <f t="shared" si="0"/>
        <v>N/A</v>
      </c>
      <c r="E4" s="257" t="str">
        <f t="shared" si="0"/>
        <v>N/A</v>
      </c>
      <c r="F4" s="257" t="str">
        <f t="shared" si="0"/>
        <v>N/A</v>
      </c>
      <c r="G4" s="257" t="str">
        <f t="shared" si="0"/>
        <v>N/A</v>
      </c>
      <c r="H4" s="357">
        <v>1</v>
      </c>
      <c r="I4" s="257" t="str">
        <f>Z4</f>
        <v>N/A</v>
      </c>
      <c r="J4" s="257" t="str">
        <f>AA4</f>
        <v>N/A</v>
      </c>
      <c r="K4" s="257" t="str">
        <f>AB4</f>
        <v>N/A</v>
      </c>
      <c r="L4" s="257" t="str">
        <f>AC4</f>
        <v>N/A</v>
      </c>
      <c r="M4" s="257" t="str">
        <f t="shared" ref="M4:M18" si="1">AD4</f>
        <v>N/A</v>
      </c>
      <c r="N4" s="500"/>
      <c r="O4" s="298" t="s">
        <v>469</v>
      </c>
      <c r="P4" s="299">
        <f>D59</f>
        <v>0</v>
      </c>
      <c r="Q4" s="298" t="s">
        <v>520</v>
      </c>
      <c r="R4" s="236"/>
      <c r="S4" s="256">
        <v>1</v>
      </c>
      <c r="T4" s="246" t="s">
        <v>336</v>
      </c>
      <c r="U4" s="246" t="s">
        <v>336</v>
      </c>
      <c r="V4" s="246" t="s">
        <v>336</v>
      </c>
      <c r="W4" s="246" t="s">
        <v>336</v>
      </c>
      <c r="X4" s="246" t="s">
        <v>336</v>
      </c>
      <c r="Y4" s="369">
        <v>1</v>
      </c>
      <c r="Z4" s="246" t="s">
        <v>336</v>
      </c>
      <c r="AA4" s="246" t="s">
        <v>336</v>
      </c>
      <c r="AB4" s="246" t="s">
        <v>336</v>
      </c>
      <c r="AC4" s="503" t="s">
        <v>336</v>
      </c>
      <c r="AD4" s="503" t="s">
        <v>336</v>
      </c>
      <c r="AE4" s="499"/>
      <c r="AF4" s="246" t="s">
        <v>336</v>
      </c>
      <c r="AG4" s="246" t="s">
        <v>336</v>
      </c>
      <c r="AH4" s="246" t="s">
        <v>336</v>
      </c>
      <c r="AI4" s="246" t="s">
        <v>336</v>
      </c>
      <c r="AJ4" s="246" t="s">
        <v>336</v>
      </c>
      <c r="AK4" s="361">
        <v>1</v>
      </c>
      <c r="AL4" s="246" t="s">
        <v>336</v>
      </c>
      <c r="AM4" s="246" t="s">
        <v>336</v>
      </c>
      <c r="AN4" s="246" t="s">
        <v>336</v>
      </c>
      <c r="AO4" s="246" t="s">
        <v>336</v>
      </c>
      <c r="AP4" s="246" t="s">
        <v>336</v>
      </c>
      <c r="AQ4" s="369">
        <v>1</v>
      </c>
      <c r="AR4" s="298" t="s">
        <v>469</v>
      </c>
      <c r="AS4" s="299">
        <f>AW59</f>
        <v>0</v>
      </c>
      <c r="AT4" s="298" t="s">
        <v>520</v>
      </c>
      <c r="AU4" s="236"/>
      <c r="AV4" s="257" t="str">
        <f>AF4</f>
        <v>N/A</v>
      </c>
      <c r="AW4" s="257" t="str">
        <f>AG4</f>
        <v>N/A</v>
      </c>
      <c r="AX4" s="257" t="str">
        <f>AH4</f>
        <v>N/A</v>
      </c>
      <c r="AY4" s="257" t="str">
        <f>AI4</f>
        <v>N/A</v>
      </c>
      <c r="AZ4" s="257" t="str">
        <f>AJ4</f>
        <v>N/A</v>
      </c>
      <c r="BA4" s="256">
        <v>1</v>
      </c>
      <c r="BB4" s="257" t="str">
        <f>AL4</f>
        <v>N/A</v>
      </c>
      <c r="BC4" s="257" t="str">
        <f t="shared" ref="BC4:BF18" si="2">AM4</f>
        <v>N/A</v>
      </c>
      <c r="BD4" s="257" t="str">
        <f t="shared" si="2"/>
        <v>N/A</v>
      </c>
      <c r="BE4" s="257" t="str">
        <f t="shared" si="2"/>
        <v>N/A</v>
      </c>
      <c r="BF4" s="257" t="str">
        <f t="shared" si="2"/>
        <v>N/A</v>
      </c>
      <c r="BG4" s="369">
        <v>1</v>
      </c>
    </row>
    <row r="5" spans="2:60" ht="15" thickBot="1" x14ac:dyDescent="0.35">
      <c r="B5" s="264">
        <v>2</v>
      </c>
      <c r="C5" s="265" t="str">
        <f t="shared" si="0"/>
        <v>N/A</v>
      </c>
      <c r="D5" s="265" t="str">
        <f t="shared" si="0"/>
        <v>N/A</v>
      </c>
      <c r="E5" s="265" t="str">
        <f t="shared" si="0"/>
        <v>N/A</v>
      </c>
      <c r="F5" s="265" t="str">
        <f t="shared" si="0"/>
        <v>N/A</v>
      </c>
      <c r="G5" s="265" t="str">
        <f t="shared" si="0"/>
        <v>N/A</v>
      </c>
      <c r="H5" s="358">
        <v>2</v>
      </c>
      <c r="I5" s="265" t="str">
        <f>Z5</f>
        <v>N/A</v>
      </c>
      <c r="J5" s="265" t="str">
        <f t="shared" ref="J5:L18" si="3">AA5</f>
        <v>N/A</v>
      </c>
      <c r="K5" s="265" t="str">
        <f t="shared" si="3"/>
        <v>N/A</v>
      </c>
      <c r="L5" s="265" t="str">
        <f t="shared" si="3"/>
        <v>N/A</v>
      </c>
      <c r="M5" s="265" t="str">
        <f t="shared" si="1"/>
        <v>N/A</v>
      </c>
      <c r="N5" s="501"/>
      <c r="O5" s="298" t="s">
        <v>476</v>
      </c>
      <c r="P5" s="299">
        <f>D65</f>
        <v>0</v>
      </c>
      <c r="Q5" s="298" t="s">
        <v>519</v>
      </c>
      <c r="R5" s="236"/>
      <c r="S5" s="264">
        <v>2</v>
      </c>
      <c r="T5" s="254" t="s">
        <v>336</v>
      </c>
      <c r="U5" s="254" t="s">
        <v>336</v>
      </c>
      <c r="V5" s="254" t="s">
        <v>336</v>
      </c>
      <c r="W5" s="255" t="s">
        <v>336</v>
      </c>
      <c r="X5" s="255" t="s">
        <v>336</v>
      </c>
      <c r="Y5" s="370">
        <v>2</v>
      </c>
      <c r="Z5" s="254" t="s">
        <v>336</v>
      </c>
      <c r="AA5" s="255" t="s">
        <v>336</v>
      </c>
      <c r="AB5" s="254" t="s">
        <v>336</v>
      </c>
      <c r="AC5" s="504" t="s">
        <v>336</v>
      </c>
      <c r="AD5" s="504" t="s">
        <v>336</v>
      </c>
      <c r="AE5" s="499"/>
      <c r="AF5" s="254" t="s">
        <v>336</v>
      </c>
      <c r="AG5" s="254" t="s">
        <v>336</v>
      </c>
      <c r="AH5" s="254" t="s">
        <v>336</v>
      </c>
      <c r="AI5" s="255" t="s">
        <v>336</v>
      </c>
      <c r="AJ5" s="255" t="s">
        <v>336</v>
      </c>
      <c r="AK5" s="362">
        <v>2</v>
      </c>
      <c r="AL5" s="254" t="s">
        <v>336</v>
      </c>
      <c r="AM5" s="254" t="s">
        <v>336</v>
      </c>
      <c r="AN5" s="254" t="s">
        <v>336</v>
      </c>
      <c r="AO5" s="255" t="s">
        <v>336</v>
      </c>
      <c r="AP5" s="255" t="s">
        <v>336</v>
      </c>
      <c r="AQ5" s="370">
        <v>2</v>
      </c>
      <c r="AR5" s="298" t="s">
        <v>476</v>
      </c>
      <c r="AS5" s="299">
        <f>AW65</f>
        <v>0</v>
      </c>
      <c r="AT5" s="298" t="s">
        <v>519</v>
      </c>
      <c r="AU5" s="236"/>
      <c r="AV5" s="265" t="str">
        <f>AF5</f>
        <v>N/A</v>
      </c>
      <c r="AW5" s="265" t="str">
        <f t="shared" ref="AW5:AZ18" si="4">AG5</f>
        <v>N/A</v>
      </c>
      <c r="AX5" s="265" t="str">
        <f t="shared" si="4"/>
        <v>N/A</v>
      </c>
      <c r="AY5" s="265" t="str">
        <f t="shared" si="4"/>
        <v>N/A</v>
      </c>
      <c r="AZ5" s="265" t="str">
        <f t="shared" si="4"/>
        <v>N/A</v>
      </c>
      <c r="BA5" s="264">
        <v>2</v>
      </c>
      <c r="BB5" s="265" t="str">
        <f t="shared" ref="BB5:BB18" si="5">AL5</f>
        <v>N/A</v>
      </c>
      <c r="BC5" s="265" t="str">
        <f t="shared" si="2"/>
        <v>N/A</v>
      </c>
      <c r="BD5" s="265" t="str">
        <f t="shared" si="2"/>
        <v>N/A</v>
      </c>
      <c r="BE5" s="265" t="str">
        <f t="shared" si="2"/>
        <v>N/A</v>
      </c>
      <c r="BF5" s="265" t="str">
        <f t="shared" si="2"/>
        <v>N/A</v>
      </c>
      <c r="BG5" s="369">
        <v>2</v>
      </c>
    </row>
    <row r="6" spans="2:60" ht="15" thickBot="1" x14ac:dyDescent="0.35">
      <c r="B6" s="256">
        <v>3</v>
      </c>
      <c r="C6" s="257" t="str">
        <f t="shared" si="0"/>
        <v>N/A</v>
      </c>
      <c r="D6" s="257" t="str">
        <f t="shared" si="0"/>
        <v>N/A</v>
      </c>
      <c r="E6" s="257" t="str">
        <f t="shared" si="0"/>
        <v>N/A</v>
      </c>
      <c r="F6" s="257" t="str">
        <f t="shared" si="0"/>
        <v>N/A</v>
      </c>
      <c r="G6" s="257" t="str">
        <f t="shared" si="0"/>
        <v>N/A</v>
      </c>
      <c r="H6" s="357">
        <v>3</v>
      </c>
      <c r="I6" s="359" t="str">
        <f t="shared" ref="I6:I18" si="6">Z6</f>
        <v>N/A</v>
      </c>
      <c r="J6" s="359" t="str">
        <f t="shared" si="3"/>
        <v>N/A</v>
      </c>
      <c r="K6" s="359" t="str">
        <f t="shared" si="3"/>
        <v>N/A</v>
      </c>
      <c r="L6" s="359" t="str">
        <f t="shared" si="3"/>
        <v>N/A</v>
      </c>
      <c r="M6" s="257" t="str">
        <f t="shared" si="1"/>
        <v>N/A</v>
      </c>
      <c r="N6" s="502"/>
      <c r="O6" s="298" t="s">
        <v>477</v>
      </c>
      <c r="P6" s="299">
        <f>D71</f>
        <v>0</v>
      </c>
      <c r="Q6" s="298" t="s">
        <v>518</v>
      </c>
      <c r="R6" s="236"/>
      <c r="S6" s="256">
        <v>3</v>
      </c>
      <c r="T6" s="246" t="s">
        <v>336</v>
      </c>
      <c r="U6" s="246" t="s">
        <v>336</v>
      </c>
      <c r="V6" s="246" t="s">
        <v>336</v>
      </c>
      <c r="W6" s="246" t="s">
        <v>336</v>
      </c>
      <c r="X6" s="246" t="s">
        <v>336</v>
      </c>
      <c r="Y6" s="369">
        <v>3</v>
      </c>
      <c r="Z6" s="246" t="s">
        <v>336</v>
      </c>
      <c r="AA6" s="246" t="s">
        <v>336</v>
      </c>
      <c r="AB6" s="246" t="s">
        <v>336</v>
      </c>
      <c r="AC6" s="503" t="s">
        <v>336</v>
      </c>
      <c r="AD6" s="503" t="s">
        <v>336</v>
      </c>
      <c r="AE6" s="499"/>
      <c r="AF6" s="246" t="s">
        <v>336</v>
      </c>
      <c r="AG6" s="246" t="s">
        <v>336</v>
      </c>
      <c r="AH6" s="246" t="s">
        <v>336</v>
      </c>
      <c r="AI6" s="246" t="s">
        <v>336</v>
      </c>
      <c r="AJ6" s="246" t="s">
        <v>336</v>
      </c>
      <c r="AK6" s="361">
        <v>3</v>
      </c>
      <c r="AL6" s="246" t="s">
        <v>336</v>
      </c>
      <c r="AM6" s="246" t="s">
        <v>336</v>
      </c>
      <c r="AN6" s="246" t="s">
        <v>336</v>
      </c>
      <c r="AO6" s="246" t="s">
        <v>336</v>
      </c>
      <c r="AP6" s="246" t="s">
        <v>336</v>
      </c>
      <c r="AQ6" s="369">
        <v>3</v>
      </c>
      <c r="AR6" s="298" t="s">
        <v>477</v>
      </c>
      <c r="AS6" s="299">
        <f>AW71</f>
        <v>0</v>
      </c>
      <c r="AT6" s="298" t="s">
        <v>518</v>
      </c>
      <c r="AU6" s="236"/>
      <c r="AV6" s="257" t="str">
        <f>AF6</f>
        <v>N/A</v>
      </c>
      <c r="AW6" s="257" t="str">
        <f t="shared" si="4"/>
        <v>N/A</v>
      </c>
      <c r="AX6" s="257" t="str">
        <f t="shared" si="4"/>
        <v>N/A</v>
      </c>
      <c r="AY6" s="257" t="str">
        <f t="shared" si="4"/>
        <v>N/A</v>
      </c>
      <c r="AZ6" s="257" t="str">
        <f t="shared" si="4"/>
        <v>N/A</v>
      </c>
      <c r="BA6" s="256">
        <v>3</v>
      </c>
      <c r="BB6" s="257" t="str">
        <f t="shared" si="5"/>
        <v>N/A</v>
      </c>
      <c r="BC6" s="257" t="str">
        <f t="shared" si="2"/>
        <v>N/A</v>
      </c>
      <c r="BD6" s="257" t="str">
        <f t="shared" si="2"/>
        <v>N/A</v>
      </c>
      <c r="BE6" s="257" t="str">
        <f t="shared" si="2"/>
        <v>N/A</v>
      </c>
      <c r="BF6" s="257" t="str">
        <f t="shared" si="2"/>
        <v>N/A</v>
      </c>
      <c r="BG6" s="370">
        <v>3</v>
      </c>
    </row>
    <row r="7" spans="2:60" ht="15" thickBot="1" x14ac:dyDescent="0.35">
      <c r="B7" s="264">
        <v>4</v>
      </c>
      <c r="C7" s="265" t="str">
        <f t="shared" si="0"/>
        <v>N/A</v>
      </c>
      <c r="D7" s="265" t="str">
        <f t="shared" si="0"/>
        <v>N/A</v>
      </c>
      <c r="E7" s="265" t="str">
        <f t="shared" si="0"/>
        <v>N/A</v>
      </c>
      <c r="F7" s="265" t="str">
        <f t="shared" si="0"/>
        <v>N/A</v>
      </c>
      <c r="G7" s="265" t="str">
        <f t="shared" si="0"/>
        <v>N/A</v>
      </c>
      <c r="H7" s="358">
        <v>4</v>
      </c>
      <c r="I7" s="265" t="str">
        <f t="shared" si="6"/>
        <v>N/A</v>
      </c>
      <c r="J7" s="265" t="str">
        <f t="shared" si="3"/>
        <v>N/A</v>
      </c>
      <c r="K7" s="265" t="str">
        <f t="shared" si="3"/>
        <v>N/A</v>
      </c>
      <c r="L7" s="265" t="str">
        <f t="shared" si="3"/>
        <v>N/A</v>
      </c>
      <c r="M7" s="265" t="str">
        <f t="shared" si="1"/>
        <v>N/A</v>
      </c>
      <c r="N7" s="502"/>
      <c r="O7" s="341"/>
      <c r="P7" s="236"/>
      <c r="Q7" s="236"/>
      <c r="R7" s="236"/>
      <c r="S7" s="264">
        <v>4</v>
      </c>
      <c r="T7" s="254" t="s">
        <v>336</v>
      </c>
      <c r="U7" s="254" t="s">
        <v>336</v>
      </c>
      <c r="V7" s="254" t="s">
        <v>336</v>
      </c>
      <c r="W7" s="254" t="s">
        <v>336</v>
      </c>
      <c r="X7" s="254" t="s">
        <v>336</v>
      </c>
      <c r="Y7" s="370">
        <v>4</v>
      </c>
      <c r="Z7" s="254" t="s">
        <v>336</v>
      </c>
      <c r="AA7" s="254" t="s">
        <v>336</v>
      </c>
      <c r="AB7" s="254" t="s">
        <v>336</v>
      </c>
      <c r="AC7" s="504" t="s">
        <v>336</v>
      </c>
      <c r="AD7" s="504" t="s">
        <v>336</v>
      </c>
      <c r="AE7" s="499"/>
      <c r="AF7" s="254" t="s">
        <v>336</v>
      </c>
      <c r="AG7" s="254" t="s">
        <v>336</v>
      </c>
      <c r="AH7" s="254" t="s">
        <v>336</v>
      </c>
      <c r="AI7" s="254" t="s">
        <v>336</v>
      </c>
      <c r="AJ7" s="254" t="s">
        <v>336</v>
      </c>
      <c r="AK7" s="362">
        <v>4</v>
      </c>
      <c r="AL7" s="254" t="s">
        <v>336</v>
      </c>
      <c r="AM7" s="254" t="s">
        <v>336</v>
      </c>
      <c r="AN7" s="254" t="s">
        <v>336</v>
      </c>
      <c r="AO7" s="254" t="s">
        <v>336</v>
      </c>
      <c r="AP7" s="254" t="s">
        <v>336</v>
      </c>
      <c r="AQ7" s="370">
        <v>4</v>
      </c>
      <c r="AR7" s="236"/>
      <c r="AS7" s="236"/>
      <c r="AT7" s="236"/>
      <c r="AU7" s="236"/>
      <c r="AV7" s="265" t="str">
        <f t="shared" ref="AV7:AV18" si="7">AF7</f>
        <v>N/A</v>
      </c>
      <c r="AW7" s="265" t="str">
        <f t="shared" si="4"/>
        <v>N/A</v>
      </c>
      <c r="AX7" s="265" t="str">
        <f t="shared" si="4"/>
        <v>N/A</v>
      </c>
      <c r="AY7" s="265" t="str">
        <f t="shared" si="4"/>
        <v>N/A</v>
      </c>
      <c r="AZ7" s="265" t="str">
        <f t="shared" si="4"/>
        <v>N/A</v>
      </c>
      <c r="BA7" s="264">
        <v>4</v>
      </c>
      <c r="BB7" s="265" t="str">
        <f t="shared" si="5"/>
        <v>N/A</v>
      </c>
      <c r="BC7" s="265" t="str">
        <f t="shared" si="2"/>
        <v>N/A</v>
      </c>
      <c r="BD7" s="265" t="str">
        <f t="shared" si="2"/>
        <v>N/A</v>
      </c>
      <c r="BE7" s="265" t="str">
        <f t="shared" si="2"/>
        <v>N/A</v>
      </c>
      <c r="BF7" s="265" t="str">
        <f t="shared" si="2"/>
        <v>N/A</v>
      </c>
      <c r="BG7" s="369">
        <v>4</v>
      </c>
    </row>
    <row r="8" spans="2:60" ht="15" thickBot="1" x14ac:dyDescent="0.35">
      <c r="B8" s="256">
        <v>5</v>
      </c>
      <c r="C8" s="257" t="str">
        <f t="shared" si="0"/>
        <v>N/A</v>
      </c>
      <c r="D8" s="257" t="str">
        <f t="shared" si="0"/>
        <v>N/A</v>
      </c>
      <c r="E8" s="257" t="str">
        <f t="shared" si="0"/>
        <v>N/A</v>
      </c>
      <c r="F8" s="257" t="str">
        <f t="shared" si="0"/>
        <v>N/A</v>
      </c>
      <c r="G8" s="257" t="str">
        <f t="shared" si="0"/>
        <v>N/A</v>
      </c>
      <c r="H8" s="357">
        <v>5</v>
      </c>
      <c r="I8" s="359" t="str">
        <f t="shared" si="6"/>
        <v>N/A</v>
      </c>
      <c r="J8" s="359" t="str">
        <f t="shared" si="3"/>
        <v>N/A</v>
      </c>
      <c r="K8" s="359" t="str">
        <f t="shared" si="3"/>
        <v>N/A</v>
      </c>
      <c r="L8" s="359" t="str">
        <f t="shared" si="3"/>
        <v>N/A</v>
      </c>
      <c r="M8" s="257" t="str">
        <f t="shared" si="1"/>
        <v>N/A</v>
      </c>
      <c r="N8" s="502"/>
      <c r="O8" s="341"/>
      <c r="P8" s="231" t="s">
        <v>468</v>
      </c>
      <c r="Q8" s="236"/>
      <c r="R8" s="236"/>
      <c r="S8" s="256">
        <v>5</v>
      </c>
      <c r="T8" s="246" t="s">
        <v>336</v>
      </c>
      <c r="U8" s="246" t="s">
        <v>336</v>
      </c>
      <c r="V8" s="246" t="s">
        <v>336</v>
      </c>
      <c r="W8" s="246" t="s">
        <v>336</v>
      </c>
      <c r="X8" s="246" t="s">
        <v>336</v>
      </c>
      <c r="Y8" s="369">
        <v>5</v>
      </c>
      <c r="Z8" s="246" t="s">
        <v>336</v>
      </c>
      <c r="AA8" s="246" t="s">
        <v>336</v>
      </c>
      <c r="AB8" s="246" t="s">
        <v>336</v>
      </c>
      <c r="AC8" s="503" t="s">
        <v>336</v>
      </c>
      <c r="AD8" s="503" t="s">
        <v>336</v>
      </c>
      <c r="AE8" s="499"/>
      <c r="AF8" s="246" t="s">
        <v>336</v>
      </c>
      <c r="AG8" s="246" t="s">
        <v>336</v>
      </c>
      <c r="AH8" s="246" t="s">
        <v>336</v>
      </c>
      <c r="AI8" s="246" t="s">
        <v>336</v>
      </c>
      <c r="AJ8" s="246" t="s">
        <v>336</v>
      </c>
      <c r="AK8" s="361">
        <v>5</v>
      </c>
      <c r="AL8" s="246" t="s">
        <v>336</v>
      </c>
      <c r="AM8" s="246" t="s">
        <v>336</v>
      </c>
      <c r="AN8" s="246" t="s">
        <v>336</v>
      </c>
      <c r="AO8" s="246" t="s">
        <v>336</v>
      </c>
      <c r="AP8" s="246" t="s">
        <v>336</v>
      </c>
      <c r="AQ8" s="369">
        <v>5</v>
      </c>
      <c r="AR8" s="236"/>
      <c r="AS8" s="231" t="s">
        <v>467</v>
      </c>
      <c r="AT8" s="236"/>
      <c r="AU8" s="236"/>
      <c r="AV8" s="257" t="str">
        <f t="shared" si="7"/>
        <v>N/A</v>
      </c>
      <c r="AW8" s="257" t="str">
        <f t="shared" si="4"/>
        <v>N/A</v>
      </c>
      <c r="AX8" s="257" t="str">
        <f t="shared" si="4"/>
        <v>N/A</v>
      </c>
      <c r="AY8" s="257" t="str">
        <f t="shared" si="4"/>
        <v>N/A</v>
      </c>
      <c r="AZ8" s="257" t="str">
        <f t="shared" si="4"/>
        <v>N/A</v>
      </c>
      <c r="BA8" s="256">
        <v>5</v>
      </c>
      <c r="BB8" s="257" t="str">
        <f t="shared" si="5"/>
        <v>N/A</v>
      </c>
      <c r="BC8" s="257" t="str">
        <f t="shared" si="2"/>
        <v>N/A</v>
      </c>
      <c r="BD8" s="257" t="str">
        <f t="shared" si="2"/>
        <v>N/A</v>
      </c>
      <c r="BE8" s="257" t="str">
        <f t="shared" si="2"/>
        <v>N/A</v>
      </c>
      <c r="BF8" s="257" t="str">
        <f t="shared" si="2"/>
        <v>N/A</v>
      </c>
      <c r="BG8" s="370">
        <v>5</v>
      </c>
    </row>
    <row r="9" spans="2:60" ht="16.2" thickBot="1" x14ac:dyDescent="0.35">
      <c r="B9" s="264">
        <v>6</v>
      </c>
      <c r="C9" s="265" t="str">
        <f t="shared" si="0"/>
        <v>N/A</v>
      </c>
      <c r="D9" s="265" t="str">
        <f t="shared" si="0"/>
        <v>N/A</v>
      </c>
      <c r="E9" s="265" t="str">
        <f t="shared" si="0"/>
        <v>N/A</v>
      </c>
      <c r="F9" s="265" t="str">
        <f t="shared" si="0"/>
        <v>N/A</v>
      </c>
      <c r="G9" s="265" t="str">
        <f t="shared" si="0"/>
        <v>N/A</v>
      </c>
      <c r="H9" s="358">
        <v>6</v>
      </c>
      <c r="I9" s="265" t="str">
        <f t="shared" si="6"/>
        <v>N/A</v>
      </c>
      <c r="J9" s="265" t="str">
        <f t="shared" si="3"/>
        <v>N/A</v>
      </c>
      <c r="K9" s="265" t="str">
        <f t="shared" si="3"/>
        <v>N/A</v>
      </c>
      <c r="L9" s="265" t="str">
        <f t="shared" si="3"/>
        <v>N/A</v>
      </c>
      <c r="M9" s="265" t="str">
        <f t="shared" si="1"/>
        <v>N/A</v>
      </c>
      <c r="N9" s="502"/>
      <c r="O9" s="298" t="s">
        <v>469</v>
      </c>
      <c r="P9" s="299">
        <f>J59</f>
        <v>0</v>
      </c>
      <c r="Q9" s="495" t="s">
        <v>520</v>
      </c>
      <c r="R9" s="236"/>
      <c r="S9" s="264">
        <v>6</v>
      </c>
      <c r="T9" s="254" t="s">
        <v>336</v>
      </c>
      <c r="U9" s="254" t="s">
        <v>336</v>
      </c>
      <c r="V9" s="254" t="s">
        <v>336</v>
      </c>
      <c r="W9" s="254" t="s">
        <v>336</v>
      </c>
      <c r="X9" s="254" t="s">
        <v>336</v>
      </c>
      <c r="Y9" s="370">
        <v>6</v>
      </c>
      <c r="Z9" s="254" t="s">
        <v>336</v>
      </c>
      <c r="AA9" s="254" t="s">
        <v>336</v>
      </c>
      <c r="AB9" s="254" t="s">
        <v>336</v>
      </c>
      <c r="AC9" s="504" t="s">
        <v>336</v>
      </c>
      <c r="AD9" s="504" t="s">
        <v>336</v>
      </c>
      <c r="AE9" s="499"/>
      <c r="AF9" s="254" t="s">
        <v>336</v>
      </c>
      <c r="AG9" s="254" t="s">
        <v>336</v>
      </c>
      <c r="AH9" s="254" t="s">
        <v>336</v>
      </c>
      <c r="AI9" s="254" t="s">
        <v>336</v>
      </c>
      <c r="AJ9" s="254" t="s">
        <v>336</v>
      </c>
      <c r="AK9" s="362">
        <v>6</v>
      </c>
      <c r="AL9" s="254" t="s">
        <v>336</v>
      </c>
      <c r="AM9" s="254" t="s">
        <v>336</v>
      </c>
      <c r="AN9" s="254" t="s">
        <v>336</v>
      </c>
      <c r="AO9" s="254" t="s">
        <v>336</v>
      </c>
      <c r="AP9" s="254" t="s">
        <v>336</v>
      </c>
      <c r="AQ9" s="370">
        <v>6</v>
      </c>
      <c r="AR9" s="298" t="s">
        <v>469</v>
      </c>
      <c r="AS9" s="299">
        <f>BC59</f>
        <v>0</v>
      </c>
      <c r="AT9" s="495" t="s">
        <v>520</v>
      </c>
      <c r="AU9" s="236"/>
      <c r="AV9" s="265" t="str">
        <f t="shared" si="7"/>
        <v>N/A</v>
      </c>
      <c r="AW9" s="265" t="str">
        <f t="shared" si="4"/>
        <v>N/A</v>
      </c>
      <c r="AX9" s="265" t="str">
        <f t="shared" si="4"/>
        <v>N/A</v>
      </c>
      <c r="AY9" s="265" t="str">
        <f t="shared" si="4"/>
        <v>N/A</v>
      </c>
      <c r="AZ9" s="265" t="str">
        <f t="shared" si="4"/>
        <v>N/A</v>
      </c>
      <c r="BA9" s="264">
        <v>6</v>
      </c>
      <c r="BB9" s="265" t="str">
        <f t="shared" si="5"/>
        <v>N/A</v>
      </c>
      <c r="BC9" s="265" t="str">
        <f t="shared" si="2"/>
        <v>N/A</v>
      </c>
      <c r="BD9" s="265" t="str">
        <f t="shared" si="2"/>
        <v>N/A</v>
      </c>
      <c r="BE9" s="265" t="str">
        <f t="shared" si="2"/>
        <v>N/A</v>
      </c>
      <c r="BF9" s="265" t="str">
        <f t="shared" si="2"/>
        <v>N/A</v>
      </c>
      <c r="BG9" s="369">
        <v>6</v>
      </c>
      <c r="BH9" s="237" t="s">
        <v>192</v>
      </c>
    </row>
    <row r="10" spans="2:60" ht="16.2" thickBot="1" x14ac:dyDescent="0.35">
      <c r="B10" s="256">
        <v>7</v>
      </c>
      <c r="C10" s="257" t="str">
        <f t="shared" si="0"/>
        <v>N/A</v>
      </c>
      <c r="D10" s="257" t="str">
        <f t="shared" si="0"/>
        <v>N/A</v>
      </c>
      <c r="E10" s="257" t="str">
        <f t="shared" si="0"/>
        <v>N/A</v>
      </c>
      <c r="F10" s="257" t="str">
        <f t="shared" si="0"/>
        <v>N/A</v>
      </c>
      <c r="G10" s="257" t="str">
        <f t="shared" si="0"/>
        <v>N/A</v>
      </c>
      <c r="H10" s="357">
        <v>7</v>
      </c>
      <c r="I10" s="359" t="str">
        <f t="shared" si="6"/>
        <v>N/A</v>
      </c>
      <c r="J10" s="359" t="str">
        <f t="shared" si="3"/>
        <v>N/A</v>
      </c>
      <c r="K10" s="359" t="str">
        <f t="shared" si="3"/>
        <v>N/A</v>
      </c>
      <c r="L10" s="359" t="str">
        <f t="shared" si="3"/>
        <v>N/A</v>
      </c>
      <c r="M10" s="257" t="str">
        <f t="shared" si="1"/>
        <v>N/A</v>
      </c>
      <c r="N10" s="260"/>
      <c r="O10" s="298" t="s">
        <v>476</v>
      </c>
      <c r="P10" s="299">
        <f>J65</f>
        <v>0</v>
      </c>
      <c r="Q10" s="496" t="s">
        <v>519</v>
      </c>
      <c r="R10" s="236"/>
      <c r="S10" s="256">
        <v>7</v>
      </c>
      <c r="T10" s="246" t="s">
        <v>336</v>
      </c>
      <c r="U10" s="246" t="s">
        <v>336</v>
      </c>
      <c r="V10" s="246" t="s">
        <v>336</v>
      </c>
      <c r="W10" s="246" t="s">
        <v>336</v>
      </c>
      <c r="X10" s="246" t="s">
        <v>336</v>
      </c>
      <c r="Y10" s="369">
        <v>7</v>
      </c>
      <c r="Z10" s="246" t="s">
        <v>336</v>
      </c>
      <c r="AA10" s="246" t="s">
        <v>336</v>
      </c>
      <c r="AB10" s="246" t="s">
        <v>336</v>
      </c>
      <c r="AC10" s="246" t="s">
        <v>336</v>
      </c>
      <c r="AD10" s="246" t="s">
        <v>336</v>
      </c>
      <c r="AE10" s="236"/>
      <c r="AF10" s="246" t="s">
        <v>336</v>
      </c>
      <c r="AG10" s="246" t="s">
        <v>336</v>
      </c>
      <c r="AH10" s="246" t="s">
        <v>336</v>
      </c>
      <c r="AI10" s="246" t="s">
        <v>336</v>
      </c>
      <c r="AJ10" s="246" t="s">
        <v>336</v>
      </c>
      <c r="AK10" s="361">
        <v>7</v>
      </c>
      <c r="AL10" s="246" t="s">
        <v>336</v>
      </c>
      <c r="AM10" s="246" t="s">
        <v>336</v>
      </c>
      <c r="AN10" s="246" t="s">
        <v>336</v>
      </c>
      <c r="AO10" s="246" t="s">
        <v>336</v>
      </c>
      <c r="AP10" s="246" t="s">
        <v>336</v>
      </c>
      <c r="AQ10" s="369">
        <v>7</v>
      </c>
      <c r="AR10" s="298" t="s">
        <v>476</v>
      </c>
      <c r="AS10" s="299">
        <f>BC65</f>
        <v>0</v>
      </c>
      <c r="AT10" s="496" t="s">
        <v>519</v>
      </c>
      <c r="AU10" s="236"/>
      <c r="AV10" s="257" t="str">
        <f t="shared" si="7"/>
        <v>N/A</v>
      </c>
      <c r="AW10" s="257" t="str">
        <f t="shared" si="4"/>
        <v>N/A</v>
      </c>
      <c r="AX10" s="257" t="str">
        <f t="shared" si="4"/>
        <v>N/A</v>
      </c>
      <c r="AY10" s="257" t="str">
        <f t="shared" si="4"/>
        <v>N/A</v>
      </c>
      <c r="AZ10" s="257" t="str">
        <f t="shared" si="4"/>
        <v>N/A</v>
      </c>
      <c r="BA10" s="256">
        <v>7</v>
      </c>
      <c r="BB10" s="257" t="str">
        <f t="shared" si="5"/>
        <v>N/A</v>
      </c>
      <c r="BC10" s="257" t="str">
        <f t="shared" si="2"/>
        <v>N/A</v>
      </c>
      <c r="BD10" s="257" t="str">
        <f t="shared" si="2"/>
        <v>N/A</v>
      </c>
      <c r="BE10" s="257" t="str">
        <f t="shared" si="2"/>
        <v>N/A</v>
      </c>
      <c r="BF10" s="257" t="str">
        <f t="shared" si="2"/>
        <v>N/A</v>
      </c>
      <c r="BG10" s="370">
        <v>7</v>
      </c>
    </row>
    <row r="11" spans="2:60" ht="16.2" thickBot="1" x14ac:dyDescent="0.35">
      <c r="B11" s="264">
        <v>8</v>
      </c>
      <c r="C11" s="265" t="str">
        <f t="shared" si="0"/>
        <v>N/A</v>
      </c>
      <c r="D11" s="265" t="str">
        <f t="shared" si="0"/>
        <v>N/A</v>
      </c>
      <c r="E11" s="265" t="str">
        <f t="shared" si="0"/>
        <v>N/A</v>
      </c>
      <c r="F11" s="265" t="str">
        <f t="shared" si="0"/>
        <v>N/A</v>
      </c>
      <c r="G11" s="265" t="str">
        <f t="shared" si="0"/>
        <v>N/A</v>
      </c>
      <c r="H11" s="358">
        <v>8</v>
      </c>
      <c r="I11" s="265" t="str">
        <f t="shared" si="6"/>
        <v>N/A</v>
      </c>
      <c r="J11" s="265" t="str">
        <f t="shared" si="3"/>
        <v>N/A</v>
      </c>
      <c r="K11" s="265" t="str">
        <f t="shared" si="3"/>
        <v>N/A</v>
      </c>
      <c r="L11" s="265" t="str">
        <f t="shared" si="3"/>
        <v>N/A</v>
      </c>
      <c r="M11" s="265" t="str">
        <f t="shared" si="1"/>
        <v>N/A</v>
      </c>
      <c r="N11" s="260"/>
      <c r="O11" s="298" t="s">
        <v>477</v>
      </c>
      <c r="P11" s="299">
        <f>J71</f>
        <v>0</v>
      </c>
      <c r="Q11" s="497" t="s">
        <v>518</v>
      </c>
      <c r="R11" s="236"/>
      <c r="S11" s="264">
        <v>8</v>
      </c>
      <c r="T11" s="254" t="s">
        <v>336</v>
      </c>
      <c r="U11" s="254" t="s">
        <v>336</v>
      </c>
      <c r="V11" s="254" t="s">
        <v>336</v>
      </c>
      <c r="W11" s="254" t="s">
        <v>336</v>
      </c>
      <c r="X11" s="254" t="s">
        <v>336</v>
      </c>
      <c r="Y11" s="370">
        <v>8</v>
      </c>
      <c r="Z11" s="254" t="s">
        <v>336</v>
      </c>
      <c r="AA11" s="254" t="s">
        <v>336</v>
      </c>
      <c r="AB11" s="254" t="s">
        <v>336</v>
      </c>
      <c r="AC11" s="254" t="s">
        <v>336</v>
      </c>
      <c r="AD11" s="254" t="s">
        <v>336</v>
      </c>
      <c r="AE11" s="236"/>
      <c r="AF11" s="254" t="s">
        <v>336</v>
      </c>
      <c r="AG11" s="254" t="s">
        <v>336</v>
      </c>
      <c r="AH11" s="254" t="s">
        <v>336</v>
      </c>
      <c r="AI11" s="254" t="s">
        <v>336</v>
      </c>
      <c r="AJ11" s="254" t="s">
        <v>336</v>
      </c>
      <c r="AK11" s="362">
        <v>8</v>
      </c>
      <c r="AL11" s="254" t="s">
        <v>336</v>
      </c>
      <c r="AM11" s="254" t="s">
        <v>336</v>
      </c>
      <c r="AN11" s="254" t="s">
        <v>336</v>
      </c>
      <c r="AO11" s="254" t="s">
        <v>336</v>
      </c>
      <c r="AP11" s="254" t="s">
        <v>336</v>
      </c>
      <c r="AQ11" s="370">
        <v>8</v>
      </c>
      <c r="AR11" s="298" t="s">
        <v>477</v>
      </c>
      <c r="AS11" s="299">
        <f>BC71</f>
        <v>0</v>
      </c>
      <c r="AT11" s="497" t="s">
        <v>518</v>
      </c>
      <c r="AU11" s="236"/>
      <c r="AV11" s="265" t="str">
        <f t="shared" si="7"/>
        <v>N/A</v>
      </c>
      <c r="AW11" s="265" t="str">
        <f t="shared" si="4"/>
        <v>N/A</v>
      </c>
      <c r="AX11" s="265" t="str">
        <f t="shared" si="4"/>
        <v>N/A</v>
      </c>
      <c r="AY11" s="265" t="str">
        <f t="shared" si="4"/>
        <v>N/A</v>
      </c>
      <c r="AZ11" s="265" t="str">
        <f t="shared" si="4"/>
        <v>N/A</v>
      </c>
      <c r="BA11" s="264">
        <v>8</v>
      </c>
      <c r="BB11" s="265" t="str">
        <f t="shared" si="5"/>
        <v>N/A</v>
      </c>
      <c r="BC11" s="265" t="str">
        <f t="shared" si="2"/>
        <v>N/A</v>
      </c>
      <c r="BD11" s="265" t="str">
        <f t="shared" si="2"/>
        <v>N/A</v>
      </c>
      <c r="BE11" s="265" t="str">
        <f t="shared" si="2"/>
        <v>N/A</v>
      </c>
      <c r="BF11" s="265" t="str">
        <f t="shared" si="2"/>
        <v>N/A</v>
      </c>
      <c r="BG11" s="369">
        <v>8</v>
      </c>
    </row>
    <row r="12" spans="2:60" ht="15" thickBot="1" x14ac:dyDescent="0.35">
      <c r="B12" s="256">
        <v>9</v>
      </c>
      <c r="C12" s="257" t="str">
        <f t="shared" si="0"/>
        <v>N/A</v>
      </c>
      <c r="D12" s="257" t="str">
        <f t="shared" si="0"/>
        <v>N/A</v>
      </c>
      <c r="E12" s="257" t="str">
        <f t="shared" si="0"/>
        <v>N/A</v>
      </c>
      <c r="F12" s="257" t="str">
        <f t="shared" si="0"/>
        <v>N/A</v>
      </c>
      <c r="G12" s="257" t="str">
        <f t="shared" si="0"/>
        <v>N/A</v>
      </c>
      <c r="H12" s="357">
        <v>9</v>
      </c>
      <c r="I12" s="359" t="str">
        <f t="shared" si="6"/>
        <v>N/A</v>
      </c>
      <c r="J12" s="359" t="str">
        <f t="shared" si="3"/>
        <v>N/A</v>
      </c>
      <c r="K12" s="359" t="str">
        <f t="shared" si="3"/>
        <v>N/A</v>
      </c>
      <c r="L12" s="359" t="str">
        <f t="shared" si="3"/>
        <v>N/A</v>
      </c>
      <c r="M12" s="257" t="str">
        <f t="shared" si="1"/>
        <v>N/A</v>
      </c>
      <c r="N12" s="260"/>
      <c r="O12" s="236"/>
      <c r="P12" s="236"/>
      <c r="Q12" s="300"/>
      <c r="R12" s="236"/>
      <c r="S12" s="256">
        <v>9</v>
      </c>
      <c r="T12" s="246" t="s">
        <v>336</v>
      </c>
      <c r="U12" s="246" t="s">
        <v>336</v>
      </c>
      <c r="V12" s="246" t="s">
        <v>336</v>
      </c>
      <c r="W12" s="246" t="s">
        <v>336</v>
      </c>
      <c r="X12" s="246" t="s">
        <v>336</v>
      </c>
      <c r="Y12" s="369">
        <v>9</v>
      </c>
      <c r="Z12" s="246" t="s">
        <v>336</v>
      </c>
      <c r="AA12" s="246" t="s">
        <v>336</v>
      </c>
      <c r="AB12" s="246" t="s">
        <v>336</v>
      </c>
      <c r="AC12" s="246" t="s">
        <v>336</v>
      </c>
      <c r="AD12" s="246" t="s">
        <v>336</v>
      </c>
      <c r="AE12" s="236"/>
      <c r="AF12" s="246" t="s">
        <v>336</v>
      </c>
      <c r="AG12" s="246" t="s">
        <v>336</v>
      </c>
      <c r="AH12" s="246" t="s">
        <v>336</v>
      </c>
      <c r="AI12" s="246" t="s">
        <v>336</v>
      </c>
      <c r="AJ12" s="246" t="s">
        <v>336</v>
      </c>
      <c r="AK12" s="361">
        <v>9</v>
      </c>
      <c r="AL12" s="246" t="s">
        <v>336</v>
      </c>
      <c r="AM12" s="246" t="s">
        <v>336</v>
      </c>
      <c r="AN12" s="246" t="s">
        <v>336</v>
      </c>
      <c r="AO12" s="246" t="s">
        <v>336</v>
      </c>
      <c r="AP12" s="246" t="s">
        <v>336</v>
      </c>
      <c r="AQ12" s="369">
        <v>9</v>
      </c>
      <c r="AR12" s="236"/>
      <c r="AS12" s="236"/>
      <c r="AT12" s="236"/>
      <c r="AU12" s="236"/>
      <c r="AV12" s="257" t="str">
        <f t="shared" si="7"/>
        <v>N/A</v>
      </c>
      <c r="AW12" s="257" t="str">
        <f t="shared" si="4"/>
        <v>N/A</v>
      </c>
      <c r="AX12" s="257" t="str">
        <f t="shared" si="4"/>
        <v>N/A</v>
      </c>
      <c r="AY12" s="257" t="str">
        <f t="shared" si="4"/>
        <v>N/A</v>
      </c>
      <c r="AZ12" s="257" t="str">
        <f t="shared" si="4"/>
        <v>N/A</v>
      </c>
      <c r="BA12" s="256">
        <v>9</v>
      </c>
      <c r="BB12" s="257" t="str">
        <f t="shared" si="5"/>
        <v>N/A</v>
      </c>
      <c r="BC12" s="257" t="str">
        <f t="shared" si="2"/>
        <v>N/A</v>
      </c>
      <c r="BD12" s="257" t="str">
        <f t="shared" si="2"/>
        <v>N/A</v>
      </c>
      <c r="BE12" s="257" t="str">
        <f t="shared" si="2"/>
        <v>N/A</v>
      </c>
      <c r="BF12" s="257" t="str">
        <f t="shared" si="2"/>
        <v>N/A</v>
      </c>
      <c r="BG12" s="370">
        <v>9</v>
      </c>
    </row>
    <row r="13" spans="2:60" ht="15" thickBot="1" x14ac:dyDescent="0.35">
      <c r="B13" s="264">
        <v>10</v>
      </c>
      <c r="C13" s="265" t="str">
        <f t="shared" si="0"/>
        <v>N/A</v>
      </c>
      <c r="D13" s="265" t="str">
        <f t="shared" si="0"/>
        <v>N/A</v>
      </c>
      <c r="E13" s="265" t="str">
        <f t="shared" si="0"/>
        <v>N/A</v>
      </c>
      <c r="F13" s="265" t="str">
        <f t="shared" si="0"/>
        <v>N/A</v>
      </c>
      <c r="G13" s="265" t="str">
        <f t="shared" si="0"/>
        <v>N/A</v>
      </c>
      <c r="H13" s="358">
        <v>10</v>
      </c>
      <c r="I13" s="265" t="str">
        <f t="shared" si="6"/>
        <v>N/A</v>
      </c>
      <c r="J13" s="265" t="str">
        <f t="shared" si="3"/>
        <v>N/A</v>
      </c>
      <c r="K13" s="265" t="str">
        <f t="shared" si="3"/>
        <v>N/A</v>
      </c>
      <c r="L13" s="265" t="str">
        <f t="shared" si="3"/>
        <v>N/A</v>
      </c>
      <c r="M13" s="265" t="str">
        <f t="shared" si="1"/>
        <v>N/A</v>
      </c>
      <c r="N13" s="260"/>
      <c r="O13" s="517"/>
      <c r="P13" s="231" t="s">
        <v>203</v>
      </c>
      <c r="Q13" s="236"/>
      <c r="R13" s="236"/>
      <c r="S13" s="264">
        <v>10</v>
      </c>
      <c r="T13" s="254" t="s">
        <v>336</v>
      </c>
      <c r="U13" s="254" t="s">
        <v>336</v>
      </c>
      <c r="V13" s="254" t="s">
        <v>336</v>
      </c>
      <c r="W13" s="254" t="s">
        <v>336</v>
      </c>
      <c r="X13" s="254" t="s">
        <v>336</v>
      </c>
      <c r="Y13" s="370">
        <v>10</v>
      </c>
      <c r="Z13" s="254" t="s">
        <v>336</v>
      </c>
      <c r="AA13" s="254" t="s">
        <v>336</v>
      </c>
      <c r="AB13" s="254" t="s">
        <v>336</v>
      </c>
      <c r="AC13" s="254" t="s">
        <v>336</v>
      </c>
      <c r="AD13" s="254" t="s">
        <v>336</v>
      </c>
      <c r="AE13" s="236"/>
      <c r="AF13" s="254" t="s">
        <v>336</v>
      </c>
      <c r="AG13" s="254" t="s">
        <v>336</v>
      </c>
      <c r="AH13" s="254" t="s">
        <v>336</v>
      </c>
      <c r="AI13" s="254" t="s">
        <v>336</v>
      </c>
      <c r="AJ13" s="254" t="s">
        <v>336</v>
      </c>
      <c r="AK13" s="362">
        <v>10</v>
      </c>
      <c r="AL13" s="254" t="s">
        <v>336</v>
      </c>
      <c r="AM13" s="254" t="s">
        <v>336</v>
      </c>
      <c r="AN13" s="254" t="s">
        <v>336</v>
      </c>
      <c r="AO13" s="254" t="s">
        <v>336</v>
      </c>
      <c r="AP13" s="254" t="s">
        <v>336</v>
      </c>
      <c r="AQ13" s="370">
        <v>10</v>
      </c>
      <c r="AR13" s="236"/>
      <c r="AS13" s="231" t="s">
        <v>203</v>
      </c>
      <c r="AT13" s="236"/>
      <c r="AU13" s="236"/>
      <c r="AV13" s="265" t="str">
        <f t="shared" si="7"/>
        <v>N/A</v>
      </c>
      <c r="AW13" s="265" t="str">
        <f t="shared" si="4"/>
        <v>N/A</v>
      </c>
      <c r="AX13" s="265" t="str">
        <f t="shared" si="4"/>
        <v>N/A</v>
      </c>
      <c r="AY13" s="265" t="str">
        <f t="shared" si="4"/>
        <v>N/A</v>
      </c>
      <c r="AZ13" s="265" t="str">
        <f t="shared" si="4"/>
        <v>N/A</v>
      </c>
      <c r="BA13" s="264">
        <v>10</v>
      </c>
      <c r="BB13" s="265" t="str">
        <f t="shared" si="5"/>
        <v>N/A</v>
      </c>
      <c r="BC13" s="265" t="str">
        <f t="shared" si="2"/>
        <v>N/A</v>
      </c>
      <c r="BD13" s="265" t="str">
        <f t="shared" si="2"/>
        <v>N/A</v>
      </c>
      <c r="BE13" s="265" t="str">
        <f t="shared" si="2"/>
        <v>N/A</v>
      </c>
      <c r="BF13" s="265" t="str">
        <f t="shared" si="2"/>
        <v>N/A</v>
      </c>
      <c r="BG13" s="369">
        <v>10</v>
      </c>
    </row>
    <row r="14" spans="2:60" ht="15.75" customHeight="1" thickBot="1" x14ac:dyDescent="0.35">
      <c r="B14" s="256">
        <v>11</v>
      </c>
      <c r="C14" s="257" t="str">
        <f t="shared" si="0"/>
        <v>N/A</v>
      </c>
      <c r="D14" s="257" t="str">
        <f t="shared" si="0"/>
        <v>N/A</v>
      </c>
      <c r="E14" s="257" t="str">
        <f t="shared" si="0"/>
        <v>N/A</v>
      </c>
      <c r="F14" s="257" t="str">
        <f t="shared" si="0"/>
        <v>N/A</v>
      </c>
      <c r="G14" s="257" t="str">
        <f t="shared" si="0"/>
        <v>N/A</v>
      </c>
      <c r="H14" s="357">
        <v>11</v>
      </c>
      <c r="I14" s="359" t="str">
        <f t="shared" si="6"/>
        <v>N/A</v>
      </c>
      <c r="J14" s="359" t="str">
        <f t="shared" si="3"/>
        <v>N/A</v>
      </c>
      <c r="K14" s="359" t="str">
        <f t="shared" si="3"/>
        <v>N/A</v>
      </c>
      <c r="L14" s="359" t="str">
        <f t="shared" si="3"/>
        <v>N/A</v>
      </c>
      <c r="M14" s="257" t="str">
        <f t="shared" si="1"/>
        <v>N/A</v>
      </c>
      <c r="N14" s="260"/>
      <c r="O14" s="513"/>
      <c r="P14" s="299">
        <f>SUM(T4:X48,Z4:AD48)*233/1000</f>
        <v>0</v>
      </c>
      <c r="Q14" s="298"/>
      <c r="R14" s="236"/>
      <c r="S14" s="256">
        <v>11</v>
      </c>
      <c r="T14" s="246" t="s">
        <v>336</v>
      </c>
      <c r="U14" s="246" t="s">
        <v>336</v>
      </c>
      <c r="V14" s="246" t="s">
        <v>336</v>
      </c>
      <c r="W14" s="246" t="s">
        <v>336</v>
      </c>
      <c r="X14" s="246" t="s">
        <v>336</v>
      </c>
      <c r="Y14" s="369">
        <v>11</v>
      </c>
      <c r="Z14" s="246" t="s">
        <v>336</v>
      </c>
      <c r="AA14" s="246" t="s">
        <v>336</v>
      </c>
      <c r="AB14" s="246" t="s">
        <v>336</v>
      </c>
      <c r="AC14" s="246" t="s">
        <v>336</v>
      </c>
      <c r="AD14" s="246" t="s">
        <v>336</v>
      </c>
      <c r="AE14" s="236"/>
      <c r="AF14" s="246" t="s">
        <v>336</v>
      </c>
      <c r="AG14" s="246" t="s">
        <v>336</v>
      </c>
      <c r="AH14" s="246" t="s">
        <v>336</v>
      </c>
      <c r="AI14" s="246" t="s">
        <v>336</v>
      </c>
      <c r="AJ14" s="246" t="s">
        <v>336</v>
      </c>
      <c r="AK14" s="361">
        <v>11</v>
      </c>
      <c r="AL14" s="246" t="s">
        <v>336</v>
      </c>
      <c r="AM14" s="246" t="s">
        <v>336</v>
      </c>
      <c r="AN14" s="246" t="s">
        <v>336</v>
      </c>
      <c r="AO14" s="246" t="s">
        <v>336</v>
      </c>
      <c r="AP14" s="246" t="s">
        <v>336</v>
      </c>
      <c r="AQ14" s="369">
        <v>11</v>
      </c>
      <c r="AR14" s="298"/>
      <c r="AS14" s="299">
        <f>SUM(AF4:AJ48,AL4:AP48)*233/1000</f>
        <v>0</v>
      </c>
      <c r="AT14" s="298"/>
      <c r="AU14" s="236"/>
      <c r="AV14" s="257" t="str">
        <f t="shared" si="7"/>
        <v>N/A</v>
      </c>
      <c r="AW14" s="257" t="str">
        <f t="shared" si="4"/>
        <v>N/A</v>
      </c>
      <c r="AX14" s="257" t="str">
        <f t="shared" si="4"/>
        <v>N/A</v>
      </c>
      <c r="AY14" s="257" t="str">
        <f t="shared" si="4"/>
        <v>N/A</v>
      </c>
      <c r="AZ14" s="257" t="str">
        <f t="shared" si="4"/>
        <v>N/A</v>
      </c>
      <c r="BA14" s="256">
        <v>11</v>
      </c>
      <c r="BB14" s="257" t="str">
        <f t="shared" si="5"/>
        <v>N/A</v>
      </c>
      <c r="BC14" s="257" t="str">
        <f t="shared" si="2"/>
        <v>N/A</v>
      </c>
      <c r="BD14" s="257" t="str">
        <f t="shared" si="2"/>
        <v>N/A</v>
      </c>
      <c r="BE14" s="257" t="str">
        <f t="shared" si="2"/>
        <v>N/A</v>
      </c>
      <c r="BF14" s="257" t="str">
        <f t="shared" si="2"/>
        <v>N/A</v>
      </c>
      <c r="BG14" s="370">
        <v>11</v>
      </c>
    </row>
    <row r="15" spans="2:60" ht="15" thickBot="1" x14ac:dyDescent="0.35">
      <c r="B15" s="264">
        <v>12</v>
      </c>
      <c r="C15" s="265" t="str">
        <f t="shared" si="0"/>
        <v>N/A</v>
      </c>
      <c r="D15" s="265" t="str">
        <f t="shared" si="0"/>
        <v>N/A</v>
      </c>
      <c r="E15" s="265" t="str">
        <f t="shared" si="0"/>
        <v>N/A</v>
      </c>
      <c r="F15" s="265" t="str">
        <f t="shared" si="0"/>
        <v>N/A</v>
      </c>
      <c r="G15" s="265" t="str">
        <f t="shared" si="0"/>
        <v>N/A</v>
      </c>
      <c r="H15" s="358">
        <v>12</v>
      </c>
      <c r="I15" s="265" t="str">
        <f t="shared" si="6"/>
        <v>N/A</v>
      </c>
      <c r="J15" s="265" t="str">
        <f t="shared" si="3"/>
        <v>N/A</v>
      </c>
      <c r="K15" s="265" t="str">
        <f t="shared" si="3"/>
        <v>N/A</v>
      </c>
      <c r="L15" s="265" t="str">
        <f t="shared" si="3"/>
        <v>N/A</v>
      </c>
      <c r="M15" s="265" t="str">
        <f t="shared" si="1"/>
        <v>N/A</v>
      </c>
      <c r="N15" s="260"/>
      <c r="O15" s="519"/>
      <c r="P15" s="304"/>
      <c r="Q15" s="298"/>
      <c r="R15" s="236"/>
      <c r="S15" s="264">
        <v>12</v>
      </c>
      <c r="T15" s="254" t="s">
        <v>336</v>
      </c>
      <c r="U15" s="254" t="s">
        <v>336</v>
      </c>
      <c r="V15" s="254" t="s">
        <v>336</v>
      </c>
      <c r="W15" s="254" t="s">
        <v>336</v>
      </c>
      <c r="X15" s="254" t="s">
        <v>336</v>
      </c>
      <c r="Y15" s="370">
        <v>12</v>
      </c>
      <c r="Z15" s="254" t="s">
        <v>336</v>
      </c>
      <c r="AA15" s="254" t="s">
        <v>336</v>
      </c>
      <c r="AB15" s="254" t="s">
        <v>336</v>
      </c>
      <c r="AC15" s="254" t="s">
        <v>336</v>
      </c>
      <c r="AD15" s="254" t="s">
        <v>336</v>
      </c>
      <c r="AE15" s="236"/>
      <c r="AF15" s="254" t="s">
        <v>336</v>
      </c>
      <c r="AG15" s="254" t="s">
        <v>336</v>
      </c>
      <c r="AH15" s="254" t="s">
        <v>336</v>
      </c>
      <c r="AI15" s="254" t="s">
        <v>336</v>
      </c>
      <c r="AJ15" s="254" t="s">
        <v>336</v>
      </c>
      <c r="AK15" s="362">
        <v>12</v>
      </c>
      <c r="AL15" s="254" t="s">
        <v>336</v>
      </c>
      <c r="AM15" s="254" t="s">
        <v>336</v>
      </c>
      <c r="AN15" s="254" t="s">
        <v>336</v>
      </c>
      <c r="AO15" s="254" t="s">
        <v>336</v>
      </c>
      <c r="AP15" s="254" t="s">
        <v>336</v>
      </c>
      <c r="AQ15" s="370">
        <v>12</v>
      </c>
      <c r="AR15" s="298"/>
      <c r="AS15" s="304"/>
      <c r="AT15" s="298"/>
      <c r="AU15" s="236"/>
      <c r="AV15" s="265" t="str">
        <f t="shared" si="7"/>
        <v>N/A</v>
      </c>
      <c r="AW15" s="265" t="str">
        <f t="shared" si="4"/>
        <v>N/A</v>
      </c>
      <c r="AX15" s="265" t="str">
        <f t="shared" si="4"/>
        <v>N/A</v>
      </c>
      <c r="AY15" s="265" t="str">
        <f t="shared" si="4"/>
        <v>N/A</v>
      </c>
      <c r="AZ15" s="265" t="str">
        <f t="shared" si="4"/>
        <v>N/A</v>
      </c>
      <c r="BA15" s="264">
        <v>12</v>
      </c>
      <c r="BB15" s="265" t="str">
        <f t="shared" si="5"/>
        <v>N/A</v>
      </c>
      <c r="BC15" s="265" t="str">
        <f t="shared" si="2"/>
        <v>N/A</v>
      </c>
      <c r="BD15" s="265" t="str">
        <f t="shared" si="2"/>
        <v>N/A</v>
      </c>
      <c r="BE15" s="265" t="str">
        <f t="shared" si="2"/>
        <v>N/A</v>
      </c>
      <c r="BF15" s="265" t="str">
        <f t="shared" si="2"/>
        <v>N/A</v>
      </c>
      <c r="BG15" s="369">
        <v>12</v>
      </c>
    </row>
    <row r="16" spans="2:60" ht="15" thickBot="1" x14ac:dyDescent="0.35">
      <c r="B16" s="256">
        <v>13</v>
      </c>
      <c r="C16" s="257" t="str">
        <f t="shared" si="0"/>
        <v>N/A</v>
      </c>
      <c r="D16" s="257" t="str">
        <f t="shared" si="0"/>
        <v>N/A</v>
      </c>
      <c r="E16" s="257" t="str">
        <f t="shared" si="0"/>
        <v>N/A</v>
      </c>
      <c r="F16" s="257" t="str">
        <f t="shared" si="0"/>
        <v>N/A</v>
      </c>
      <c r="G16" s="257" t="str">
        <f t="shared" si="0"/>
        <v>N/A</v>
      </c>
      <c r="H16" s="357">
        <v>13</v>
      </c>
      <c r="I16" s="359" t="str">
        <f t="shared" si="6"/>
        <v>N/A</v>
      </c>
      <c r="J16" s="359" t="str">
        <f t="shared" si="3"/>
        <v>N/A</v>
      </c>
      <c r="K16" s="359" t="str">
        <f t="shared" si="3"/>
        <v>N/A</v>
      </c>
      <c r="L16" s="359" t="str">
        <f t="shared" si="3"/>
        <v>N/A</v>
      </c>
      <c r="M16" s="257" t="str">
        <f t="shared" si="1"/>
        <v>N/A</v>
      </c>
      <c r="N16" s="260"/>
      <c r="O16" s="513"/>
      <c r="P16" s="525" t="s">
        <v>205</v>
      </c>
      <c r="Q16" s="298"/>
      <c r="R16" s="236"/>
      <c r="S16" s="256">
        <v>13</v>
      </c>
      <c r="T16" s="246" t="s">
        <v>336</v>
      </c>
      <c r="U16" s="246" t="s">
        <v>336</v>
      </c>
      <c r="V16" s="246" t="s">
        <v>336</v>
      </c>
      <c r="W16" s="246" t="s">
        <v>336</v>
      </c>
      <c r="X16" s="246" t="s">
        <v>336</v>
      </c>
      <c r="Y16" s="369">
        <v>13</v>
      </c>
      <c r="Z16" s="246" t="s">
        <v>336</v>
      </c>
      <c r="AA16" s="246" t="s">
        <v>336</v>
      </c>
      <c r="AB16" s="246" t="s">
        <v>336</v>
      </c>
      <c r="AC16" s="246" t="s">
        <v>336</v>
      </c>
      <c r="AD16" s="246" t="s">
        <v>336</v>
      </c>
      <c r="AE16" s="236"/>
      <c r="AF16" s="246" t="s">
        <v>336</v>
      </c>
      <c r="AG16" s="246" t="s">
        <v>336</v>
      </c>
      <c r="AH16" s="246" t="s">
        <v>336</v>
      </c>
      <c r="AI16" s="246" t="s">
        <v>336</v>
      </c>
      <c r="AJ16" s="246" t="s">
        <v>336</v>
      </c>
      <c r="AK16" s="361">
        <v>13</v>
      </c>
      <c r="AL16" s="246" t="s">
        <v>336</v>
      </c>
      <c r="AM16" s="246" t="s">
        <v>336</v>
      </c>
      <c r="AN16" s="246" t="s">
        <v>336</v>
      </c>
      <c r="AO16" s="246" t="s">
        <v>336</v>
      </c>
      <c r="AP16" s="246" t="s">
        <v>336</v>
      </c>
      <c r="AQ16" s="369">
        <v>13</v>
      </c>
      <c r="AR16" s="513"/>
      <c r="AS16" s="525" t="s">
        <v>205</v>
      </c>
      <c r="AT16" s="298"/>
      <c r="AU16" s="236"/>
      <c r="AV16" s="257" t="str">
        <f t="shared" si="7"/>
        <v>N/A</v>
      </c>
      <c r="AW16" s="257" t="str">
        <f t="shared" si="4"/>
        <v>N/A</v>
      </c>
      <c r="AX16" s="257" t="str">
        <f t="shared" si="4"/>
        <v>N/A</v>
      </c>
      <c r="AY16" s="257" t="str">
        <f t="shared" si="4"/>
        <v>N/A</v>
      </c>
      <c r="AZ16" s="257" t="str">
        <f t="shared" si="4"/>
        <v>N/A</v>
      </c>
      <c r="BA16" s="256">
        <v>13</v>
      </c>
      <c r="BB16" s="257" t="str">
        <f t="shared" si="5"/>
        <v>N/A</v>
      </c>
      <c r="BC16" s="257" t="str">
        <f t="shared" si="2"/>
        <v>N/A</v>
      </c>
      <c r="BD16" s="257" t="str">
        <f t="shared" si="2"/>
        <v>N/A</v>
      </c>
      <c r="BE16" s="257" t="str">
        <f t="shared" si="2"/>
        <v>N/A</v>
      </c>
      <c r="BF16" s="257" t="str">
        <f t="shared" si="2"/>
        <v>N/A</v>
      </c>
      <c r="BG16" s="370">
        <v>13</v>
      </c>
    </row>
    <row r="17" spans="2:59" ht="16.2" thickBot="1" x14ac:dyDescent="0.35">
      <c r="B17" s="264">
        <v>14</v>
      </c>
      <c r="C17" s="265" t="str">
        <f t="shared" si="0"/>
        <v>N/A</v>
      </c>
      <c r="D17" s="265" t="str">
        <f t="shared" si="0"/>
        <v>N/A</v>
      </c>
      <c r="E17" s="265" t="str">
        <f t="shared" si="0"/>
        <v>N/A</v>
      </c>
      <c r="F17" s="265" t="str">
        <f t="shared" si="0"/>
        <v>N/A</v>
      </c>
      <c r="G17" s="265" t="str">
        <f t="shared" si="0"/>
        <v>N/A</v>
      </c>
      <c r="H17" s="358">
        <v>14</v>
      </c>
      <c r="I17" s="265" t="str">
        <f t="shared" si="6"/>
        <v>N/A</v>
      </c>
      <c r="J17" s="265" t="str">
        <f t="shared" si="3"/>
        <v>N/A</v>
      </c>
      <c r="K17" s="265" t="str">
        <f t="shared" si="3"/>
        <v>N/A</v>
      </c>
      <c r="L17" s="265" t="str">
        <f t="shared" si="3"/>
        <v>N/A</v>
      </c>
      <c r="M17" s="265" t="str">
        <f t="shared" si="1"/>
        <v>N/A</v>
      </c>
      <c r="N17" s="260"/>
      <c r="O17" s="298" t="s">
        <v>469</v>
      </c>
      <c r="P17" s="299">
        <f>IF(P4&lt;=P9,P9*2,P4*2)</f>
        <v>0</v>
      </c>
      <c r="Q17" s="495" t="s">
        <v>520</v>
      </c>
      <c r="R17" s="236"/>
      <c r="S17" s="264">
        <v>14</v>
      </c>
      <c r="T17" s="254" t="s">
        <v>336</v>
      </c>
      <c r="U17" s="254" t="s">
        <v>336</v>
      </c>
      <c r="V17" s="254" t="s">
        <v>336</v>
      </c>
      <c r="W17" s="254" t="s">
        <v>336</v>
      </c>
      <c r="X17" s="254" t="s">
        <v>336</v>
      </c>
      <c r="Y17" s="370">
        <v>14</v>
      </c>
      <c r="Z17" s="254" t="s">
        <v>336</v>
      </c>
      <c r="AA17" s="254" t="s">
        <v>336</v>
      </c>
      <c r="AB17" s="254" t="s">
        <v>336</v>
      </c>
      <c r="AC17" s="254" t="s">
        <v>336</v>
      </c>
      <c r="AD17" s="254" t="s">
        <v>336</v>
      </c>
      <c r="AE17" s="236"/>
      <c r="AF17" s="254" t="s">
        <v>336</v>
      </c>
      <c r="AG17" s="254" t="s">
        <v>336</v>
      </c>
      <c r="AH17" s="254" t="s">
        <v>336</v>
      </c>
      <c r="AI17" s="254" t="s">
        <v>336</v>
      </c>
      <c r="AJ17" s="254" t="s">
        <v>336</v>
      </c>
      <c r="AK17" s="362">
        <v>14</v>
      </c>
      <c r="AL17" s="254" t="s">
        <v>336</v>
      </c>
      <c r="AM17" s="254" t="s">
        <v>336</v>
      </c>
      <c r="AN17" s="254" t="s">
        <v>336</v>
      </c>
      <c r="AO17" s="254" t="s">
        <v>336</v>
      </c>
      <c r="AP17" s="254" t="s">
        <v>336</v>
      </c>
      <c r="AQ17" s="370">
        <v>14</v>
      </c>
      <c r="AR17" s="298" t="s">
        <v>469</v>
      </c>
      <c r="AS17" s="299">
        <f>IF(AS4&lt;=AS9,AS9*2,AS4*2)</f>
        <v>0</v>
      </c>
      <c r="AT17" s="495" t="s">
        <v>520</v>
      </c>
      <c r="AU17" s="236"/>
      <c r="AV17" s="265" t="str">
        <f t="shared" si="7"/>
        <v>N/A</v>
      </c>
      <c r="AW17" s="265" t="str">
        <f t="shared" si="4"/>
        <v>N/A</v>
      </c>
      <c r="AX17" s="265" t="str">
        <f t="shared" si="4"/>
        <v>N/A</v>
      </c>
      <c r="AY17" s="265" t="str">
        <f t="shared" si="4"/>
        <v>N/A</v>
      </c>
      <c r="AZ17" s="265" t="str">
        <f t="shared" si="4"/>
        <v>N/A</v>
      </c>
      <c r="BA17" s="264">
        <v>14</v>
      </c>
      <c r="BB17" s="265" t="str">
        <f t="shared" si="5"/>
        <v>N/A</v>
      </c>
      <c r="BC17" s="265" t="str">
        <f t="shared" si="2"/>
        <v>N/A</v>
      </c>
      <c r="BD17" s="265" t="str">
        <f t="shared" si="2"/>
        <v>N/A</v>
      </c>
      <c r="BE17" s="265" t="str">
        <f t="shared" si="2"/>
        <v>N/A</v>
      </c>
      <c r="BF17" s="265" t="str">
        <f t="shared" si="2"/>
        <v>N/A</v>
      </c>
      <c r="BG17" s="369">
        <v>14</v>
      </c>
    </row>
    <row r="18" spans="2:59" ht="16.2" thickBot="1" x14ac:dyDescent="0.35">
      <c r="B18" s="256">
        <v>15</v>
      </c>
      <c r="C18" s="257" t="str">
        <f t="shared" si="0"/>
        <v>N/A</v>
      </c>
      <c r="D18" s="257" t="str">
        <f t="shared" si="0"/>
        <v>N/A</v>
      </c>
      <c r="E18" s="257" t="str">
        <f t="shared" si="0"/>
        <v>N/A</v>
      </c>
      <c r="F18" s="257" t="str">
        <f t="shared" si="0"/>
        <v>N/A</v>
      </c>
      <c r="G18" s="257" t="str">
        <f t="shared" si="0"/>
        <v>N/A</v>
      </c>
      <c r="H18" s="357">
        <v>15</v>
      </c>
      <c r="I18" s="359" t="str">
        <f t="shared" si="6"/>
        <v>N/A</v>
      </c>
      <c r="J18" s="359" t="str">
        <f t="shared" si="3"/>
        <v>N/A</v>
      </c>
      <c r="K18" s="359" t="str">
        <f t="shared" si="3"/>
        <v>N/A</v>
      </c>
      <c r="L18" s="359" t="str">
        <f t="shared" si="3"/>
        <v>N/A</v>
      </c>
      <c r="M18" s="257" t="str">
        <f t="shared" si="1"/>
        <v>N/A</v>
      </c>
      <c r="N18" s="168"/>
      <c r="O18" s="298" t="s">
        <v>476</v>
      </c>
      <c r="P18" s="299">
        <f>IF(P5&lt;=P10,P10*2,P5*2)</f>
        <v>0</v>
      </c>
      <c r="Q18" s="496" t="s">
        <v>519</v>
      </c>
      <c r="R18" s="236"/>
      <c r="S18" s="256">
        <v>15</v>
      </c>
      <c r="T18" s="246" t="s">
        <v>336</v>
      </c>
      <c r="U18" s="246" t="s">
        <v>336</v>
      </c>
      <c r="V18" s="246" t="s">
        <v>336</v>
      </c>
      <c r="W18" s="246" t="s">
        <v>336</v>
      </c>
      <c r="X18" s="246" t="s">
        <v>336</v>
      </c>
      <c r="Y18" s="369">
        <v>15</v>
      </c>
      <c r="Z18" s="246" t="s">
        <v>336</v>
      </c>
      <c r="AA18" s="246" t="s">
        <v>336</v>
      </c>
      <c r="AB18" s="246" t="s">
        <v>336</v>
      </c>
      <c r="AC18" s="246" t="s">
        <v>336</v>
      </c>
      <c r="AD18" s="246" t="s">
        <v>336</v>
      </c>
      <c r="AE18" s="236"/>
      <c r="AF18" s="246" t="s">
        <v>336</v>
      </c>
      <c r="AG18" s="246" t="s">
        <v>336</v>
      </c>
      <c r="AH18" s="246" t="s">
        <v>336</v>
      </c>
      <c r="AI18" s="246" t="s">
        <v>336</v>
      </c>
      <c r="AJ18" s="246" t="s">
        <v>336</v>
      </c>
      <c r="AK18" s="361">
        <v>15</v>
      </c>
      <c r="AL18" s="246" t="s">
        <v>336</v>
      </c>
      <c r="AM18" s="246" t="s">
        <v>336</v>
      </c>
      <c r="AN18" s="246" t="s">
        <v>336</v>
      </c>
      <c r="AO18" s="246" t="s">
        <v>336</v>
      </c>
      <c r="AP18" s="246" t="s">
        <v>336</v>
      </c>
      <c r="AQ18" s="369">
        <v>15</v>
      </c>
      <c r="AR18" s="298" t="s">
        <v>476</v>
      </c>
      <c r="AS18" s="299">
        <f>IF(AS5&lt;=AS10,AS10*2,AS5*2)</f>
        <v>0</v>
      </c>
      <c r="AT18" s="496" t="s">
        <v>519</v>
      </c>
      <c r="AU18" s="236"/>
      <c r="AV18" s="257" t="str">
        <f t="shared" si="7"/>
        <v>N/A</v>
      </c>
      <c r="AW18" s="257" t="str">
        <f t="shared" si="4"/>
        <v>N/A</v>
      </c>
      <c r="AX18" s="257" t="str">
        <f t="shared" si="4"/>
        <v>N/A</v>
      </c>
      <c r="AY18" s="257" t="str">
        <f t="shared" si="4"/>
        <v>N/A</v>
      </c>
      <c r="AZ18" s="257" t="str">
        <f t="shared" si="4"/>
        <v>N/A</v>
      </c>
      <c r="BA18" s="256">
        <v>15</v>
      </c>
      <c r="BB18" s="257" t="str">
        <f t="shared" si="5"/>
        <v>N/A</v>
      </c>
      <c r="BC18" s="257" t="str">
        <f t="shared" si="2"/>
        <v>N/A</v>
      </c>
      <c r="BD18" s="257" t="str">
        <f t="shared" si="2"/>
        <v>N/A</v>
      </c>
      <c r="BE18" s="257" t="str">
        <f t="shared" si="2"/>
        <v>N/A</v>
      </c>
      <c r="BF18" s="257" t="str">
        <f t="shared" si="2"/>
        <v>N/A</v>
      </c>
      <c r="BG18" s="370">
        <v>15</v>
      </c>
    </row>
    <row r="19" spans="2:59" ht="16.2" thickBot="1" x14ac:dyDescent="0.35">
      <c r="B19" s="301" t="s">
        <v>470</v>
      </c>
      <c r="C19" s="231">
        <f>SUM(C4:C18)</f>
        <v>0</v>
      </c>
      <c r="D19" s="231">
        <f>SUM(D4:D18)</f>
        <v>0</v>
      </c>
      <c r="E19" s="231">
        <f>SUM(E4:E18)</f>
        <v>0</v>
      </c>
      <c r="F19" s="231">
        <f>SUM(F4:F18)</f>
        <v>0</v>
      </c>
      <c r="G19" s="231">
        <f>SUM(G4:G18)</f>
        <v>0</v>
      </c>
      <c r="H19" s="301" t="s">
        <v>470</v>
      </c>
      <c r="I19" s="231">
        <f>SUM(I4:I18)</f>
        <v>0</v>
      </c>
      <c r="J19" s="231">
        <f>SUM(J4:J18)</f>
        <v>0</v>
      </c>
      <c r="K19" s="231">
        <f>SUM(K4:K18)</f>
        <v>0</v>
      </c>
      <c r="L19" s="231">
        <f>SUM(L4:L18)</f>
        <v>0</v>
      </c>
      <c r="M19" s="231">
        <f>SUM(M4:M18)</f>
        <v>0</v>
      </c>
      <c r="N19" s="275"/>
      <c r="O19" s="298" t="s">
        <v>477</v>
      </c>
      <c r="P19" s="299">
        <f>IF(P6&lt;=P11,P11*2,P6*2)</f>
        <v>0</v>
      </c>
      <c r="Q19" s="497" t="s">
        <v>518</v>
      </c>
      <c r="R19" s="236"/>
      <c r="S19" s="302">
        <v>16</v>
      </c>
      <c r="T19" s="254" t="s">
        <v>336</v>
      </c>
      <c r="U19" s="254" t="s">
        <v>336</v>
      </c>
      <c r="V19" s="254" t="s">
        <v>336</v>
      </c>
      <c r="W19" s="254" t="s">
        <v>336</v>
      </c>
      <c r="X19" s="254" t="s">
        <v>336</v>
      </c>
      <c r="Y19" s="371">
        <v>16</v>
      </c>
      <c r="Z19" s="254" t="s">
        <v>336</v>
      </c>
      <c r="AA19" s="254" t="s">
        <v>336</v>
      </c>
      <c r="AB19" s="254" t="s">
        <v>336</v>
      </c>
      <c r="AC19" s="254" t="s">
        <v>336</v>
      </c>
      <c r="AD19" s="254" t="s">
        <v>336</v>
      </c>
      <c r="AE19" s="236"/>
      <c r="AF19" s="254" t="s">
        <v>336</v>
      </c>
      <c r="AG19" s="254" t="s">
        <v>336</v>
      </c>
      <c r="AH19" s="254" t="s">
        <v>336</v>
      </c>
      <c r="AI19" s="254" t="s">
        <v>336</v>
      </c>
      <c r="AJ19" s="254" t="s">
        <v>336</v>
      </c>
      <c r="AK19" s="363">
        <v>16</v>
      </c>
      <c r="AL19" s="254" t="s">
        <v>336</v>
      </c>
      <c r="AM19" s="254" t="s">
        <v>336</v>
      </c>
      <c r="AN19" s="254" t="s">
        <v>336</v>
      </c>
      <c r="AO19" s="254" t="s">
        <v>336</v>
      </c>
      <c r="AP19" s="254" t="s">
        <v>336</v>
      </c>
      <c r="AQ19" s="371">
        <v>16</v>
      </c>
      <c r="AR19" s="298" t="s">
        <v>477</v>
      </c>
      <c r="AS19" s="299">
        <f>IF(AS6&lt;=AS11,AS11*2,AS6*2)</f>
        <v>0</v>
      </c>
      <c r="AT19" s="497" t="s">
        <v>518</v>
      </c>
      <c r="AU19" s="236"/>
      <c r="AV19" s="231">
        <f>SUM(AV4:AV18)</f>
        <v>0</v>
      </c>
      <c r="AW19" s="231">
        <f>SUM(AW4:AW18)</f>
        <v>0</v>
      </c>
      <c r="AX19" s="231">
        <f>SUM(AX4:AX18)</f>
        <v>0</v>
      </c>
      <c r="AY19" s="231">
        <f>SUM(AY4:AY18)</f>
        <v>0</v>
      </c>
      <c r="AZ19" s="231">
        <f>SUM(AZ4:AZ18)</f>
        <v>0</v>
      </c>
      <c r="BA19" s="301" t="s">
        <v>362</v>
      </c>
      <c r="BB19" s="231">
        <f>SUM(BB4:BB18)</f>
        <v>0</v>
      </c>
      <c r="BC19" s="231">
        <f>SUM(BC4:BC18)</f>
        <v>0</v>
      </c>
      <c r="BD19" s="231">
        <f>SUM(BD4:BD18)</f>
        <v>0</v>
      </c>
      <c r="BE19" s="231">
        <f>SUM(BE4:BE18)</f>
        <v>0</v>
      </c>
      <c r="BF19" s="231">
        <f>SUM(BF4:BF18)</f>
        <v>0</v>
      </c>
      <c r="BG19" s="301" t="s">
        <v>470</v>
      </c>
    </row>
    <row r="20" spans="2:59" ht="15" thickBot="1" x14ac:dyDescent="0.35">
      <c r="B20" s="247" t="s">
        <v>192</v>
      </c>
      <c r="C20" s="248" t="s">
        <v>219</v>
      </c>
      <c r="D20" s="249" t="s">
        <v>220</v>
      </c>
      <c r="E20" s="249" t="s">
        <v>332</v>
      </c>
      <c r="F20" s="249" t="s">
        <v>333</v>
      </c>
      <c r="G20" s="231" t="s">
        <v>535</v>
      </c>
      <c r="H20" s="247" t="s">
        <v>192</v>
      </c>
      <c r="I20" s="248" t="s">
        <v>219</v>
      </c>
      <c r="J20" s="249" t="s">
        <v>220</v>
      </c>
      <c r="K20" s="249" t="s">
        <v>332</v>
      </c>
      <c r="L20" s="249" t="s">
        <v>333</v>
      </c>
      <c r="M20" s="231" t="s">
        <v>535</v>
      </c>
      <c r="N20" s="238"/>
      <c r="O20" s="298"/>
      <c r="P20" s="304"/>
      <c r="Q20" s="496"/>
      <c r="R20" s="236"/>
      <c r="S20" s="303">
        <v>17</v>
      </c>
      <c r="T20" s="246" t="s">
        <v>336</v>
      </c>
      <c r="U20" s="246" t="s">
        <v>336</v>
      </c>
      <c r="V20" s="246" t="s">
        <v>336</v>
      </c>
      <c r="W20" s="246" t="s">
        <v>336</v>
      </c>
      <c r="X20" s="246" t="s">
        <v>336</v>
      </c>
      <c r="Y20" s="372">
        <v>17</v>
      </c>
      <c r="Z20" s="246" t="s">
        <v>336</v>
      </c>
      <c r="AA20" s="246" t="s">
        <v>336</v>
      </c>
      <c r="AB20" s="246" t="s">
        <v>336</v>
      </c>
      <c r="AC20" s="246" t="s">
        <v>336</v>
      </c>
      <c r="AD20" s="246" t="s">
        <v>336</v>
      </c>
      <c r="AE20" s="236"/>
      <c r="AF20" s="246" t="s">
        <v>336</v>
      </c>
      <c r="AG20" s="246" t="s">
        <v>336</v>
      </c>
      <c r="AH20" s="246" t="s">
        <v>336</v>
      </c>
      <c r="AI20" s="246" t="s">
        <v>336</v>
      </c>
      <c r="AJ20" s="246" t="s">
        <v>336</v>
      </c>
      <c r="AK20" s="364">
        <v>17</v>
      </c>
      <c r="AL20" s="246" t="s">
        <v>336</v>
      </c>
      <c r="AM20" s="246" t="s">
        <v>336</v>
      </c>
      <c r="AN20" s="246" t="s">
        <v>336</v>
      </c>
      <c r="AO20" s="246" t="s">
        <v>336</v>
      </c>
      <c r="AP20" s="246" t="s">
        <v>336</v>
      </c>
      <c r="AQ20" s="372">
        <v>17</v>
      </c>
      <c r="AR20" s="298"/>
      <c r="AS20" s="304"/>
      <c r="AT20" s="496"/>
      <c r="AU20" s="236"/>
      <c r="AV20" s="248" t="s">
        <v>219</v>
      </c>
      <c r="AW20" s="249" t="s">
        <v>220</v>
      </c>
      <c r="AX20" s="249" t="s">
        <v>332</v>
      </c>
      <c r="AY20" s="249" t="s">
        <v>333</v>
      </c>
      <c r="AZ20" s="231" t="s">
        <v>535</v>
      </c>
      <c r="BA20" s="247" t="s">
        <v>192</v>
      </c>
      <c r="BB20" s="248" t="s">
        <v>219</v>
      </c>
      <c r="BC20" s="249" t="s">
        <v>220</v>
      </c>
      <c r="BD20" s="249" t="s">
        <v>332</v>
      </c>
      <c r="BE20" s="249" t="s">
        <v>333</v>
      </c>
      <c r="BF20" s="231" t="s">
        <v>535</v>
      </c>
      <c r="BG20" s="247" t="s">
        <v>192</v>
      </c>
    </row>
    <row r="21" spans="2:59" x14ac:dyDescent="0.3">
      <c r="B21" s="302">
        <v>16</v>
      </c>
      <c r="C21" s="257" t="str">
        <f>T19</f>
        <v>N/A</v>
      </c>
      <c r="D21" s="257" t="str">
        <f>U19</f>
        <v>N/A</v>
      </c>
      <c r="E21" s="257" t="str">
        <f>V19</f>
        <v>N/A</v>
      </c>
      <c r="F21" s="257" t="str">
        <f>W19</f>
        <v>N/A</v>
      </c>
      <c r="G21" s="257" t="str">
        <f>X19</f>
        <v>N/A</v>
      </c>
      <c r="H21" s="355">
        <v>16</v>
      </c>
      <c r="I21" s="257" t="str">
        <f>Z19</f>
        <v>N/A</v>
      </c>
      <c r="J21" s="257" t="str">
        <f>AA19</f>
        <v>N/A</v>
      </c>
      <c r="K21" s="257" t="str">
        <f>AB19</f>
        <v>N/A</v>
      </c>
      <c r="L21" s="257" t="str">
        <f>AC19</f>
        <v>N/A</v>
      </c>
      <c r="M21" s="257" t="str">
        <f>AD19</f>
        <v>N/A</v>
      </c>
      <c r="N21" s="249"/>
      <c r="O21" s="298"/>
      <c r="P21" s="304"/>
      <c r="Q21" s="497"/>
      <c r="R21" s="236"/>
      <c r="S21" s="302">
        <v>18</v>
      </c>
      <c r="T21" s="254" t="s">
        <v>336</v>
      </c>
      <c r="U21" s="254" t="s">
        <v>336</v>
      </c>
      <c r="V21" s="254" t="s">
        <v>336</v>
      </c>
      <c r="W21" s="254" t="s">
        <v>336</v>
      </c>
      <c r="X21" s="254" t="s">
        <v>336</v>
      </c>
      <c r="Y21" s="371">
        <v>18</v>
      </c>
      <c r="Z21" s="254" t="s">
        <v>336</v>
      </c>
      <c r="AA21" s="254" t="s">
        <v>336</v>
      </c>
      <c r="AB21" s="254" t="s">
        <v>336</v>
      </c>
      <c r="AC21" s="254" t="s">
        <v>336</v>
      </c>
      <c r="AD21" s="254" t="s">
        <v>336</v>
      </c>
      <c r="AE21" s="236"/>
      <c r="AF21" s="254" t="s">
        <v>336</v>
      </c>
      <c r="AG21" s="254" t="s">
        <v>336</v>
      </c>
      <c r="AH21" s="254" t="s">
        <v>336</v>
      </c>
      <c r="AI21" s="254" t="s">
        <v>336</v>
      </c>
      <c r="AJ21" s="254" t="s">
        <v>336</v>
      </c>
      <c r="AK21" s="363">
        <v>18</v>
      </c>
      <c r="AL21" s="254" t="s">
        <v>336</v>
      </c>
      <c r="AM21" s="254" t="s">
        <v>336</v>
      </c>
      <c r="AN21" s="254" t="s">
        <v>336</v>
      </c>
      <c r="AO21" s="254" t="s">
        <v>336</v>
      </c>
      <c r="AP21" s="254" t="s">
        <v>336</v>
      </c>
      <c r="AQ21" s="371">
        <v>18</v>
      </c>
      <c r="AR21" s="298"/>
      <c r="AS21" s="304"/>
      <c r="AT21" s="497"/>
      <c r="AU21" s="236"/>
      <c r="AV21" s="257" t="str">
        <f>AF19</f>
        <v>N/A</v>
      </c>
      <c r="AW21" s="257" t="str">
        <f>AG19</f>
        <v>N/A</v>
      </c>
      <c r="AX21" s="257" t="str">
        <f>AH19</f>
        <v>N/A</v>
      </c>
      <c r="AY21" s="257" t="str">
        <f>AI19</f>
        <v>N/A</v>
      </c>
      <c r="AZ21" s="257" t="str">
        <f>AJ19</f>
        <v>N/A</v>
      </c>
      <c r="BA21" s="302">
        <v>16</v>
      </c>
      <c r="BB21" s="257" t="str">
        <f>AL19</f>
        <v>N/A</v>
      </c>
      <c r="BC21" s="257" t="str">
        <f t="shared" ref="BC21:BF34" si="8">AM19</f>
        <v>N/A</v>
      </c>
      <c r="BD21" s="257" t="str">
        <f t="shared" si="8"/>
        <v>N/A</v>
      </c>
      <c r="BE21" s="257" t="str">
        <f t="shared" si="8"/>
        <v>N/A</v>
      </c>
      <c r="BF21" s="257" t="str">
        <f t="shared" si="8"/>
        <v>N/A</v>
      </c>
      <c r="BG21" s="371">
        <v>16</v>
      </c>
    </row>
    <row r="22" spans="2:59" ht="15" thickBot="1" x14ac:dyDescent="0.35">
      <c r="B22" s="303">
        <v>17</v>
      </c>
      <c r="C22" s="265" t="str">
        <f t="shared" ref="C22:G34" si="9">T20</f>
        <v>N/A</v>
      </c>
      <c r="D22" s="265" t="str">
        <f t="shared" si="9"/>
        <v>N/A</v>
      </c>
      <c r="E22" s="265" t="str">
        <f t="shared" si="9"/>
        <v>N/A</v>
      </c>
      <c r="F22" s="265" t="str">
        <f t="shared" si="9"/>
        <v>N/A</v>
      </c>
      <c r="G22" s="265" t="str">
        <f t="shared" si="9"/>
        <v>N/A</v>
      </c>
      <c r="H22" s="356">
        <v>17</v>
      </c>
      <c r="I22" s="265" t="str">
        <f t="shared" ref="I22:M34" si="10">Z20</f>
        <v>N/A</v>
      </c>
      <c r="J22" s="265" t="str">
        <f t="shared" si="10"/>
        <v>N/A</v>
      </c>
      <c r="K22" s="265" t="str">
        <f t="shared" si="10"/>
        <v>N/A</v>
      </c>
      <c r="L22" s="265" t="str">
        <f t="shared" si="10"/>
        <v>N/A</v>
      </c>
      <c r="M22" s="265" t="str">
        <f t="shared" si="10"/>
        <v>N/A</v>
      </c>
      <c r="N22" s="260"/>
      <c r="O22" s="236"/>
      <c r="P22" s="236"/>
      <c r="Q22" s="236"/>
      <c r="R22" s="236"/>
      <c r="S22" s="303">
        <v>19</v>
      </c>
      <c r="T22" s="246" t="s">
        <v>336</v>
      </c>
      <c r="U22" s="246" t="s">
        <v>336</v>
      </c>
      <c r="V22" s="246" t="s">
        <v>336</v>
      </c>
      <c r="W22" s="246" t="s">
        <v>336</v>
      </c>
      <c r="X22" s="246" t="s">
        <v>336</v>
      </c>
      <c r="Y22" s="372">
        <v>19</v>
      </c>
      <c r="Z22" s="246" t="s">
        <v>336</v>
      </c>
      <c r="AA22" s="246" t="s">
        <v>336</v>
      </c>
      <c r="AB22" s="246" t="s">
        <v>336</v>
      </c>
      <c r="AC22" s="246" t="s">
        <v>336</v>
      </c>
      <c r="AD22" s="246" t="s">
        <v>336</v>
      </c>
      <c r="AE22" s="236"/>
      <c r="AF22" s="246" t="s">
        <v>336</v>
      </c>
      <c r="AG22" s="246" t="s">
        <v>336</v>
      </c>
      <c r="AH22" s="246" t="s">
        <v>336</v>
      </c>
      <c r="AI22" s="246" t="s">
        <v>336</v>
      </c>
      <c r="AJ22" s="246" t="s">
        <v>336</v>
      </c>
      <c r="AK22" s="364">
        <v>19</v>
      </c>
      <c r="AL22" s="246" t="s">
        <v>336</v>
      </c>
      <c r="AM22" s="246" t="s">
        <v>336</v>
      </c>
      <c r="AN22" s="246" t="s">
        <v>336</v>
      </c>
      <c r="AO22" s="246" t="s">
        <v>336</v>
      </c>
      <c r="AP22" s="246" t="s">
        <v>336</v>
      </c>
      <c r="AQ22" s="372">
        <v>19</v>
      </c>
      <c r="AR22" s="236"/>
      <c r="AS22" s="236"/>
      <c r="AT22" s="300"/>
      <c r="AU22" s="236"/>
      <c r="AV22" s="265" t="str">
        <f t="shared" ref="AV22:AZ34" si="11">AF20</f>
        <v>N/A</v>
      </c>
      <c r="AW22" s="265" t="str">
        <f t="shared" si="11"/>
        <v>N/A</v>
      </c>
      <c r="AX22" s="265" t="str">
        <f t="shared" si="11"/>
        <v>N/A</v>
      </c>
      <c r="AY22" s="265" t="str">
        <f t="shared" si="11"/>
        <v>N/A</v>
      </c>
      <c r="AZ22" s="265" t="str">
        <f t="shared" si="11"/>
        <v>N/A</v>
      </c>
      <c r="BA22" s="303">
        <v>17</v>
      </c>
      <c r="BB22" s="265" t="str">
        <f t="shared" ref="BB22:BB34" si="12">AL20</f>
        <v>N/A</v>
      </c>
      <c r="BC22" s="265" t="str">
        <f t="shared" si="8"/>
        <v>N/A</v>
      </c>
      <c r="BD22" s="265" t="str">
        <f t="shared" si="8"/>
        <v>N/A</v>
      </c>
      <c r="BE22" s="265" t="str">
        <f t="shared" si="8"/>
        <v>N/A</v>
      </c>
      <c r="BF22" s="265" t="str">
        <f t="shared" si="8"/>
        <v>N/A</v>
      </c>
      <c r="BG22" s="372">
        <v>17</v>
      </c>
    </row>
    <row r="23" spans="2:59" x14ac:dyDescent="0.3">
      <c r="B23" s="302">
        <v>18</v>
      </c>
      <c r="C23" s="257" t="str">
        <f t="shared" si="9"/>
        <v>N/A</v>
      </c>
      <c r="D23" s="257" t="str">
        <f t="shared" si="9"/>
        <v>N/A</v>
      </c>
      <c r="E23" s="257" t="str">
        <f t="shared" si="9"/>
        <v>N/A</v>
      </c>
      <c r="F23" s="257" t="str">
        <f t="shared" si="9"/>
        <v>N/A</v>
      </c>
      <c r="G23" s="257" t="str">
        <f t="shared" si="9"/>
        <v>N/A</v>
      </c>
      <c r="H23" s="355">
        <v>18</v>
      </c>
      <c r="I23" s="257" t="str">
        <f t="shared" si="10"/>
        <v>N/A</v>
      </c>
      <c r="J23" s="257" t="str">
        <f t="shared" si="10"/>
        <v>N/A</v>
      </c>
      <c r="K23" s="257" t="str">
        <f t="shared" si="10"/>
        <v>N/A</v>
      </c>
      <c r="L23" s="257" t="str">
        <f t="shared" si="10"/>
        <v>N/A</v>
      </c>
      <c r="M23" s="257" t="str">
        <f t="shared" si="10"/>
        <v>N/A</v>
      </c>
      <c r="N23" s="260"/>
      <c r="O23" s="236"/>
      <c r="P23" s="231"/>
      <c r="Q23" s="236"/>
      <c r="R23" s="236"/>
      <c r="S23" s="302">
        <v>20</v>
      </c>
      <c r="T23" s="254" t="s">
        <v>336</v>
      </c>
      <c r="U23" s="254" t="s">
        <v>336</v>
      </c>
      <c r="V23" s="254" t="s">
        <v>336</v>
      </c>
      <c r="W23" s="254" t="s">
        <v>336</v>
      </c>
      <c r="X23" s="254" t="s">
        <v>336</v>
      </c>
      <c r="Y23" s="371">
        <v>20</v>
      </c>
      <c r="Z23" s="254" t="s">
        <v>336</v>
      </c>
      <c r="AA23" s="254" t="s">
        <v>336</v>
      </c>
      <c r="AB23" s="254" t="s">
        <v>336</v>
      </c>
      <c r="AC23" s="254" t="s">
        <v>336</v>
      </c>
      <c r="AD23" s="254" t="s">
        <v>336</v>
      </c>
      <c r="AE23" s="236"/>
      <c r="AF23" s="254" t="s">
        <v>336</v>
      </c>
      <c r="AG23" s="254" t="s">
        <v>336</v>
      </c>
      <c r="AH23" s="254" t="s">
        <v>336</v>
      </c>
      <c r="AI23" s="254" t="s">
        <v>336</v>
      </c>
      <c r="AJ23" s="254" t="s">
        <v>336</v>
      </c>
      <c r="AK23" s="363">
        <v>20</v>
      </c>
      <c r="AL23" s="254" t="s">
        <v>336</v>
      </c>
      <c r="AM23" s="254" t="s">
        <v>336</v>
      </c>
      <c r="AN23" s="254" t="s">
        <v>336</v>
      </c>
      <c r="AO23" s="254" t="s">
        <v>336</v>
      </c>
      <c r="AP23" s="254" t="s">
        <v>336</v>
      </c>
      <c r="AQ23" s="371">
        <v>20</v>
      </c>
      <c r="AR23" s="236"/>
      <c r="AS23" s="231"/>
      <c r="AT23" s="236"/>
      <c r="AU23" s="236"/>
      <c r="AV23" s="257" t="str">
        <f t="shared" si="11"/>
        <v>N/A</v>
      </c>
      <c r="AW23" s="257" t="str">
        <f t="shared" si="11"/>
        <v>N/A</v>
      </c>
      <c r="AX23" s="257" t="str">
        <f t="shared" si="11"/>
        <v>N/A</v>
      </c>
      <c r="AY23" s="257" t="str">
        <f t="shared" si="11"/>
        <v>N/A</v>
      </c>
      <c r="AZ23" s="257" t="str">
        <f t="shared" si="11"/>
        <v>N/A</v>
      </c>
      <c r="BA23" s="302">
        <v>18</v>
      </c>
      <c r="BB23" s="257" t="str">
        <f t="shared" si="12"/>
        <v>N/A</v>
      </c>
      <c r="BC23" s="257" t="str">
        <f t="shared" si="8"/>
        <v>N/A</v>
      </c>
      <c r="BD23" s="257" t="str">
        <f t="shared" si="8"/>
        <v>N/A</v>
      </c>
      <c r="BE23" s="257" t="str">
        <f t="shared" si="8"/>
        <v>N/A</v>
      </c>
      <c r="BF23" s="257" t="str">
        <f t="shared" si="8"/>
        <v>N/A</v>
      </c>
      <c r="BG23" s="371">
        <v>18</v>
      </c>
    </row>
    <row r="24" spans="2:59" ht="15" thickBot="1" x14ac:dyDescent="0.35">
      <c r="B24" s="303">
        <v>19</v>
      </c>
      <c r="C24" s="265" t="str">
        <f t="shared" si="9"/>
        <v>N/A</v>
      </c>
      <c r="D24" s="265" t="str">
        <f t="shared" si="9"/>
        <v>N/A</v>
      </c>
      <c r="E24" s="265" t="str">
        <f t="shared" si="9"/>
        <v>N/A</v>
      </c>
      <c r="F24" s="265" t="str">
        <f t="shared" si="9"/>
        <v>N/A</v>
      </c>
      <c r="G24" s="265" t="str">
        <f t="shared" si="9"/>
        <v>N/A</v>
      </c>
      <c r="H24" s="356">
        <v>19</v>
      </c>
      <c r="I24" s="265" t="str">
        <f t="shared" si="10"/>
        <v>N/A</v>
      </c>
      <c r="J24" s="265" t="str">
        <f t="shared" si="10"/>
        <v>N/A</v>
      </c>
      <c r="K24" s="265" t="str">
        <f t="shared" si="10"/>
        <v>N/A</v>
      </c>
      <c r="L24" s="265" t="str">
        <f t="shared" si="10"/>
        <v>N/A</v>
      </c>
      <c r="M24" s="265" t="str">
        <f t="shared" si="10"/>
        <v>N/A</v>
      </c>
      <c r="N24" s="260"/>
      <c r="O24" s="298"/>
      <c r="P24" s="304"/>
      <c r="Q24" s="936"/>
      <c r="R24" s="236"/>
      <c r="S24" s="303">
        <v>21</v>
      </c>
      <c r="T24" s="246" t="s">
        <v>336</v>
      </c>
      <c r="U24" s="246" t="s">
        <v>336</v>
      </c>
      <c r="V24" s="246" t="s">
        <v>336</v>
      </c>
      <c r="W24" s="246" t="s">
        <v>336</v>
      </c>
      <c r="X24" s="246" t="s">
        <v>336</v>
      </c>
      <c r="Y24" s="372">
        <v>21</v>
      </c>
      <c r="Z24" s="246" t="s">
        <v>336</v>
      </c>
      <c r="AA24" s="246" t="s">
        <v>336</v>
      </c>
      <c r="AB24" s="246" t="s">
        <v>336</v>
      </c>
      <c r="AC24" s="246" t="s">
        <v>336</v>
      </c>
      <c r="AD24" s="246" t="s">
        <v>336</v>
      </c>
      <c r="AE24" s="236"/>
      <c r="AF24" s="246" t="s">
        <v>336</v>
      </c>
      <c r="AG24" s="246" t="s">
        <v>336</v>
      </c>
      <c r="AH24" s="246" t="s">
        <v>336</v>
      </c>
      <c r="AI24" s="246" t="s">
        <v>336</v>
      </c>
      <c r="AJ24" s="246" t="s">
        <v>336</v>
      </c>
      <c r="AK24" s="364">
        <v>21</v>
      </c>
      <c r="AL24" s="246" t="s">
        <v>336</v>
      </c>
      <c r="AM24" s="246" t="s">
        <v>336</v>
      </c>
      <c r="AN24" s="246" t="s">
        <v>336</v>
      </c>
      <c r="AO24" s="246" t="s">
        <v>336</v>
      </c>
      <c r="AP24" s="246" t="s">
        <v>336</v>
      </c>
      <c r="AQ24" s="372">
        <v>21</v>
      </c>
      <c r="AR24" s="298"/>
      <c r="AS24" s="304"/>
      <c r="AT24" s="936"/>
      <c r="AU24" s="236"/>
      <c r="AV24" s="265" t="str">
        <f t="shared" si="11"/>
        <v>N/A</v>
      </c>
      <c r="AW24" s="265" t="str">
        <f t="shared" si="11"/>
        <v>N/A</v>
      </c>
      <c r="AX24" s="265" t="str">
        <f t="shared" si="11"/>
        <v>N/A</v>
      </c>
      <c r="AY24" s="265" t="str">
        <f t="shared" si="11"/>
        <v>N/A</v>
      </c>
      <c r="AZ24" s="265" t="str">
        <f t="shared" si="11"/>
        <v>N/A</v>
      </c>
      <c r="BA24" s="303">
        <v>19</v>
      </c>
      <c r="BB24" s="265" t="str">
        <f t="shared" si="12"/>
        <v>N/A</v>
      </c>
      <c r="BC24" s="265" t="str">
        <f t="shared" si="8"/>
        <v>N/A</v>
      </c>
      <c r="BD24" s="265" t="str">
        <f t="shared" si="8"/>
        <v>N/A</v>
      </c>
      <c r="BE24" s="265" t="str">
        <f t="shared" si="8"/>
        <v>N/A</v>
      </c>
      <c r="BF24" s="265" t="str">
        <f t="shared" si="8"/>
        <v>N/A</v>
      </c>
      <c r="BG24" s="372">
        <v>19</v>
      </c>
    </row>
    <row r="25" spans="2:59" x14ac:dyDescent="0.3">
      <c r="B25" s="302">
        <v>20</v>
      </c>
      <c r="C25" s="257" t="str">
        <f t="shared" si="9"/>
        <v>N/A</v>
      </c>
      <c r="D25" s="257" t="str">
        <f t="shared" si="9"/>
        <v>N/A</v>
      </c>
      <c r="E25" s="257" t="str">
        <f t="shared" si="9"/>
        <v>N/A</v>
      </c>
      <c r="F25" s="257" t="str">
        <f t="shared" si="9"/>
        <v>N/A</v>
      </c>
      <c r="G25" s="257" t="str">
        <f t="shared" si="9"/>
        <v>N/A</v>
      </c>
      <c r="H25" s="355">
        <v>20</v>
      </c>
      <c r="I25" s="257" t="str">
        <f t="shared" si="10"/>
        <v>N/A</v>
      </c>
      <c r="J25" s="257" t="str">
        <f t="shared" si="10"/>
        <v>N/A</v>
      </c>
      <c r="K25" s="257" t="str">
        <f t="shared" si="10"/>
        <v>N/A</v>
      </c>
      <c r="L25" s="257" t="str">
        <f t="shared" si="10"/>
        <v>N/A</v>
      </c>
      <c r="M25" s="257" t="str">
        <f t="shared" si="10"/>
        <v>N/A</v>
      </c>
      <c r="N25" s="260"/>
      <c r="O25" s="298"/>
      <c r="P25" s="304"/>
      <c r="Q25" s="937"/>
      <c r="R25" s="236"/>
      <c r="S25" s="302">
        <v>22</v>
      </c>
      <c r="T25" s="254" t="s">
        <v>336</v>
      </c>
      <c r="U25" s="254" t="s">
        <v>336</v>
      </c>
      <c r="V25" s="254" t="s">
        <v>336</v>
      </c>
      <c r="W25" s="254" t="s">
        <v>336</v>
      </c>
      <c r="X25" s="254" t="s">
        <v>336</v>
      </c>
      <c r="Y25" s="371">
        <v>22</v>
      </c>
      <c r="Z25" s="254" t="s">
        <v>336</v>
      </c>
      <c r="AA25" s="254" t="s">
        <v>336</v>
      </c>
      <c r="AB25" s="254" t="s">
        <v>336</v>
      </c>
      <c r="AC25" s="254" t="s">
        <v>336</v>
      </c>
      <c r="AD25" s="254" t="s">
        <v>336</v>
      </c>
      <c r="AE25" s="236"/>
      <c r="AF25" s="254" t="s">
        <v>336</v>
      </c>
      <c r="AG25" s="254" t="s">
        <v>336</v>
      </c>
      <c r="AH25" s="254" t="s">
        <v>336</v>
      </c>
      <c r="AI25" s="254" t="s">
        <v>336</v>
      </c>
      <c r="AJ25" s="254" t="s">
        <v>336</v>
      </c>
      <c r="AK25" s="363">
        <v>22</v>
      </c>
      <c r="AL25" s="254" t="s">
        <v>336</v>
      </c>
      <c r="AM25" s="254" t="s">
        <v>336</v>
      </c>
      <c r="AN25" s="254" t="s">
        <v>336</v>
      </c>
      <c r="AO25" s="254" t="s">
        <v>336</v>
      </c>
      <c r="AP25" s="254" t="s">
        <v>336</v>
      </c>
      <c r="AQ25" s="371">
        <v>22</v>
      </c>
      <c r="AR25" s="298"/>
      <c r="AS25" s="304"/>
      <c r="AT25" s="937"/>
      <c r="AU25" s="236"/>
      <c r="AV25" s="257" t="str">
        <f t="shared" si="11"/>
        <v>N/A</v>
      </c>
      <c r="AW25" s="257" t="str">
        <f t="shared" si="11"/>
        <v>N/A</v>
      </c>
      <c r="AX25" s="257" t="str">
        <f t="shared" si="11"/>
        <v>N/A</v>
      </c>
      <c r="AY25" s="257" t="str">
        <f t="shared" si="11"/>
        <v>N/A</v>
      </c>
      <c r="AZ25" s="257" t="str">
        <f t="shared" si="11"/>
        <v>N/A</v>
      </c>
      <c r="BA25" s="302">
        <v>20</v>
      </c>
      <c r="BB25" s="257" t="str">
        <f t="shared" si="12"/>
        <v>N/A</v>
      </c>
      <c r="BC25" s="257" t="str">
        <f t="shared" si="8"/>
        <v>N/A</v>
      </c>
      <c r="BD25" s="257" t="str">
        <f t="shared" si="8"/>
        <v>N/A</v>
      </c>
      <c r="BE25" s="257" t="str">
        <f t="shared" si="8"/>
        <v>N/A</v>
      </c>
      <c r="BF25" s="257" t="str">
        <f t="shared" si="8"/>
        <v>N/A</v>
      </c>
      <c r="BG25" s="371">
        <v>20</v>
      </c>
    </row>
    <row r="26" spans="2:59" ht="15" thickBot="1" x14ac:dyDescent="0.35">
      <c r="B26" s="303">
        <v>21</v>
      </c>
      <c r="C26" s="265" t="str">
        <f t="shared" si="9"/>
        <v>N/A</v>
      </c>
      <c r="D26" s="265" t="str">
        <f t="shared" si="9"/>
        <v>N/A</v>
      </c>
      <c r="E26" s="265" t="str">
        <f t="shared" si="9"/>
        <v>N/A</v>
      </c>
      <c r="F26" s="265" t="str">
        <f t="shared" si="9"/>
        <v>N/A</v>
      </c>
      <c r="G26" s="265" t="str">
        <f t="shared" si="9"/>
        <v>N/A</v>
      </c>
      <c r="H26" s="356">
        <v>21</v>
      </c>
      <c r="I26" s="265" t="str">
        <f t="shared" si="10"/>
        <v>N/A</v>
      </c>
      <c r="J26" s="265" t="str">
        <f t="shared" si="10"/>
        <v>N/A</v>
      </c>
      <c r="K26" s="265" t="str">
        <f t="shared" si="10"/>
        <v>N/A</v>
      </c>
      <c r="L26" s="265" t="str">
        <f t="shared" si="10"/>
        <v>N/A</v>
      </c>
      <c r="M26" s="265" t="str">
        <f t="shared" si="10"/>
        <v>N/A</v>
      </c>
      <c r="N26" s="260"/>
      <c r="O26" s="298"/>
      <c r="P26" s="304"/>
      <c r="Q26" s="938"/>
      <c r="R26" s="236"/>
      <c r="S26" s="303">
        <v>23</v>
      </c>
      <c r="T26" s="246" t="s">
        <v>336</v>
      </c>
      <c r="U26" s="246" t="s">
        <v>336</v>
      </c>
      <c r="V26" s="246" t="s">
        <v>336</v>
      </c>
      <c r="W26" s="246" t="s">
        <v>336</v>
      </c>
      <c r="X26" s="246" t="s">
        <v>336</v>
      </c>
      <c r="Y26" s="372">
        <v>23</v>
      </c>
      <c r="Z26" s="246" t="s">
        <v>336</v>
      </c>
      <c r="AA26" s="246" t="s">
        <v>336</v>
      </c>
      <c r="AB26" s="246" t="s">
        <v>336</v>
      </c>
      <c r="AC26" s="246" t="s">
        <v>336</v>
      </c>
      <c r="AD26" s="246" t="s">
        <v>336</v>
      </c>
      <c r="AE26" s="236"/>
      <c r="AF26" s="246" t="s">
        <v>336</v>
      </c>
      <c r="AG26" s="246" t="s">
        <v>336</v>
      </c>
      <c r="AH26" s="246" t="s">
        <v>336</v>
      </c>
      <c r="AI26" s="246" t="s">
        <v>336</v>
      </c>
      <c r="AJ26" s="246" t="s">
        <v>336</v>
      </c>
      <c r="AK26" s="364">
        <v>23</v>
      </c>
      <c r="AL26" s="246" t="s">
        <v>336</v>
      </c>
      <c r="AM26" s="246" t="s">
        <v>336</v>
      </c>
      <c r="AN26" s="246" t="s">
        <v>336</v>
      </c>
      <c r="AO26" s="246" t="s">
        <v>336</v>
      </c>
      <c r="AP26" s="246" t="s">
        <v>336</v>
      </c>
      <c r="AQ26" s="372">
        <v>23</v>
      </c>
      <c r="AR26" s="298"/>
      <c r="AS26" s="304"/>
      <c r="AT26" s="938"/>
      <c r="AU26" s="236"/>
      <c r="AV26" s="265" t="str">
        <f t="shared" si="11"/>
        <v>N/A</v>
      </c>
      <c r="AW26" s="265" t="str">
        <f t="shared" si="11"/>
        <v>N/A</v>
      </c>
      <c r="AX26" s="265" t="str">
        <f t="shared" si="11"/>
        <v>N/A</v>
      </c>
      <c r="AY26" s="265" t="str">
        <f t="shared" si="11"/>
        <v>N/A</v>
      </c>
      <c r="AZ26" s="265" t="str">
        <f t="shared" si="11"/>
        <v>N/A</v>
      </c>
      <c r="BA26" s="303">
        <v>21</v>
      </c>
      <c r="BB26" s="265" t="str">
        <f t="shared" si="12"/>
        <v>N/A</v>
      </c>
      <c r="BC26" s="265" t="str">
        <f t="shared" si="8"/>
        <v>N/A</v>
      </c>
      <c r="BD26" s="265" t="str">
        <f t="shared" si="8"/>
        <v>N/A</v>
      </c>
      <c r="BE26" s="265" t="str">
        <f t="shared" si="8"/>
        <v>N/A</v>
      </c>
      <c r="BF26" s="265" t="str">
        <f t="shared" si="8"/>
        <v>N/A</v>
      </c>
      <c r="BG26" s="372">
        <v>21</v>
      </c>
    </row>
    <row r="27" spans="2:59" x14ac:dyDescent="0.3">
      <c r="B27" s="302">
        <v>22</v>
      </c>
      <c r="C27" s="257" t="str">
        <f t="shared" si="9"/>
        <v>N/A</v>
      </c>
      <c r="D27" s="257" t="str">
        <f t="shared" si="9"/>
        <v>N/A</v>
      </c>
      <c r="E27" s="257" t="str">
        <f t="shared" si="9"/>
        <v>N/A</v>
      </c>
      <c r="F27" s="257" t="str">
        <f t="shared" si="9"/>
        <v>N/A</v>
      </c>
      <c r="G27" s="257" t="str">
        <f t="shared" si="9"/>
        <v>N/A</v>
      </c>
      <c r="H27" s="355">
        <v>22</v>
      </c>
      <c r="I27" s="257" t="str">
        <f t="shared" si="10"/>
        <v>N/A</v>
      </c>
      <c r="J27" s="257" t="str">
        <f t="shared" si="10"/>
        <v>N/A</v>
      </c>
      <c r="K27" s="257" t="str">
        <f t="shared" si="10"/>
        <v>N/A</v>
      </c>
      <c r="L27" s="257" t="str">
        <f t="shared" si="10"/>
        <v>N/A</v>
      </c>
      <c r="M27" s="257" t="str">
        <f t="shared" si="10"/>
        <v>N/A</v>
      </c>
      <c r="N27" s="260"/>
      <c r="O27" s="236"/>
      <c r="P27" s="236"/>
      <c r="Q27" s="236"/>
      <c r="R27" s="236"/>
      <c r="S27" s="302">
        <v>24</v>
      </c>
      <c r="T27" s="254" t="s">
        <v>336</v>
      </c>
      <c r="U27" s="254" t="s">
        <v>336</v>
      </c>
      <c r="V27" s="254" t="s">
        <v>336</v>
      </c>
      <c r="W27" s="254" t="s">
        <v>336</v>
      </c>
      <c r="X27" s="254" t="s">
        <v>336</v>
      </c>
      <c r="Y27" s="371">
        <v>24</v>
      </c>
      <c r="Z27" s="254" t="s">
        <v>336</v>
      </c>
      <c r="AA27" s="254" t="s">
        <v>336</v>
      </c>
      <c r="AB27" s="254" t="s">
        <v>336</v>
      </c>
      <c r="AC27" s="254" t="s">
        <v>336</v>
      </c>
      <c r="AD27" s="254" t="s">
        <v>336</v>
      </c>
      <c r="AE27" s="236"/>
      <c r="AF27" s="254" t="s">
        <v>336</v>
      </c>
      <c r="AG27" s="254" t="s">
        <v>336</v>
      </c>
      <c r="AH27" s="254" t="s">
        <v>336</v>
      </c>
      <c r="AI27" s="254" t="s">
        <v>336</v>
      </c>
      <c r="AJ27" s="254" t="s">
        <v>336</v>
      </c>
      <c r="AK27" s="363">
        <v>24</v>
      </c>
      <c r="AL27" s="254" t="s">
        <v>336</v>
      </c>
      <c r="AM27" s="254" t="s">
        <v>336</v>
      </c>
      <c r="AN27" s="254" t="s">
        <v>336</v>
      </c>
      <c r="AO27" s="254" t="s">
        <v>336</v>
      </c>
      <c r="AP27" s="254" t="s">
        <v>336</v>
      </c>
      <c r="AQ27" s="371">
        <v>24</v>
      </c>
      <c r="AR27" s="236"/>
      <c r="AS27" s="236"/>
      <c r="AT27" s="300"/>
      <c r="AU27" s="236"/>
      <c r="AV27" s="257" t="str">
        <f t="shared" si="11"/>
        <v>N/A</v>
      </c>
      <c r="AW27" s="257" t="str">
        <f t="shared" si="11"/>
        <v>N/A</v>
      </c>
      <c r="AX27" s="257" t="str">
        <f t="shared" si="11"/>
        <v>N/A</v>
      </c>
      <c r="AY27" s="257" t="str">
        <f t="shared" si="11"/>
        <v>N/A</v>
      </c>
      <c r="AZ27" s="257" t="str">
        <f t="shared" si="11"/>
        <v>N/A</v>
      </c>
      <c r="BA27" s="302">
        <v>22</v>
      </c>
      <c r="BB27" s="257" t="str">
        <f t="shared" si="12"/>
        <v>N/A</v>
      </c>
      <c r="BC27" s="257" t="str">
        <f t="shared" si="8"/>
        <v>N/A</v>
      </c>
      <c r="BD27" s="257" t="str">
        <f t="shared" si="8"/>
        <v>N/A</v>
      </c>
      <c r="BE27" s="257" t="str">
        <f t="shared" si="8"/>
        <v>N/A</v>
      </c>
      <c r="BF27" s="257" t="str">
        <f t="shared" si="8"/>
        <v>N/A</v>
      </c>
      <c r="BG27" s="371">
        <v>22</v>
      </c>
    </row>
    <row r="28" spans="2:59" ht="15" thickBot="1" x14ac:dyDescent="0.35">
      <c r="B28" s="303">
        <v>23</v>
      </c>
      <c r="C28" s="265" t="str">
        <f t="shared" si="9"/>
        <v>N/A</v>
      </c>
      <c r="D28" s="265" t="str">
        <f t="shared" si="9"/>
        <v>N/A</v>
      </c>
      <c r="E28" s="265" t="str">
        <f t="shared" si="9"/>
        <v>N/A</v>
      </c>
      <c r="F28" s="265" t="str">
        <f t="shared" si="9"/>
        <v>N/A</v>
      </c>
      <c r="G28" s="265" t="str">
        <f t="shared" si="9"/>
        <v>N/A</v>
      </c>
      <c r="H28" s="356">
        <v>23</v>
      </c>
      <c r="I28" s="265" t="str">
        <f t="shared" si="10"/>
        <v>N/A</v>
      </c>
      <c r="J28" s="265" t="str">
        <f t="shared" si="10"/>
        <v>N/A</v>
      </c>
      <c r="K28" s="265" t="str">
        <f t="shared" si="10"/>
        <v>N/A</v>
      </c>
      <c r="L28" s="265" t="str">
        <f t="shared" si="10"/>
        <v>N/A</v>
      </c>
      <c r="M28" s="265" t="str">
        <f t="shared" si="10"/>
        <v>N/A</v>
      </c>
      <c r="N28" s="260"/>
      <c r="O28" s="236"/>
      <c r="P28" s="231"/>
      <c r="Q28" s="236"/>
      <c r="R28" s="236"/>
      <c r="S28" s="303">
        <v>25</v>
      </c>
      <c r="T28" s="246" t="s">
        <v>336</v>
      </c>
      <c r="U28" s="246" t="s">
        <v>336</v>
      </c>
      <c r="V28" s="246" t="s">
        <v>336</v>
      </c>
      <c r="W28" s="246" t="s">
        <v>336</v>
      </c>
      <c r="X28" s="246" t="s">
        <v>336</v>
      </c>
      <c r="Y28" s="372">
        <v>25</v>
      </c>
      <c r="Z28" s="246" t="s">
        <v>336</v>
      </c>
      <c r="AA28" s="246" t="s">
        <v>336</v>
      </c>
      <c r="AB28" s="246" t="s">
        <v>336</v>
      </c>
      <c r="AC28" s="246" t="s">
        <v>336</v>
      </c>
      <c r="AD28" s="246" t="s">
        <v>336</v>
      </c>
      <c r="AE28" s="236"/>
      <c r="AF28" s="246" t="s">
        <v>336</v>
      </c>
      <c r="AG28" s="246" t="s">
        <v>336</v>
      </c>
      <c r="AH28" s="246" t="s">
        <v>336</v>
      </c>
      <c r="AI28" s="246" t="s">
        <v>336</v>
      </c>
      <c r="AJ28" s="246" t="s">
        <v>336</v>
      </c>
      <c r="AK28" s="364">
        <v>25</v>
      </c>
      <c r="AL28" s="246" t="s">
        <v>336</v>
      </c>
      <c r="AM28" s="246" t="s">
        <v>336</v>
      </c>
      <c r="AN28" s="246" t="s">
        <v>336</v>
      </c>
      <c r="AO28" s="246" t="s">
        <v>336</v>
      </c>
      <c r="AP28" s="246" t="s">
        <v>336</v>
      </c>
      <c r="AQ28" s="372">
        <v>25</v>
      </c>
      <c r="AR28" s="236"/>
      <c r="AS28" s="231"/>
      <c r="AT28" s="236"/>
      <c r="AU28" s="236"/>
      <c r="AV28" s="265" t="str">
        <f t="shared" si="11"/>
        <v>N/A</v>
      </c>
      <c r="AW28" s="265" t="str">
        <f t="shared" si="11"/>
        <v>N/A</v>
      </c>
      <c r="AX28" s="265" t="str">
        <f t="shared" si="11"/>
        <v>N/A</v>
      </c>
      <c r="AY28" s="265" t="str">
        <f t="shared" si="11"/>
        <v>N/A</v>
      </c>
      <c r="AZ28" s="265" t="str">
        <f t="shared" si="11"/>
        <v>N/A</v>
      </c>
      <c r="BA28" s="303">
        <v>23</v>
      </c>
      <c r="BB28" s="265" t="str">
        <f t="shared" si="12"/>
        <v>N/A</v>
      </c>
      <c r="BC28" s="265" t="str">
        <f t="shared" si="8"/>
        <v>N/A</v>
      </c>
      <c r="BD28" s="265" t="str">
        <f t="shared" si="8"/>
        <v>N/A</v>
      </c>
      <c r="BE28" s="265" t="str">
        <f t="shared" si="8"/>
        <v>N/A</v>
      </c>
      <c r="BF28" s="265" t="str">
        <f t="shared" si="8"/>
        <v>N/A</v>
      </c>
      <c r="BG28" s="372">
        <v>23</v>
      </c>
    </row>
    <row r="29" spans="2:59" x14ac:dyDescent="0.3">
      <c r="B29" s="302">
        <v>24</v>
      </c>
      <c r="C29" s="257" t="str">
        <f t="shared" si="9"/>
        <v>N/A</v>
      </c>
      <c r="D29" s="257" t="str">
        <f t="shared" si="9"/>
        <v>N/A</v>
      </c>
      <c r="E29" s="257" t="str">
        <f t="shared" si="9"/>
        <v>N/A</v>
      </c>
      <c r="F29" s="257" t="str">
        <f t="shared" si="9"/>
        <v>N/A</v>
      </c>
      <c r="G29" s="257" t="str">
        <f t="shared" si="9"/>
        <v>N/A</v>
      </c>
      <c r="H29" s="355">
        <v>24</v>
      </c>
      <c r="I29" s="257" t="str">
        <f t="shared" si="10"/>
        <v>N/A</v>
      </c>
      <c r="J29" s="257" t="str">
        <f t="shared" si="10"/>
        <v>N/A</v>
      </c>
      <c r="K29" s="257" t="str">
        <f t="shared" si="10"/>
        <v>N/A</v>
      </c>
      <c r="L29" s="257" t="str">
        <f t="shared" si="10"/>
        <v>N/A</v>
      </c>
      <c r="M29" s="257" t="str">
        <f t="shared" si="10"/>
        <v>N/A</v>
      </c>
      <c r="N29" s="260"/>
      <c r="O29" s="298"/>
      <c r="P29" s="304"/>
      <c r="Q29" s="376"/>
      <c r="R29" s="236"/>
      <c r="S29" s="302">
        <v>26</v>
      </c>
      <c r="T29" s="254" t="s">
        <v>336</v>
      </c>
      <c r="U29" s="254" t="s">
        <v>336</v>
      </c>
      <c r="V29" s="254" t="s">
        <v>336</v>
      </c>
      <c r="W29" s="254" t="s">
        <v>336</v>
      </c>
      <c r="X29" s="254" t="s">
        <v>336</v>
      </c>
      <c r="Y29" s="371">
        <v>26</v>
      </c>
      <c r="Z29" s="254" t="s">
        <v>336</v>
      </c>
      <c r="AA29" s="254" t="s">
        <v>336</v>
      </c>
      <c r="AB29" s="254" t="s">
        <v>336</v>
      </c>
      <c r="AC29" s="254" t="s">
        <v>336</v>
      </c>
      <c r="AD29" s="254" t="s">
        <v>336</v>
      </c>
      <c r="AE29" s="236"/>
      <c r="AF29" s="254" t="s">
        <v>336</v>
      </c>
      <c r="AG29" s="254" t="s">
        <v>336</v>
      </c>
      <c r="AH29" s="254" t="s">
        <v>336</v>
      </c>
      <c r="AI29" s="254" t="s">
        <v>336</v>
      </c>
      <c r="AJ29" s="254" t="s">
        <v>336</v>
      </c>
      <c r="AK29" s="363">
        <v>26</v>
      </c>
      <c r="AL29" s="254" t="s">
        <v>336</v>
      </c>
      <c r="AM29" s="254" t="s">
        <v>336</v>
      </c>
      <c r="AN29" s="254" t="s">
        <v>336</v>
      </c>
      <c r="AO29" s="254" t="s">
        <v>336</v>
      </c>
      <c r="AP29" s="254" t="s">
        <v>336</v>
      </c>
      <c r="AQ29" s="371">
        <v>26</v>
      </c>
      <c r="AR29" s="236"/>
      <c r="AS29" s="304"/>
      <c r="AT29" s="236"/>
      <c r="AU29" s="236"/>
      <c r="AV29" s="257" t="str">
        <f t="shared" si="11"/>
        <v>N/A</v>
      </c>
      <c r="AW29" s="257" t="str">
        <f t="shared" si="11"/>
        <v>N/A</v>
      </c>
      <c r="AX29" s="257" t="str">
        <f t="shared" si="11"/>
        <v>N/A</v>
      </c>
      <c r="AY29" s="257" t="str">
        <f t="shared" si="11"/>
        <v>N/A</v>
      </c>
      <c r="AZ29" s="257" t="str">
        <f t="shared" si="11"/>
        <v>N/A</v>
      </c>
      <c r="BA29" s="302">
        <v>24</v>
      </c>
      <c r="BB29" s="257" t="str">
        <f t="shared" si="12"/>
        <v>N/A</v>
      </c>
      <c r="BC29" s="257" t="str">
        <f t="shared" si="8"/>
        <v>N/A</v>
      </c>
      <c r="BD29" s="257" t="str">
        <f t="shared" si="8"/>
        <v>N/A</v>
      </c>
      <c r="BE29" s="257" t="str">
        <f t="shared" si="8"/>
        <v>N/A</v>
      </c>
      <c r="BF29" s="257" t="str">
        <f t="shared" si="8"/>
        <v>N/A</v>
      </c>
      <c r="BG29" s="371">
        <v>24</v>
      </c>
    </row>
    <row r="30" spans="2:59" ht="15" thickBot="1" x14ac:dyDescent="0.35">
      <c r="B30" s="303">
        <v>25</v>
      </c>
      <c r="C30" s="265" t="str">
        <f t="shared" si="9"/>
        <v>N/A</v>
      </c>
      <c r="D30" s="265" t="str">
        <f t="shared" si="9"/>
        <v>N/A</v>
      </c>
      <c r="E30" s="265" t="str">
        <f t="shared" si="9"/>
        <v>N/A</v>
      </c>
      <c r="F30" s="265" t="str">
        <f t="shared" si="9"/>
        <v>N/A</v>
      </c>
      <c r="G30" s="265" t="str">
        <f t="shared" si="9"/>
        <v>N/A</v>
      </c>
      <c r="H30" s="356">
        <v>25</v>
      </c>
      <c r="I30" s="265" t="str">
        <f t="shared" si="10"/>
        <v>N/A</v>
      </c>
      <c r="J30" s="265" t="str">
        <f t="shared" si="10"/>
        <v>N/A</v>
      </c>
      <c r="K30" s="265" t="str">
        <f t="shared" si="10"/>
        <v>N/A</v>
      </c>
      <c r="L30" s="265" t="str">
        <f t="shared" si="10"/>
        <v>N/A</v>
      </c>
      <c r="M30" s="265" t="str">
        <f t="shared" si="10"/>
        <v>N/A</v>
      </c>
      <c r="N30" s="260"/>
      <c r="O30" s="298"/>
      <c r="P30" s="304"/>
      <c r="Q30" s="377"/>
      <c r="R30" s="236"/>
      <c r="S30" s="303">
        <v>27</v>
      </c>
      <c r="T30" s="246" t="s">
        <v>336</v>
      </c>
      <c r="U30" s="246" t="s">
        <v>336</v>
      </c>
      <c r="V30" s="246" t="s">
        <v>336</v>
      </c>
      <c r="W30" s="246" t="s">
        <v>336</v>
      </c>
      <c r="X30" s="246" t="s">
        <v>336</v>
      </c>
      <c r="Y30" s="372">
        <v>27</v>
      </c>
      <c r="Z30" s="246" t="s">
        <v>336</v>
      </c>
      <c r="AA30" s="246" t="s">
        <v>336</v>
      </c>
      <c r="AB30" s="246" t="s">
        <v>336</v>
      </c>
      <c r="AC30" s="246" t="s">
        <v>336</v>
      </c>
      <c r="AD30" s="246" t="s">
        <v>336</v>
      </c>
      <c r="AE30" s="236"/>
      <c r="AF30" s="246" t="s">
        <v>336</v>
      </c>
      <c r="AG30" s="246" t="s">
        <v>336</v>
      </c>
      <c r="AH30" s="246" t="s">
        <v>336</v>
      </c>
      <c r="AI30" s="246" t="s">
        <v>336</v>
      </c>
      <c r="AJ30" s="246" t="s">
        <v>336</v>
      </c>
      <c r="AK30" s="364">
        <v>27</v>
      </c>
      <c r="AL30" s="246" t="s">
        <v>336</v>
      </c>
      <c r="AM30" s="246" t="s">
        <v>336</v>
      </c>
      <c r="AN30" s="246" t="s">
        <v>336</v>
      </c>
      <c r="AO30" s="246" t="s">
        <v>336</v>
      </c>
      <c r="AP30" s="246" t="s">
        <v>336</v>
      </c>
      <c r="AQ30" s="372">
        <v>27</v>
      </c>
      <c r="AR30" s="236"/>
      <c r="AS30" s="236"/>
      <c r="AT30" s="236"/>
      <c r="AU30" s="236"/>
      <c r="AV30" s="265" t="str">
        <f t="shared" si="11"/>
        <v>N/A</v>
      </c>
      <c r="AW30" s="265" t="str">
        <f t="shared" si="11"/>
        <v>N/A</v>
      </c>
      <c r="AX30" s="265" t="str">
        <f t="shared" si="11"/>
        <v>N/A</v>
      </c>
      <c r="AY30" s="265" t="str">
        <f t="shared" si="11"/>
        <v>N/A</v>
      </c>
      <c r="AZ30" s="265" t="str">
        <f t="shared" si="11"/>
        <v>N/A</v>
      </c>
      <c r="BA30" s="303">
        <v>25</v>
      </c>
      <c r="BB30" s="265" t="str">
        <f t="shared" si="12"/>
        <v>N/A</v>
      </c>
      <c r="BC30" s="265" t="str">
        <f t="shared" si="8"/>
        <v>N/A</v>
      </c>
      <c r="BD30" s="265" t="str">
        <f t="shared" si="8"/>
        <v>N/A</v>
      </c>
      <c r="BE30" s="265" t="str">
        <f t="shared" si="8"/>
        <v>N/A</v>
      </c>
      <c r="BF30" s="265" t="str">
        <f t="shared" si="8"/>
        <v>N/A</v>
      </c>
      <c r="BG30" s="372">
        <v>25</v>
      </c>
    </row>
    <row r="31" spans="2:59" x14ac:dyDescent="0.3">
      <c r="B31" s="302">
        <v>26</v>
      </c>
      <c r="C31" s="257" t="str">
        <f t="shared" si="9"/>
        <v>N/A</v>
      </c>
      <c r="D31" s="257" t="str">
        <f t="shared" si="9"/>
        <v>N/A</v>
      </c>
      <c r="E31" s="257" t="str">
        <f t="shared" si="9"/>
        <v>N/A</v>
      </c>
      <c r="F31" s="257" t="str">
        <f t="shared" si="9"/>
        <v>N/A</v>
      </c>
      <c r="G31" s="257" t="str">
        <f t="shared" si="9"/>
        <v>N/A</v>
      </c>
      <c r="H31" s="355">
        <v>26</v>
      </c>
      <c r="I31" s="257" t="str">
        <f t="shared" si="10"/>
        <v>N/A</v>
      </c>
      <c r="J31" s="257" t="str">
        <f t="shared" si="10"/>
        <v>N/A</v>
      </c>
      <c r="K31" s="257" t="str">
        <f t="shared" si="10"/>
        <v>N/A</v>
      </c>
      <c r="L31" s="257" t="str">
        <f t="shared" si="10"/>
        <v>N/A</v>
      </c>
      <c r="M31" s="257" t="str">
        <f t="shared" si="10"/>
        <v>N/A</v>
      </c>
      <c r="N31" s="260"/>
      <c r="O31" s="236"/>
      <c r="P31" s="236"/>
      <c r="Q31" s="236"/>
      <c r="R31" s="236"/>
      <c r="S31" s="302">
        <v>28</v>
      </c>
      <c r="T31" s="254" t="s">
        <v>336</v>
      </c>
      <c r="U31" s="254" t="s">
        <v>336</v>
      </c>
      <c r="V31" s="254" t="s">
        <v>336</v>
      </c>
      <c r="W31" s="254" t="s">
        <v>336</v>
      </c>
      <c r="X31" s="254" t="s">
        <v>336</v>
      </c>
      <c r="Y31" s="371">
        <v>28</v>
      </c>
      <c r="Z31" s="254" t="s">
        <v>336</v>
      </c>
      <c r="AA31" s="254" t="s">
        <v>336</v>
      </c>
      <c r="AB31" s="254" t="s">
        <v>336</v>
      </c>
      <c r="AC31" s="254" t="s">
        <v>336</v>
      </c>
      <c r="AD31" s="254" t="s">
        <v>336</v>
      </c>
      <c r="AE31" s="236"/>
      <c r="AF31" s="254" t="s">
        <v>336</v>
      </c>
      <c r="AG31" s="254" t="s">
        <v>336</v>
      </c>
      <c r="AH31" s="254" t="s">
        <v>336</v>
      </c>
      <c r="AI31" s="254" t="s">
        <v>336</v>
      </c>
      <c r="AJ31" s="254" t="s">
        <v>336</v>
      </c>
      <c r="AK31" s="363">
        <v>28</v>
      </c>
      <c r="AL31" s="254" t="s">
        <v>336</v>
      </c>
      <c r="AM31" s="254" t="s">
        <v>336</v>
      </c>
      <c r="AN31" s="254" t="s">
        <v>336</v>
      </c>
      <c r="AO31" s="254" t="s">
        <v>336</v>
      </c>
      <c r="AP31" s="254" t="s">
        <v>336</v>
      </c>
      <c r="AQ31" s="371">
        <v>28</v>
      </c>
      <c r="AR31" s="236"/>
      <c r="AS31" s="236"/>
      <c r="AT31" s="236"/>
      <c r="AU31" s="236"/>
      <c r="AV31" s="257" t="str">
        <f t="shared" si="11"/>
        <v>N/A</v>
      </c>
      <c r="AW31" s="257" t="str">
        <f t="shared" si="11"/>
        <v>N/A</v>
      </c>
      <c r="AX31" s="257" t="str">
        <f t="shared" si="11"/>
        <v>N/A</v>
      </c>
      <c r="AY31" s="257" t="str">
        <f t="shared" si="11"/>
        <v>N/A</v>
      </c>
      <c r="AZ31" s="257" t="str">
        <f t="shared" si="11"/>
        <v>N/A</v>
      </c>
      <c r="BA31" s="302">
        <v>26</v>
      </c>
      <c r="BB31" s="257" t="str">
        <f t="shared" si="12"/>
        <v>N/A</v>
      </c>
      <c r="BC31" s="257" t="str">
        <f t="shared" si="8"/>
        <v>N/A</v>
      </c>
      <c r="BD31" s="257" t="str">
        <f t="shared" si="8"/>
        <v>N/A</v>
      </c>
      <c r="BE31" s="257" t="str">
        <f t="shared" si="8"/>
        <v>N/A</v>
      </c>
      <c r="BF31" s="257" t="str">
        <f t="shared" si="8"/>
        <v>N/A</v>
      </c>
      <c r="BG31" s="371">
        <v>26</v>
      </c>
    </row>
    <row r="32" spans="2:59" ht="15" thickBot="1" x14ac:dyDescent="0.35">
      <c r="B32" s="303">
        <v>27</v>
      </c>
      <c r="C32" s="265" t="str">
        <f t="shared" si="9"/>
        <v>N/A</v>
      </c>
      <c r="D32" s="265" t="str">
        <f t="shared" si="9"/>
        <v>N/A</v>
      </c>
      <c r="E32" s="265" t="str">
        <f t="shared" si="9"/>
        <v>N/A</v>
      </c>
      <c r="F32" s="265" t="str">
        <f t="shared" si="9"/>
        <v>N/A</v>
      </c>
      <c r="G32" s="265" t="str">
        <f t="shared" si="9"/>
        <v>N/A</v>
      </c>
      <c r="H32" s="356">
        <v>27</v>
      </c>
      <c r="I32" s="265" t="str">
        <f t="shared" si="10"/>
        <v>N/A</v>
      </c>
      <c r="J32" s="265" t="str">
        <f t="shared" si="10"/>
        <v>N/A</v>
      </c>
      <c r="K32" s="265" t="str">
        <f t="shared" si="10"/>
        <v>N/A</v>
      </c>
      <c r="L32" s="265" t="str">
        <f t="shared" si="10"/>
        <v>N/A</v>
      </c>
      <c r="M32" s="265" t="str">
        <f t="shared" si="10"/>
        <v>N/A</v>
      </c>
      <c r="N32" s="168"/>
      <c r="O32" s="236"/>
      <c r="P32" s="236"/>
      <c r="Q32" s="236"/>
      <c r="R32" s="236"/>
      <c r="S32" s="303">
        <v>29</v>
      </c>
      <c r="T32" s="246" t="s">
        <v>336</v>
      </c>
      <c r="U32" s="246" t="s">
        <v>336</v>
      </c>
      <c r="V32" s="246" t="s">
        <v>336</v>
      </c>
      <c r="W32" s="246" t="s">
        <v>336</v>
      </c>
      <c r="X32" s="246" t="s">
        <v>336</v>
      </c>
      <c r="Y32" s="372">
        <v>29</v>
      </c>
      <c r="Z32" s="246" t="s">
        <v>336</v>
      </c>
      <c r="AA32" s="246" t="s">
        <v>336</v>
      </c>
      <c r="AB32" s="246" t="s">
        <v>336</v>
      </c>
      <c r="AC32" s="246" t="s">
        <v>336</v>
      </c>
      <c r="AD32" s="246" t="s">
        <v>336</v>
      </c>
      <c r="AE32" s="236"/>
      <c r="AF32" s="246" t="s">
        <v>336</v>
      </c>
      <c r="AG32" s="246" t="s">
        <v>336</v>
      </c>
      <c r="AH32" s="246" t="s">
        <v>336</v>
      </c>
      <c r="AI32" s="246" t="s">
        <v>336</v>
      </c>
      <c r="AJ32" s="246" t="s">
        <v>336</v>
      </c>
      <c r="AK32" s="364">
        <v>29</v>
      </c>
      <c r="AL32" s="246" t="s">
        <v>336</v>
      </c>
      <c r="AM32" s="246" t="s">
        <v>336</v>
      </c>
      <c r="AN32" s="246" t="s">
        <v>336</v>
      </c>
      <c r="AO32" s="246" t="s">
        <v>336</v>
      </c>
      <c r="AP32" s="246" t="s">
        <v>336</v>
      </c>
      <c r="AQ32" s="372">
        <v>29</v>
      </c>
      <c r="AR32" s="236"/>
      <c r="AS32" s="236"/>
      <c r="AT32" s="236"/>
      <c r="AU32" s="236"/>
      <c r="AV32" s="265" t="str">
        <f t="shared" si="11"/>
        <v>N/A</v>
      </c>
      <c r="AW32" s="265" t="str">
        <f t="shared" si="11"/>
        <v>N/A</v>
      </c>
      <c r="AX32" s="265" t="str">
        <f t="shared" si="11"/>
        <v>N/A</v>
      </c>
      <c r="AY32" s="265" t="str">
        <f t="shared" si="11"/>
        <v>N/A</v>
      </c>
      <c r="AZ32" s="265" t="str">
        <f t="shared" si="11"/>
        <v>N/A</v>
      </c>
      <c r="BA32" s="303">
        <v>27</v>
      </c>
      <c r="BB32" s="265" t="str">
        <f t="shared" si="12"/>
        <v>N/A</v>
      </c>
      <c r="BC32" s="265" t="str">
        <f t="shared" si="8"/>
        <v>N/A</v>
      </c>
      <c r="BD32" s="265" t="str">
        <f t="shared" si="8"/>
        <v>N/A</v>
      </c>
      <c r="BE32" s="265" t="str">
        <f t="shared" si="8"/>
        <v>N/A</v>
      </c>
      <c r="BF32" s="265" t="str">
        <f t="shared" si="8"/>
        <v>N/A</v>
      </c>
      <c r="BG32" s="372">
        <v>27</v>
      </c>
    </row>
    <row r="33" spans="2:59" x14ac:dyDescent="0.3">
      <c r="B33" s="302">
        <v>28</v>
      </c>
      <c r="C33" s="257" t="str">
        <f t="shared" si="9"/>
        <v>N/A</v>
      </c>
      <c r="D33" s="257" t="str">
        <f t="shared" si="9"/>
        <v>N/A</v>
      </c>
      <c r="E33" s="257" t="str">
        <f t="shared" si="9"/>
        <v>N/A</v>
      </c>
      <c r="F33" s="257" t="str">
        <f t="shared" si="9"/>
        <v>N/A</v>
      </c>
      <c r="G33" s="257" t="str">
        <f t="shared" si="9"/>
        <v>N/A</v>
      </c>
      <c r="H33" s="355">
        <v>28</v>
      </c>
      <c r="I33" s="257" t="str">
        <f t="shared" si="10"/>
        <v>N/A</v>
      </c>
      <c r="J33" s="257" t="str">
        <f t="shared" si="10"/>
        <v>N/A</v>
      </c>
      <c r="K33" s="257" t="str">
        <f t="shared" si="10"/>
        <v>N/A</v>
      </c>
      <c r="L33" s="257" t="str">
        <f t="shared" si="10"/>
        <v>N/A</v>
      </c>
      <c r="M33" s="257" t="str">
        <f t="shared" si="10"/>
        <v>N/A</v>
      </c>
      <c r="N33" s="236"/>
      <c r="O33" s="236"/>
      <c r="P33" s="236"/>
      <c r="Q33" s="236"/>
      <c r="R33" s="236"/>
      <c r="S33" s="305">
        <v>30</v>
      </c>
      <c r="T33" s="254" t="s">
        <v>336</v>
      </c>
      <c r="U33" s="254" t="s">
        <v>336</v>
      </c>
      <c r="V33" s="254" t="s">
        <v>336</v>
      </c>
      <c r="W33" s="254" t="s">
        <v>336</v>
      </c>
      <c r="X33" s="254" t="s">
        <v>336</v>
      </c>
      <c r="Y33" s="373">
        <v>30</v>
      </c>
      <c r="Z33" s="254" t="s">
        <v>336</v>
      </c>
      <c r="AA33" s="254" t="s">
        <v>336</v>
      </c>
      <c r="AB33" s="254" t="s">
        <v>336</v>
      </c>
      <c r="AC33" s="254" t="s">
        <v>336</v>
      </c>
      <c r="AD33" s="254" t="s">
        <v>336</v>
      </c>
      <c r="AE33" s="236"/>
      <c r="AF33" s="254" t="s">
        <v>336</v>
      </c>
      <c r="AG33" s="254" t="s">
        <v>336</v>
      </c>
      <c r="AH33" s="254" t="s">
        <v>336</v>
      </c>
      <c r="AI33" s="254" t="s">
        <v>336</v>
      </c>
      <c r="AJ33" s="254" t="s">
        <v>336</v>
      </c>
      <c r="AK33" s="365">
        <v>30</v>
      </c>
      <c r="AL33" s="254" t="s">
        <v>336</v>
      </c>
      <c r="AM33" s="254" t="s">
        <v>336</v>
      </c>
      <c r="AN33" s="254" t="s">
        <v>336</v>
      </c>
      <c r="AO33" s="254" t="s">
        <v>336</v>
      </c>
      <c r="AP33" s="254" t="s">
        <v>336</v>
      </c>
      <c r="AQ33" s="373">
        <v>30</v>
      </c>
      <c r="AR33" s="236"/>
      <c r="AS33" s="236"/>
      <c r="AT33" s="236"/>
      <c r="AU33" s="236"/>
      <c r="AV33" s="257" t="str">
        <f t="shared" si="11"/>
        <v>N/A</v>
      </c>
      <c r="AW33" s="257" t="str">
        <f t="shared" si="11"/>
        <v>N/A</v>
      </c>
      <c r="AX33" s="257" t="str">
        <f t="shared" si="11"/>
        <v>N/A</v>
      </c>
      <c r="AY33" s="257" t="str">
        <f t="shared" si="11"/>
        <v>N/A</v>
      </c>
      <c r="AZ33" s="257" t="str">
        <f t="shared" si="11"/>
        <v>N/A</v>
      </c>
      <c r="BA33" s="302">
        <v>28</v>
      </c>
      <c r="BB33" s="257" t="str">
        <f t="shared" si="12"/>
        <v>N/A</v>
      </c>
      <c r="BC33" s="257" t="str">
        <f t="shared" si="8"/>
        <v>N/A</v>
      </c>
      <c r="BD33" s="257" t="str">
        <f t="shared" si="8"/>
        <v>N/A</v>
      </c>
      <c r="BE33" s="257" t="str">
        <f t="shared" si="8"/>
        <v>N/A</v>
      </c>
      <c r="BF33" s="257" t="str">
        <f t="shared" si="8"/>
        <v>N/A</v>
      </c>
      <c r="BG33" s="371">
        <v>28</v>
      </c>
    </row>
    <row r="34" spans="2:59" ht="15" thickBot="1" x14ac:dyDescent="0.35">
      <c r="B34" s="303">
        <v>29</v>
      </c>
      <c r="C34" s="265" t="str">
        <f t="shared" si="9"/>
        <v>N/A</v>
      </c>
      <c r="D34" s="265" t="str">
        <f t="shared" si="9"/>
        <v>N/A</v>
      </c>
      <c r="E34" s="265" t="str">
        <f t="shared" si="9"/>
        <v>N/A</v>
      </c>
      <c r="F34" s="265" t="str">
        <f t="shared" si="9"/>
        <v>N/A</v>
      </c>
      <c r="G34" s="265" t="str">
        <f t="shared" si="9"/>
        <v>N/A</v>
      </c>
      <c r="H34" s="356">
        <v>29</v>
      </c>
      <c r="I34" s="265" t="str">
        <f t="shared" si="10"/>
        <v>N/A</v>
      </c>
      <c r="J34" s="265" t="str">
        <f t="shared" si="10"/>
        <v>N/A</v>
      </c>
      <c r="K34" s="265" t="str">
        <f t="shared" si="10"/>
        <v>N/A</v>
      </c>
      <c r="L34" s="265" t="str">
        <f t="shared" si="10"/>
        <v>N/A</v>
      </c>
      <c r="M34" s="265" t="str">
        <f t="shared" si="10"/>
        <v>N/A</v>
      </c>
      <c r="N34" s="236"/>
      <c r="O34" s="236"/>
      <c r="P34" s="236"/>
      <c r="Q34" s="236"/>
      <c r="R34" s="236"/>
      <c r="S34" s="306">
        <v>31</v>
      </c>
      <c r="T34" s="246" t="s">
        <v>336</v>
      </c>
      <c r="U34" s="246" t="s">
        <v>336</v>
      </c>
      <c r="V34" s="246" t="s">
        <v>336</v>
      </c>
      <c r="W34" s="246" t="s">
        <v>336</v>
      </c>
      <c r="X34" s="246" t="s">
        <v>336</v>
      </c>
      <c r="Y34" s="374">
        <v>31</v>
      </c>
      <c r="Z34" s="246" t="s">
        <v>336</v>
      </c>
      <c r="AA34" s="246" t="s">
        <v>336</v>
      </c>
      <c r="AB34" s="246" t="s">
        <v>336</v>
      </c>
      <c r="AC34" s="246" t="s">
        <v>336</v>
      </c>
      <c r="AD34" s="246" t="s">
        <v>336</v>
      </c>
      <c r="AE34" s="236"/>
      <c r="AF34" s="246" t="s">
        <v>336</v>
      </c>
      <c r="AG34" s="246" t="s">
        <v>336</v>
      </c>
      <c r="AH34" s="246" t="s">
        <v>336</v>
      </c>
      <c r="AI34" s="246" t="s">
        <v>336</v>
      </c>
      <c r="AJ34" s="246" t="s">
        <v>336</v>
      </c>
      <c r="AK34" s="366">
        <v>31</v>
      </c>
      <c r="AL34" s="246" t="s">
        <v>336</v>
      </c>
      <c r="AM34" s="246" t="s">
        <v>336</v>
      </c>
      <c r="AN34" s="246" t="s">
        <v>336</v>
      </c>
      <c r="AO34" s="246" t="s">
        <v>336</v>
      </c>
      <c r="AP34" s="246" t="s">
        <v>336</v>
      </c>
      <c r="AQ34" s="374">
        <v>31</v>
      </c>
      <c r="AR34" s="236"/>
      <c r="AS34" s="236"/>
      <c r="AT34" s="236"/>
      <c r="AU34" s="236"/>
      <c r="AV34" s="265" t="str">
        <f t="shared" si="11"/>
        <v>N/A</v>
      </c>
      <c r="AW34" s="265" t="str">
        <f t="shared" si="11"/>
        <v>N/A</v>
      </c>
      <c r="AX34" s="265" t="str">
        <f t="shared" si="11"/>
        <v>N/A</v>
      </c>
      <c r="AY34" s="265" t="str">
        <f t="shared" si="11"/>
        <v>N/A</v>
      </c>
      <c r="AZ34" s="265" t="str">
        <f t="shared" si="11"/>
        <v>N/A</v>
      </c>
      <c r="BA34" s="303">
        <v>29</v>
      </c>
      <c r="BB34" s="265" t="str">
        <f t="shared" si="12"/>
        <v>N/A</v>
      </c>
      <c r="BC34" s="265" t="str">
        <f t="shared" si="8"/>
        <v>N/A</v>
      </c>
      <c r="BD34" s="265" t="str">
        <f t="shared" si="8"/>
        <v>N/A</v>
      </c>
      <c r="BE34" s="265" t="str">
        <f t="shared" si="8"/>
        <v>N/A</v>
      </c>
      <c r="BF34" s="265" t="str">
        <f t="shared" si="8"/>
        <v>N/A</v>
      </c>
      <c r="BG34" s="372">
        <v>29</v>
      </c>
    </row>
    <row r="35" spans="2:59" ht="15" thickBot="1" x14ac:dyDescent="0.35">
      <c r="B35" s="301" t="s">
        <v>476</v>
      </c>
      <c r="C35" s="231">
        <f>SUM(C21:C34)</f>
        <v>0</v>
      </c>
      <c r="D35" s="231">
        <f>SUM(D21:D34)</f>
        <v>0</v>
      </c>
      <c r="E35" s="231">
        <f>SUM(E21:E34)</f>
        <v>0</v>
      </c>
      <c r="F35" s="231">
        <f>SUM(F21:F34)</f>
        <v>0</v>
      </c>
      <c r="G35" s="231">
        <f>SUM(G21:G34)</f>
        <v>0</v>
      </c>
      <c r="H35" s="301" t="s">
        <v>476</v>
      </c>
      <c r="I35" s="231">
        <f>SUM(I21:I34)</f>
        <v>0</v>
      </c>
      <c r="J35" s="231">
        <f>SUM(J21:J34)</f>
        <v>0</v>
      </c>
      <c r="K35" s="231">
        <f>SUM(K21:K34)</f>
        <v>0</v>
      </c>
      <c r="L35" s="231">
        <f>SUM(L21:L34)</f>
        <v>0</v>
      </c>
      <c r="M35" s="231">
        <f>SUM(M21:M34)</f>
        <v>0</v>
      </c>
      <c r="N35" s="236"/>
      <c r="O35" s="236"/>
      <c r="P35" s="236"/>
      <c r="Q35" s="300"/>
      <c r="R35" s="236"/>
      <c r="S35" s="305">
        <v>32</v>
      </c>
      <c r="T35" s="254" t="s">
        <v>336</v>
      </c>
      <c r="U35" s="254" t="s">
        <v>336</v>
      </c>
      <c r="V35" s="254" t="s">
        <v>336</v>
      </c>
      <c r="W35" s="254" t="s">
        <v>336</v>
      </c>
      <c r="X35" s="254" t="s">
        <v>336</v>
      </c>
      <c r="Y35" s="373">
        <v>32</v>
      </c>
      <c r="Z35" s="254" t="s">
        <v>336</v>
      </c>
      <c r="AA35" s="254" t="s">
        <v>336</v>
      </c>
      <c r="AB35" s="254" t="s">
        <v>336</v>
      </c>
      <c r="AC35" s="254" t="s">
        <v>336</v>
      </c>
      <c r="AD35" s="254" t="s">
        <v>336</v>
      </c>
      <c r="AE35" s="236"/>
      <c r="AF35" s="254" t="s">
        <v>336</v>
      </c>
      <c r="AG35" s="254" t="s">
        <v>336</v>
      </c>
      <c r="AH35" s="254" t="s">
        <v>336</v>
      </c>
      <c r="AI35" s="254" t="s">
        <v>336</v>
      </c>
      <c r="AJ35" s="254" t="s">
        <v>336</v>
      </c>
      <c r="AK35" s="365">
        <v>32</v>
      </c>
      <c r="AL35" s="254" t="s">
        <v>336</v>
      </c>
      <c r="AM35" s="254" t="s">
        <v>336</v>
      </c>
      <c r="AN35" s="254" t="s">
        <v>336</v>
      </c>
      <c r="AO35" s="254" t="s">
        <v>336</v>
      </c>
      <c r="AP35" s="254" t="s">
        <v>336</v>
      </c>
      <c r="AQ35" s="373">
        <v>32</v>
      </c>
      <c r="AR35" s="236"/>
      <c r="AS35" s="236"/>
      <c r="AT35" s="236"/>
      <c r="AU35" s="236"/>
      <c r="AV35" s="231">
        <f>SUM(AV21:AV34)</f>
        <v>0</v>
      </c>
      <c r="AW35" s="231">
        <f>SUM(AW21:AW34)</f>
        <v>0</v>
      </c>
      <c r="AX35" s="231">
        <f>SUM(AX21:AX34)</f>
        <v>0</v>
      </c>
      <c r="AY35" s="231">
        <f>SUM(AY21:AY34)</f>
        <v>0</v>
      </c>
      <c r="AZ35" s="231">
        <f>SUM(AZ21:AZ34)</f>
        <v>0</v>
      </c>
      <c r="BA35" s="301" t="s">
        <v>338</v>
      </c>
      <c r="BB35" s="231">
        <f>SUM(BB21:BB34)</f>
        <v>0</v>
      </c>
      <c r="BC35" s="231">
        <f>SUM(BC21:BC34)</f>
        <v>0</v>
      </c>
      <c r="BD35" s="231">
        <f>SUM(BD21:BD34)</f>
        <v>0</v>
      </c>
      <c r="BE35" s="231">
        <f>SUM(BE21:BE34)</f>
        <v>0</v>
      </c>
      <c r="BF35" s="231">
        <f>SUM(BF21:BF34)</f>
        <v>0</v>
      </c>
      <c r="BG35" s="301" t="s">
        <v>476</v>
      </c>
    </row>
    <row r="36" spans="2:59" ht="15" thickBot="1" x14ac:dyDescent="0.35">
      <c r="B36" s="247" t="s">
        <v>192</v>
      </c>
      <c r="C36" s="248" t="s">
        <v>219</v>
      </c>
      <c r="D36" s="249" t="s">
        <v>220</v>
      </c>
      <c r="E36" s="249" t="s">
        <v>332</v>
      </c>
      <c r="F36" s="249" t="s">
        <v>333</v>
      </c>
      <c r="G36" s="231" t="s">
        <v>535</v>
      </c>
      <c r="H36" s="247" t="s">
        <v>192</v>
      </c>
      <c r="I36" s="248" t="s">
        <v>219</v>
      </c>
      <c r="J36" s="249" t="s">
        <v>220</v>
      </c>
      <c r="K36" s="249" t="s">
        <v>332</v>
      </c>
      <c r="L36" s="249" t="s">
        <v>333</v>
      </c>
      <c r="M36" s="231" t="s">
        <v>535</v>
      </c>
      <c r="N36" s="236"/>
      <c r="O36" s="236"/>
      <c r="P36" s="236"/>
      <c r="Q36" s="236"/>
      <c r="R36" s="236"/>
      <c r="S36" s="306">
        <v>33</v>
      </c>
      <c r="T36" s="246" t="s">
        <v>336</v>
      </c>
      <c r="U36" s="246" t="s">
        <v>336</v>
      </c>
      <c r="V36" s="246" t="s">
        <v>336</v>
      </c>
      <c r="W36" s="246" t="s">
        <v>336</v>
      </c>
      <c r="X36" s="246" t="s">
        <v>336</v>
      </c>
      <c r="Y36" s="374">
        <v>33</v>
      </c>
      <c r="Z36" s="246" t="s">
        <v>336</v>
      </c>
      <c r="AA36" s="246" t="s">
        <v>336</v>
      </c>
      <c r="AB36" s="246" t="s">
        <v>336</v>
      </c>
      <c r="AC36" s="246" t="s">
        <v>336</v>
      </c>
      <c r="AD36" s="246" t="s">
        <v>336</v>
      </c>
      <c r="AE36" s="236"/>
      <c r="AF36" s="246" t="s">
        <v>336</v>
      </c>
      <c r="AG36" s="246" t="s">
        <v>336</v>
      </c>
      <c r="AH36" s="246" t="s">
        <v>336</v>
      </c>
      <c r="AI36" s="246" t="s">
        <v>336</v>
      </c>
      <c r="AJ36" s="246" t="s">
        <v>336</v>
      </c>
      <c r="AK36" s="366">
        <v>33</v>
      </c>
      <c r="AL36" s="246" t="s">
        <v>336</v>
      </c>
      <c r="AM36" s="246" t="s">
        <v>336</v>
      </c>
      <c r="AN36" s="246" t="s">
        <v>336</v>
      </c>
      <c r="AO36" s="246" t="s">
        <v>336</v>
      </c>
      <c r="AP36" s="246" t="s">
        <v>336</v>
      </c>
      <c r="AQ36" s="374">
        <v>33</v>
      </c>
      <c r="AR36" s="236"/>
      <c r="AS36" s="236"/>
      <c r="AT36" s="236"/>
      <c r="AU36" s="236"/>
      <c r="AV36" s="248" t="s">
        <v>219</v>
      </c>
      <c r="AW36" s="249" t="s">
        <v>220</v>
      </c>
      <c r="AX36" s="249" t="s">
        <v>332</v>
      </c>
      <c r="AY36" s="249" t="s">
        <v>333</v>
      </c>
      <c r="AZ36" s="231" t="s">
        <v>535</v>
      </c>
      <c r="BA36" s="247" t="s">
        <v>192</v>
      </c>
      <c r="BB36" s="248" t="s">
        <v>219</v>
      </c>
      <c r="BC36" s="249" t="s">
        <v>220</v>
      </c>
      <c r="BD36" s="249" t="s">
        <v>332</v>
      </c>
      <c r="BE36" s="249" t="s">
        <v>333</v>
      </c>
      <c r="BF36" s="231" t="s">
        <v>535</v>
      </c>
      <c r="BG36" s="247" t="s">
        <v>192</v>
      </c>
    </row>
    <row r="37" spans="2:59" x14ac:dyDescent="0.3">
      <c r="B37" s="305">
        <v>30</v>
      </c>
      <c r="C37" s="257" t="str">
        <f t="shared" ref="C37:G52" si="13">T33</f>
        <v>N/A</v>
      </c>
      <c r="D37" s="257" t="str">
        <f t="shared" si="13"/>
        <v>N/A</v>
      </c>
      <c r="E37" s="257" t="str">
        <f t="shared" si="13"/>
        <v>N/A</v>
      </c>
      <c r="F37" s="257" t="str">
        <f t="shared" si="13"/>
        <v>N/A</v>
      </c>
      <c r="G37" s="257" t="str">
        <f t="shared" si="13"/>
        <v>N/A</v>
      </c>
      <c r="H37" s="352">
        <v>30</v>
      </c>
      <c r="I37" s="257" t="str">
        <f>Z33</f>
        <v>N/A</v>
      </c>
      <c r="J37" s="257" t="str">
        <f>AA33</f>
        <v>N/A</v>
      </c>
      <c r="K37" s="257" t="str">
        <f>AB33</f>
        <v>N/A</v>
      </c>
      <c r="L37" s="257" t="str">
        <f>AC33</f>
        <v>N/A</v>
      </c>
      <c r="M37" s="257" t="str">
        <f t="shared" ref="M37:M50" si="14">AD33</f>
        <v>N/A</v>
      </c>
      <c r="N37" s="236"/>
      <c r="O37" s="236"/>
      <c r="P37" s="236"/>
      <c r="Q37" s="236"/>
      <c r="R37" s="236"/>
      <c r="S37" s="305">
        <v>34</v>
      </c>
      <c r="T37" s="254" t="s">
        <v>336</v>
      </c>
      <c r="U37" s="254" t="s">
        <v>336</v>
      </c>
      <c r="V37" s="254" t="s">
        <v>336</v>
      </c>
      <c r="W37" s="254" t="s">
        <v>336</v>
      </c>
      <c r="X37" s="254" t="s">
        <v>336</v>
      </c>
      <c r="Y37" s="373">
        <v>34</v>
      </c>
      <c r="Z37" s="254" t="s">
        <v>336</v>
      </c>
      <c r="AA37" s="254" t="s">
        <v>336</v>
      </c>
      <c r="AB37" s="254" t="s">
        <v>336</v>
      </c>
      <c r="AC37" s="254" t="s">
        <v>336</v>
      </c>
      <c r="AD37" s="254" t="s">
        <v>336</v>
      </c>
      <c r="AE37" s="236"/>
      <c r="AF37" s="254" t="s">
        <v>336</v>
      </c>
      <c r="AG37" s="254" t="s">
        <v>336</v>
      </c>
      <c r="AH37" s="254" t="s">
        <v>336</v>
      </c>
      <c r="AI37" s="254" t="s">
        <v>336</v>
      </c>
      <c r="AJ37" s="254" t="s">
        <v>336</v>
      </c>
      <c r="AK37" s="365">
        <v>34</v>
      </c>
      <c r="AL37" s="254" t="s">
        <v>336</v>
      </c>
      <c r="AM37" s="254" t="s">
        <v>336</v>
      </c>
      <c r="AN37" s="254" t="s">
        <v>336</v>
      </c>
      <c r="AO37" s="254" t="s">
        <v>336</v>
      </c>
      <c r="AP37" s="254" t="s">
        <v>336</v>
      </c>
      <c r="AQ37" s="373">
        <v>34</v>
      </c>
      <c r="AR37" s="236"/>
      <c r="AS37" s="236"/>
      <c r="AT37" s="236"/>
      <c r="AU37" s="236"/>
      <c r="AV37" s="257" t="str">
        <f>AF33</f>
        <v>N/A</v>
      </c>
      <c r="AW37" s="257" t="str">
        <f>AG33</f>
        <v>N/A</v>
      </c>
      <c r="AX37" s="257" t="str">
        <f>AH33</f>
        <v>N/A</v>
      </c>
      <c r="AY37" s="257" t="str">
        <f>AI33</f>
        <v>N/A</v>
      </c>
      <c r="AZ37" s="257" t="str">
        <f>AJ33</f>
        <v>N/A</v>
      </c>
      <c r="BA37" s="305">
        <v>30</v>
      </c>
      <c r="BB37" s="257" t="str">
        <f>AL33</f>
        <v>N/A</v>
      </c>
      <c r="BC37" s="257" t="str">
        <f>AM33</f>
        <v>N/A</v>
      </c>
      <c r="BD37" s="257" t="str">
        <f>AN33</f>
        <v>N/A</v>
      </c>
      <c r="BE37" s="257" t="str">
        <f>AO33</f>
        <v>N/A</v>
      </c>
      <c r="BF37" s="257" t="str">
        <f>AP33</f>
        <v>N/A</v>
      </c>
      <c r="BG37" s="373">
        <v>30</v>
      </c>
    </row>
    <row r="38" spans="2:59" ht="15" thickBot="1" x14ac:dyDescent="0.35">
      <c r="B38" s="306">
        <v>31</v>
      </c>
      <c r="C38" s="265" t="str">
        <f t="shared" si="13"/>
        <v>N/A</v>
      </c>
      <c r="D38" s="265" t="str">
        <f t="shared" si="13"/>
        <v>N/A</v>
      </c>
      <c r="E38" s="265" t="str">
        <f t="shared" si="13"/>
        <v>N/A</v>
      </c>
      <c r="F38" s="265" t="str">
        <f t="shared" si="13"/>
        <v>N/A</v>
      </c>
      <c r="G38" s="265" t="str">
        <f t="shared" si="13"/>
        <v>N/A</v>
      </c>
      <c r="H38" s="353">
        <v>31</v>
      </c>
      <c r="I38" s="265" t="str">
        <f t="shared" ref="I38:L52" si="15">Z34</f>
        <v>N/A</v>
      </c>
      <c r="J38" s="265" t="str">
        <f t="shared" si="15"/>
        <v>N/A</v>
      </c>
      <c r="K38" s="265" t="str">
        <f t="shared" si="15"/>
        <v>N/A</v>
      </c>
      <c r="L38" s="265" t="str">
        <f t="shared" si="15"/>
        <v>N/A</v>
      </c>
      <c r="M38" s="265" t="str">
        <f t="shared" si="14"/>
        <v>N/A</v>
      </c>
      <c r="N38" s="236"/>
      <c r="O38" s="236"/>
      <c r="P38" s="236"/>
      <c r="Q38" s="236"/>
      <c r="R38" s="236"/>
      <c r="S38" s="306">
        <v>35</v>
      </c>
      <c r="T38" s="246" t="s">
        <v>336</v>
      </c>
      <c r="U38" s="246" t="s">
        <v>336</v>
      </c>
      <c r="V38" s="246" t="s">
        <v>336</v>
      </c>
      <c r="W38" s="246" t="s">
        <v>336</v>
      </c>
      <c r="X38" s="246" t="s">
        <v>336</v>
      </c>
      <c r="Y38" s="374">
        <v>35</v>
      </c>
      <c r="Z38" s="246" t="s">
        <v>336</v>
      </c>
      <c r="AA38" s="246" t="s">
        <v>336</v>
      </c>
      <c r="AB38" s="246" t="s">
        <v>336</v>
      </c>
      <c r="AC38" s="246" t="s">
        <v>336</v>
      </c>
      <c r="AD38" s="246" t="s">
        <v>336</v>
      </c>
      <c r="AE38" s="236"/>
      <c r="AF38" s="246" t="s">
        <v>336</v>
      </c>
      <c r="AG38" s="246" t="s">
        <v>336</v>
      </c>
      <c r="AH38" s="246" t="s">
        <v>336</v>
      </c>
      <c r="AI38" s="246" t="s">
        <v>336</v>
      </c>
      <c r="AJ38" s="246" t="s">
        <v>336</v>
      </c>
      <c r="AK38" s="366">
        <v>35</v>
      </c>
      <c r="AL38" s="246" t="s">
        <v>336</v>
      </c>
      <c r="AM38" s="246" t="s">
        <v>336</v>
      </c>
      <c r="AN38" s="246" t="s">
        <v>336</v>
      </c>
      <c r="AO38" s="246" t="s">
        <v>336</v>
      </c>
      <c r="AP38" s="246" t="s">
        <v>336</v>
      </c>
      <c r="AQ38" s="374">
        <v>35</v>
      </c>
      <c r="AR38" s="236"/>
      <c r="AS38" s="236"/>
      <c r="AT38" s="236"/>
      <c r="AU38" s="236"/>
      <c r="AV38" s="265" t="str">
        <f t="shared" ref="AV38:AZ52" si="16">AF34</f>
        <v>N/A</v>
      </c>
      <c r="AW38" s="265" t="str">
        <f t="shared" si="16"/>
        <v>N/A</v>
      </c>
      <c r="AX38" s="265" t="str">
        <f t="shared" si="16"/>
        <v>N/A</v>
      </c>
      <c r="AY38" s="265" t="str">
        <f t="shared" si="16"/>
        <v>N/A</v>
      </c>
      <c r="AZ38" s="265" t="str">
        <f t="shared" si="16"/>
        <v>N/A</v>
      </c>
      <c r="BA38" s="306">
        <v>31</v>
      </c>
      <c r="BB38" s="265" t="str">
        <f t="shared" ref="BB38:BF52" si="17">AL34</f>
        <v>N/A</v>
      </c>
      <c r="BC38" s="265" t="str">
        <f t="shared" si="17"/>
        <v>N/A</v>
      </c>
      <c r="BD38" s="265" t="str">
        <f t="shared" si="17"/>
        <v>N/A</v>
      </c>
      <c r="BE38" s="265" t="str">
        <f t="shared" si="17"/>
        <v>N/A</v>
      </c>
      <c r="BF38" s="265" t="str">
        <f t="shared" si="17"/>
        <v>N/A</v>
      </c>
      <c r="BG38" s="374">
        <v>31</v>
      </c>
    </row>
    <row r="39" spans="2:59" x14ac:dyDescent="0.3">
      <c r="B39" s="305">
        <v>32</v>
      </c>
      <c r="C39" s="257" t="str">
        <f t="shared" si="13"/>
        <v>N/A</v>
      </c>
      <c r="D39" s="257" t="str">
        <f t="shared" si="13"/>
        <v>N/A</v>
      </c>
      <c r="E39" s="257" t="str">
        <f t="shared" si="13"/>
        <v>N/A</v>
      </c>
      <c r="F39" s="257" t="str">
        <f t="shared" si="13"/>
        <v>N/A</v>
      </c>
      <c r="G39" s="257" t="str">
        <f t="shared" si="13"/>
        <v>N/A</v>
      </c>
      <c r="H39" s="352">
        <v>32</v>
      </c>
      <c r="I39" s="257" t="str">
        <f t="shared" si="15"/>
        <v>N/A</v>
      </c>
      <c r="J39" s="257" t="str">
        <f t="shared" si="15"/>
        <v>N/A</v>
      </c>
      <c r="K39" s="257" t="str">
        <f t="shared" si="15"/>
        <v>N/A</v>
      </c>
      <c r="L39" s="257" t="str">
        <f t="shared" si="15"/>
        <v>N/A</v>
      </c>
      <c r="M39" s="257" t="str">
        <f t="shared" si="14"/>
        <v>N/A</v>
      </c>
      <c r="N39" s="236"/>
      <c r="O39" s="236"/>
      <c r="P39" s="236"/>
      <c r="Q39" s="236"/>
      <c r="R39" s="236"/>
      <c r="S39" s="305">
        <v>36</v>
      </c>
      <c r="T39" s="254" t="s">
        <v>336</v>
      </c>
      <c r="U39" s="254" t="s">
        <v>336</v>
      </c>
      <c r="V39" s="254" t="s">
        <v>336</v>
      </c>
      <c r="W39" s="254" t="s">
        <v>336</v>
      </c>
      <c r="X39" s="254" t="s">
        <v>336</v>
      </c>
      <c r="Y39" s="373">
        <v>36</v>
      </c>
      <c r="Z39" s="254" t="s">
        <v>336</v>
      </c>
      <c r="AA39" s="254" t="s">
        <v>336</v>
      </c>
      <c r="AB39" s="254" t="s">
        <v>336</v>
      </c>
      <c r="AC39" s="254" t="s">
        <v>336</v>
      </c>
      <c r="AD39" s="254" t="s">
        <v>336</v>
      </c>
      <c r="AE39" s="236"/>
      <c r="AF39" s="254" t="s">
        <v>336</v>
      </c>
      <c r="AG39" s="254" t="s">
        <v>336</v>
      </c>
      <c r="AH39" s="254" t="s">
        <v>336</v>
      </c>
      <c r="AI39" s="254" t="s">
        <v>336</v>
      </c>
      <c r="AJ39" s="254" t="s">
        <v>336</v>
      </c>
      <c r="AK39" s="365">
        <v>36</v>
      </c>
      <c r="AL39" s="254" t="s">
        <v>336</v>
      </c>
      <c r="AM39" s="254" t="s">
        <v>336</v>
      </c>
      <c r="AN39" s="254" t="s">
        <v>336</v>
      </c>
      <c r="AO39" s="254" t="s">
        <v>336</v>
      </c>
      <c r="AP39" s="254" t="s">
        <v>336</v>
      </c>
      <c r="AQ39" s="373">
        <v>36</v>
      </c>
      <c r="AR39" s="236"/>
      <c r="AS39" s="236"/>
      <c r="AT39" s="236"/>
      <c r="AU39" s="236"/>
      <c r="AV39" s="257" t="str">
        <f t="shared" si="16"/>
        <v>N/A</v>
      </c>
      <c r="AW39" s="257" t="str">
        <f t="shared" si="16"/>
        <v>N/A</v>
      </c>
      <c r="AX39" s="257" t="str">
        <f t="shared" si="16"/>
        <v>N/A</v>
      </c>
      <c r="AY39" s="257" t="str">
        <f t="shared" si="16"/>
        <v>N/A</v>
      </c>
      <c r="AZ39" s="257" t="str">
        <f t="shared" si="16"/>
        <v>N/A</v>
      </c>
      <c r="BA39" s="305">
        <v>32</v>
      </c>
      <c r="BB39" s="257" t="str">
        <f t="shared" si="17"/>
        <v>N/A</v>
      </c>
      <c r="BC39" s="257" t="str">
        <f t="shared" si="17"/>
        <v>N/A</v>
      </c>
      <c r="BD39" s="257" t="str">
        <f t="shared" si="17"/>
        <v>N/A</v>
      </c>
      <c r="BE39" s="257" t="str">
        <f t="shared" si="17"/>
        <v>N/A</v>
      </c>
      <c r="BF39" s="257" t="str">
        <f t="shared" si="17"/>
        <v>N/A</v>
      </c>
      <c r="BG39" s="373">
        <v>32</v>
      </c>
    </row>
    <row r="40" spans="2:59" ht="15" thickBot="1" x14ac:dyDescent="0.35">
      <c r="B40" s="306">
        <v>33</v>
      </c>
      <c r="C40" s="265" t="str">
        <f t="shared" si="13"/>
        <v>N/A</v>
      </c>
      <c r="D40" s="265" t="str">
        <f t="shared" si="13"/>
        <v>N/A</v>
      </c>
      <c r="E40" s="265" t="str">
        <f t="shared" si="13"/>
        <v>N/A</v>
      </c>
      <c r="F40" s="265" t="str">
        <f t="shared" si="13"/>
        <v>N/A</v>
      </c>
      <c r="G40" s="265" t="str">
        <f t="shared" si="13"/>
        <v>N/A</v>
      </c>
      <c r="H40" s="353">
        <v>33</v>
      </c>
      <c r="I40" s="265" t="str">
        <f t="shared" si="15"/>
        <v>N/A</v>
      </c>
      <c r="J40" s="265" t="str">
        <f t="shared" si="15"/>
        <v>N/A</v>
      </c>
      <c r="K40" s="265" t="str">
        <f t="shared" si="15"/>
        <v>N/A</v>
      </c>
      <c r="L40" s="265" t="str">
        <f t="shared" si="15"/>
        <v>N/A</v>
      </c>
      <c r="M40" s="265" t="str">
        <f t="shared" si="14"/>
        <v>N/A</v>
      </c>
      <c r="N40" s="236"/>
      <c r="O40" s="236"/>
      <c r="P40" s="236"/>
      <c r="Q40" s="236"/>
      <c r="R40" s="236"/>
      <c r="S40" s="306">
        <v>37</v>
      </c>
      <c r="T40" s="246" t="s">
        <v>336</v>
      </c>
      <c r="U40" s="246" t="s">
        <v>336</v>
      </c>
      <c r="V40" s="246" t="s">
        <v>336</v>
      </c>
      <c r="W40" s="246" t="s">
        <v>336</v>
      </c>
      <c r="X40" s="246" t="s">
        <v>336</v>
      </c>
      <c r="Y40" s="374">
        <v>37</v>
      </c>
      <c r="Z40" s="246" t="s">
        <v>336</v>
      </c>
      <c r="AA40" s="246" t="s">
        <v>336</v>
      </c>
      <c r="AB40" s="246" t="s">
        <v>336</v>
      </c>
      <c r="AC40" s="246" t="s">
        <v>336</v>
      </c>
      <c r="AD40" s="246" t="s">
        <v>336</v>
      </c>
      <c r="AE40" s="236"/>
      <c r="AF40" s="246" t="s">
        <v>336</v>
      </c>
      <c r="AG40" s="246" t="s">
        <v>336</v>
      </c>
      <c r="AH40" s="246" t="s">
        <v>336</v>
      </c>
      <c r="AI40" s="246" t="s">
        <v>336</v>
      </c>
      <c r="AJ40" s="246" t="s">
        <v>336</v>
      </c>
      <c r="AK40" s="366">
        <v>37</v>
      </c>
      <c r="AL40" s="246" t="s">
        <v>336</v>
      </c>
      <c r="AM40" s="246" t="s">
        <v>336</v>
      </c>
      <c r="AN40" s="246" t="s">
        <v>336</v>
      </c>
      <c r="AO40" s="246" t="s">
        <v>336</v>
      </c>
      <c r="AP40" s="246" t="s">
        <v>336</v>
      </c>
      <c r="AQ40" s="374">
        <v>37</v>
      </c>
      <c r="AR40" s="236"/>
      <c r="AS40" s="236"/>
      <c r="AT40" s="236"/>
      <c r="AU40" s="236"/>
      <c r="AV40" s="265" t="str">
        <f t="shared" si="16"/>
        <v>N/A</v>
      </c>
      <c r="AW40" s="265" t="str">
        <f t="shared" si="16"/>
        <v>N/A</v>
      </c>
      <c r="AX40" s="265" t="str">
        <f t="shared" si="16"/>
        <v>N/A</v>
      </c>
      <c r="AY40" s="265" t="str">
        <f t="shared" si="16"/>
        <v>N/A</v>
      </c>
      <c r="AZ40" s="265" t="str">
        <f t="shared" si="16"/>
        <v>N/A</v>
      </c>
      <c r="BA40" s="306">
        <v>33</v>
      </c>
      <c r="BB40" s="265" t="str">
        <f t="shared" si="17"/>
        <v>N/A</v>
      </c>
      <c r="BC40" s="265" t="str">
        <f t="shared" si="17"/>
        <v>N/A</v>
      </c>
      <c r="BD40" s="265" t="str">
        <f t="shared" si="17"/>
        <v>N/A</v>
      </c>
      <c r="BE40" s="265" t="str">
        <f t="shared" si="17"/>
        <v>N/A</v>
      </c>
      <c r="BF40" s="265" t="str">
        <f t="shared" si="17"/>
        <v>N/A</v>
      </c>
      <c r="BG40" s="374">
        <v>33</v>
      </c>
    </row>
    <row r="41" spans="2:59" x14ac:dyDescent="0.3">
      <c r="B41" s="305">
        <v>34</v>
      </c>
      <c r="C41" s="257" t="str">
        <f t="shared" si="13"/>
        <v>N/A</v>
      </c>
      <c r="D41" s="257" t="str">
        <f t="shared" si="13"/>
        <v>N/A</v>
      </c>
      <c r="E41" s="257" t="str">
        <f t="shared" si="13"/>
        <v>N/A</v>
      </c>
      <c r="F41" s="257" t="str">
        <f t="shared" si="13"/>
        <v>N/A</v>
      </c>
      <c r="G41" s="257" t="str">
        <f t="shared" si="13"/>
        <v>N/A</v>
      </c>
      <c r="H41" s="352">
        <v>34</v>
      </c>
      <c r="I41" s="257" t="str">
        <f t="shared" si="15"/>
        <v>N/A</v>
      </c>
      <c r="J41" s="257" t="str">
        <f t="shared" si="15"/>
        <v>N/A</v>
      </c>
      <c r="K41" s="257" t="str">
        <f t="shared" si="15"/>
        <v>N/A</v>
      </c>
      <c r="L41" s="257" t="str">
        <f t="shared" si="15"/>
        <v>N/A</v>
      </c>
      <c r="M41" s="257" t="str">
        <f t="shared" si="14"/>
        <v>N/A</v>
      </c>
      <c r="N41" s="236"/>
      <c r="O41" s="236"/>
      <c r="P41" s="236"/>
      <c r="Q41" s="236"/>
      <c r="R41" s="236"/>
      <c r="S41" s="305">
        <v>38</v>
      </c>
      <c r="T41" s="254" t="s">
        <v>336</v>
      </c>
      <c r="U41" s="254" t="s">
        <v>336</v>
      </c>
      <c r="V41" s="254" t="s">
        <v>336</v>
      </c>
      <c r="W41" s="254" t="s">
        <v>336</v>
      </c>
      <c r="X41" s="254" t="s">
        <v>336</v>
      </c>
      <c r="Y41" s="373">
        <v>38</v>
      </c>
      <c r="Z41" s="254" t="s">
        <v>336</v>
      </c>
      <c r="AA41" s="254" t="s">
        <v>336</v>
      </c>
      <c r="AB41" s="254" t="s">
        <v>336</v>
      </c>
      <c r="AC41" s="254" t="s">
        <v>336</v>
      </c>
      <c r="AD41" s="254" t="s">
        <v>336</v>
      </c>
      <c r="AE41" s="236"/>
      <c r="AF41" s="254" t="s">
        <v>336</v>
      </c>
      <c r="AG41" s="254" t="s">
        <v>336</v>
      </c>
      <c r="AH41" s="254" t="s">
        <v>336</v>
      </c>
      <c r="AI41" s="254" t="s">
        <v>336</v>
      </c>
      <c r="AJ41" s="254" t="s">
        <v>336</v>
      </c>
      <c r="AK41" s="365">
        <v>38</v>
      </c>
      <c r="AL41" s="254" t="s">
        <v>336</v>
      </c>
      <c r="AM41" s="254" t="s">
        <v>336</v>
      </c>
      <c r="AN41" s="254" t="s">
        <v>336</v>
      </c>
      <c r="AO41" s="254" t="s">
        <v>336</v>
      </c>
      <c r="AP41" s="254" t="s">
        <v>336</v>
      </c>
      <c r="AQ41" s="373">
        <v>38</v>
      </c>
      <c r="AR41" s="236"/>
      <c r="AS41" s="236"/>
      <c r="AT41" s="236"/>
      <c r="AU41" s="236"/>
      <c r="AV41" s="257" t="str">
        <f t="shared" si="16"/>
        <v>N/A</v>
      </c>
      <c r="AW41" s="257" t="str">
        <f t="shared" si="16"/>
        <v>N/A</v>
      </c>
      <c r="AX41" s="257" t="str">
        <f t="shared" si="16"/>
        <v>N/A</v>
      </c>
      <c r="AY41" s="257" t="str">
        <f t="shared" si="16"/>
        <v>N/A</v>
      </c>
      <c r="AZ41" s="257" t="str">
        <f t="shared" si="16"/>
        <v>N/A</v>
      </c>
      <c r="BA41" s="305">
        <v>34</v>
      </c>
      <c r="BB41" s="257" t="str">
        <f t="shared" si="17"/>
        <v>N/A</v>
      </c>
      <c r="BC41" s="257" t="str">
        <f t="shared" si="17"/>
        <v>N/A</v>
      </c>
      <c r="BD41" s="257" t="str">
        <f t="shared" si="17"/>
        <v>N/A</v>
      </c>
      <c r="BE41" s="257" t="str">
        <f t="shared" si="17"/>
        <v>N/A</v>
      </c>
      <c r="BF41" s="257" t="str">
        <f t="shared" si="17"/>
        <v>N/A</v>
      </c>
      <c r="BG41" s="373">
        <v>34</v>
      </c>
    </row>
    <row r="42" spans="2:59" ht="15" thickBot="1" x14ac:dyDescent="0.35">
      <c r="B42" s="306">
        <v>35</v>
      </c>
      <c r="C42" s="265" t="str">
        <f t="shared" si="13"/>
        <v>N/A</v>
      </c>
      <c r="D42" s="265" t="str">
        <f t="shared" si="13"/>
        <v>N/A</v>
      </c>
      <c r="E42" s="265" t="str">
        <f t="shared" si="13"/>
        <v>N/A</v>
      </c>
      <c r="F42" s="265" t="str">
        <f t="shared" si="13"/>
        <v>N/A</v>
      </c>
      <c r="G42" s="265" t="str">
        <f t="shared" si="13"/>
        <v>N/A</v>
      </c>
      <c r="H42" s="353">
        <v>35</v>
      </c>
      <c r="I42" s="265" t="str">
        <f t="shared" si="15"/>
        <v>N/A</v>
      </c>
      <c r="J42" s="265" t="str">
        <f t="shared" si="15"/>
        <v>N/A</v>
      </c>
      <c r="K42" s="265" t="str">
        <f t="shared" si="15"/>
        <v>N/A</v>
      </c>
      <c r="L42" s="265" t="str">
        <f t="shared" si="15"/>
        <v>N/A</v>
      </c>
      <c r="M42" s="265" t="str">
        <f t="shared" si="14"/>
        <v>N/A</v>
      </c>
      <c r="N42" s="236"/>
      <c r="O42" s="236"/>
      <c r="P42" s="236"/>
      <c r="Q42" s="236"/>
      <c r="R42" s="236"/>
      <c r="S42" s="306">
        <v>39</v>
      </c>
      <c r="T42" s="246" t="s">
        <v>336</v>
      </c>
      <c r="U42" s="246" t="s">
        <v>336</v>
      </c>
      <c r="V42" s="246" t="s">
        <v>336</v>
      </c>
      <c r="W42" s="246" t="s">
        <v>336</v>
      </c>
      <c r="X42" s="246" t="s">
        <v>336</v>
      </c>
      <c r="Y42" s="374">
        <v>39</v>
      </c>
      <c r="Z42" s="246" t="s">
        <v>336</v>
      </c>
      <c r="AA42" s="246" t="s">
        <v>336</v>
      </c>
      <c r="AB42" s="246" t="s">
        <v>336</v>
      </c>
      <c r="AC42" s="246" t="s">
        <v>336</v>
      </c>
      <c r="AD42" s="246" t="s">
        <v>336</v>
      </c>
      <c r="AE42" s="236"/>
      <c r="AF42" s="246" t="s">
        <v>336</v>
      </c>
      <c r="AG42" s="246" t="s">
        <v>336</v>
      </c>
      <c r="AH42" s="246" t="s">
        <v>336</v>
      </c>
      <c r="AI42" s="246" t="s">
        <v>336</v>
      </c>
      <c r="AJ42" s="246" t="s">
        <v>336</v>
      </c>
      <c r="AK42" s="366">
        <v>39</v>
      </c>
      <c r="AL42" s="246" t="s">
        <v>336</v>
      </c>
      <c r="AM42" s="246" t="s">
        <v>336</v>
      </c>
      <c r="AN42" s="246" t="s">
        <v>336</v>
      </c>
      <c r="AO42" s="246" t="s">
        <v>336</v>
      </c>
      <c r="AP42" s="246" t="s">
        <v>336</v>
      </c>
      <c r="AQ42" s="374">
        <v>39</v>
      </c>
      <c r="AR42" s="236"/>
      <c r="AS42" s="236"/>
      <c r="AT42" s="236"/>
      <c r="AU42" s="236"/>
      <c r="AV42" s="265" t="str">
        <f t="shared" si="16"/>
        <v>N/A</v>
      </c>
      <c r="AW42" s="265" t="str">
        <f t="shared" si="16"/>
        <v>N/A</v>
      </c>
      <c r="AX42" s="265" t="str">
        <f t="shared" si="16"/>
        <v>N/A</v>
      </c>
      <c r="AY42" s="265" t="str">
        <f t="shared" si="16"/>
        <v>N/A</v>
      </c>
      <c r="AZ42" s="265" t="str">
        <f t="shared" si="16"/>
        <v>N/A</v>
      </c>
      <c r="BA42" s="306">
        <v>35</v>
      </c>
      <c r="BB42" s="265" t="str">
        <f t="shared" si="17"/>
        <v>N/A</v>
      </c>
      <c r="BC42" s="265" t="str">
        <f t="shared" si="17"/>
        <v>N/A</v>
      </c>
      <c r="BD42" s="265" t="str">
        <f t="shared" si="17"/>
        <v>N/A</v>
      </c>
      <c r="BE42" s="265" t="str">
        <f t="shared" si="17"/>
        <v>N/A</v>
      </c>
      <c r="BF42" s="265" t="str">
        <f t="shared" si="17"/>
        <v>N/A</v>
      </c>
      <c r="BG42" s="374">
        <v>35</v>
      </c>
    </row>
    <row r="43" spans="2:59" x14ac:dyDescent="0.3">
      <c r="B43" s="305">
        <v>36</v>
      </c>
      <c r="C43" s="257" t="str">
        <f t="shared" si="13"/>
        <v>N/A</v>
      </c>
      <c r="D43" s="257" t="str">
        <f t="shared" si="13"/>
        <v>N/A</v>
      </c>
      <c r="E43" s="257" t="str">
        <f t="shared" si="13"/>
        <v>N/A</v>
      </c>
      <c r="F43" s="257" t="str">
        <f t="shared" si="13"/>
        <v>N/A</v>
      </c>
      <c r="G43" s="257" t="str">
        <f t="shared" si="13"/>
        <v>N/A</v>
      </c>
      <c r="H43" s="352">
        <v>36</v>
      </c>
      <c r="I43" s="257" t="str">
        <f t="shared" si="15"/>
        <v>N/A</v>
      </c>
      <c r="J43" s="257" t="str">
        <f t="shared" si="15"/>
        <v>N/A</v>
      </c>
      <c r="K43" s="257" t="str">
        <f t="shared" si="15"/>
        <v>N/A</v>
      </c>
      <c r="L43" s="257" t="str">
        <f t="shared" si="15"/>
        <v>N/A</v>
      </c>
      <c r="M43" s="257" t="str">
        <f t="shared" si="14"/>
        <v>N/A</v>
      </c>
      <c r="N43" s="236"/>
      <c r="O43" s="236"/>
      <c r="P43" s="236"/>
      <c r="Q43" s="236"/>
      <c r="R43" s="236"/>
      <c r="S43" s="305">
        <v>40</v>
      </c>
      <c r="T43" s="254" t="s">
        <v>336</v>
      </c>
      <c r="U43" s="254" t="s">
        <v>336</v>
      </c>
      <c r="V43" s="254" t="s">
        <v>336</v>
      </c>
      <c r="W43" s="254" t="s">
        <v>336</v>
      </c>
      <c r="X43" s="254" t="s">
        <v>336</v>
      </c>
      <c r="Y43" s="373">
        <v>40</v>
      </c>
      <c r="Z43" s="254" t="s">
        <v>336</v>
      </c>
      <c r="AA43" s="254" t="s">
        <v>336</v>
      </c>
      <c r="AB43" s="254" t="s">
        <v>336</v>
      </c>
      <c r="AC43" s="254" t="s">
        <v>336</v>
      </c>
      <c r="AD43" s="254" t="s">
        <v>336</v>
      </c>
      <c r="AE43" s="236"/>
      <c r="AF43" s="254" t="s">
        <v>336</v>
      </c>
      <c r="AG43" s="254" t="s">
        <v>336</v>
      </c>
      <c r="AH43" s="254" t="s">
        <v>336</v>
      </c>
      <c r="AI43" s="254" t="s">
        <v>336</v>
      </c>
      <c r="AJ43" s="254" t="s">
        <v>336</v>
      </c>
      <c r="AK43" s="365">
        <v>40</v>
      </c>
      <c r="AL43" s="254" t="s">
        <v>336</v>
      </c>
      <c r="AM43" s="254" t="s">
        <v>336</v>
      </c>
      <c r="AN43" s="254" t="s">
        <v>336</v>
      </c>
      <c r="AO43" s="254" t="s">
        <v>336</v>
      </c>
      <c r="AP43" s="254" t="s">
        <v>336</v>
      </c>
      <c r="AQ43" s="373">
        <v>40</v>
      </c>
      <c r="AR43" s="236"/>
      <c r="AS43" s="236"/>
      <c r="AT43" s="236"/>
      <c r="AU43" s="236"/>
      <c r="AV43" s="257" t="str">
        <f t="shared" si="16"/>
        <v>N/A</v>
      </c>
      <c r="AW43" s="257" t="str">
        <f t="shared" si="16"/>
        <v>N/A</v>
      </c>
      <c r="AX43" s="257" t="str">
        <f t="shared" si="16"/>
        <v>N/A</v>
      </c>
      <c r="AY43" s="257" t="str">
        <f t="shared" si="16"/>
        <v>N/A</v>
      </c>
      <c r="AZ43" s="257" t="str">
        <f t="shared" si="16"/>
        <v>N/A</v>
      </c>
      <c r="BA43" s="305">
        <v>36</v>
      </c>
      <c r="BB43" s="257" t="str">
        <f t="shared" si="17"/>
        <v>N/A</v>
      </c>
      <c r="BC43" s="257" t="str">
        <f t="shared" si="17"/>
        <v>N/A</v>
      </c>
      <c r="BD43" s="257" t="str">
        <f t="shared" si="17"/>
        <v>N/A</v>
      </c>
      <c r="BE43" s="257" t="str">
        <f t="shared" si="17"/>
        <v>N/A</v>
      </c>
      <c r="BF43" s="257" t="str">
        <f t="shared" si="17"/>
        <v>N/A</v>
      </c>
      <c r="BG43" s="373">
        <v>36</v>
      </c>
    </row>
    <row r="44" spans="2:59" ht="15" thickBot="1" x14ac:dyDescent="0.35">
      <c r="B44" s="306">
        <v>37</v>
      </c>
      <c r="C44" s="265" t="str">
        <f t="shared" si="13"/>
        <v>N/A</v>
      </c>
      <c r="D44" s="265" t="str">
        <f t="shared" si="13"/>
        <v>N/A</v>
      </c>
      <c r="E44" s="265" t="str">
        <f t="shared" si="13"/>
        <v>N/A</v>
      </c>
      <c r="F44" s="265" t="str">
        <f t="shared" si="13"/>
        <v>N/A</v>
      </c>
      <c r="G44" s="265" t="str">
        <f t="shared" si="13"/>
        <v>N/A</v>
      </c>
      <c r="H44" s="353">
        <v>37</v>
      </c>
      <c r="I44" s="265" t="str">
        <f t="shared" si="15"/>
        <v>N/A</v>
      </c>
      <c r="J44" s="265" t="str">
        <f t="shared" si="15"/>
        <v>N/A</v>
      </c>
      <c r="K44" s="265" t="str">
        <f t="shared" si="15"/>
        <v>N/A</v>
      </c>
      <c r="L44" s="265" t="str">
        <f t="shared" si="15"/>
        <v>N/A</v>
      </c>
      <c r="M44" s="265" t="str">
        <f t="shared" si="14"/>
        <v>N/A</v>
      </c>
      <c r="N44" s="236"/>
      <c r="O44" s="236"/>
      <c r="P44" s="236"/>
      <c r="Q44" s="236"/>
      <c r="R44" s="236"/>
      <c r="S44" s="306">
        <v>41</v>
      </c>
      <c r="T44" s="246" t="s">
        <v>336</v>
      </c>
      <c r="U44" s="246" t="s">
        <v>336</v>
      </c>
      <c r="V44" s="246" t="s">
        <v>336</v>
      </c>
      <c r="W44" s="246" t="s">
        <v>336</v>
      </c>
      <c r="X44" s="246" t="s">
        <v>336</v>
      </c>
      <c r="Y44" s="374">
        <v>41</v>
      </c>
      <c r="Z44" s="246" t="s">
        <v>336</v>
      </c>
      <c r="AA44" s="246" t="s">
        <v>336</v>
      </c>
      <c r="AB44" s="246" t="s">
        <v>336</v>
      </c>
      <c r="AC44" s="246" t="s">
        <v>336</v>
      </c>
      <c r="AD44" s="246" t="s">
        <v>336</v>
      </c>
      <c r="AE44" s="236"/>
      <c r="AF44" s="246" t="s">
        <v>336</v>
      </c>
      <c r="AG44" s="246" t="s">
        <v>336</v>
      </c>
      <c r="AH44" s="246" t="s">
        <v>336</v>
      </c>
      <c r="AI44" s="246" t="s">
        <v>336</v>
      </c>
      <c r="AJ44" s="246" t="s">
        <v>336</v>
      </c>
      <c r="AK44" s="366">
        <v>41</v>
      </c>
      <c r="AL44" s="246" t="s">
        <v>336</v>
      </c>
      <c r="AM44" s="246" t="s">
        <v>336</v>
      </c>
      <c r="AN44" s="246" t="s">
        <v>336</v>
      </c>
      <c r="AO44" s="246" t="s">
        <v>336</v>
      </c>
      <c r="AP44" s="246" t="s">
        <v>336</v>
      </c>
      <c r="AQ44" s="374">
        <v>41</v>
      </c>
      <c r="AR44" s="236"/>
      <c r="AS44" s="236"/>
      <c r="AT44" s="236"/>
      <c r="AU44" s="236"/>
      <c r="AV44" s="265" t="str">
        <f t="shared" si="16"/>
        <v>N/A</v>
      </c>
      <c r="AW44" s="265" t="str">
        <f t="shared" si="16"/>
        <v>N/A</v>
      </c>
      <c r="AX44" s="265" t="str">
        <f t="shared" si="16"/>
        <v>N/A</v>
      </c>
      <c r="AY44" s="265" t="str">
        <f t="shared" si="16"/>
        <v>N/A</v>
      </c>
      <c r="AZ44" s="265" t="str">
        <f t="shared" si="16"/>
        <v>N/A</v>
      </c>
      <c r="BA44" s="306">
        <v>37</v>
      </c>
      <c r="BB44" s="265" t="str">
        <f t="shared" si="17"/>
        <v>N/A</v>
      </c>
      <c r="BC44" s="265" t="str">
        <f t="shared" si="17"/>
        <v>N/A</v>
      </c>
      <c r="BD44" s="265" t="str">
        <f t="shared" si="17"/>
        <v>N/A</v>
      </c>
      <c r="BE44" s="265" t="str">
        <f t="shared" si="17"/>
        <v>N/A</v>
      </c>
      <c r="BF44" s="265" t="str">
        <f t="shared" si="17"/>
        <v>N/A</v>
      </c>
      <c r="BG44" s="374">
        <v>37</v>
      </c>
    </row>
    <row r="45" spans="2:59" x14ac:dyDescent="0.3">
      <c r="B45" s="305">
        <v>38</v>
      </c>
      <c r="C45" s="257" t="str">
        <f t="shared" si="13"/>
        <v>N/A</v>
      </c>
      <c r="D45" s="257" t="str">
        <f t="shared" si="13"/>
        <v>N/A</v>
      </c>
      <c r="E45" s="257" t="str">
        <f t="shared" si="13"/>
        <v>N/A</v>
      </c>
      <c r="F45" s="257" t="str">
        <f t="shared" si="13"/>
        <v>N/A</v>
      </c>
      <c r="G45" s="257" t="str">
        <f t="shared" si="13"/>
        <v>N/A</v>
      </c>
      <c r="H45" s="352">
        <v>38</v>
      </c>
      <c r="I45" s="257" t="str">
        <f t="shared" si="15"/>
        <v>N/A</v>
      </c>
      <c r="J45" s="257" t="str">
        <f t="shared" si="15"/>
        <v>N/A</v>
      </c>
      <c r="K45" s="257" t="str">
        <f t="shared" si="15"/>
        <v>N/A</v>
      </c>
      <c r="L45" s="257" t="str">
        <f t="shared" si="15"/>
        <v>N/A</v>
      </c>
      <c r="M45" s="257" t="str">
        <f t="shared" si="14"/>
        <v>N/A</v>
      </c>
      <c r="N45" s="236"/>
      <c r="O45" s="236"/>
      <c r="P45" s="236"/>
      <c r="Q45" s="236"/>
      <c r="R45" s="236"/>
      <c r="S45" s="305">
        <v>42</v>
      </c>
      <c r="T45" s="254" t="s">
        <v>336</v>
      </c>
      <c r="U45" s="254" t="s">
        <v>336</v>
      </c>
      <c r="V45" s="254" t="s">
        <v>336</v>
      </c>
      <c r="W45" s="254" t="s">
        <v>336</v>
      </c>
      <c r="X45" s="254" t="s">
        <v>336</v>
      </c>
      <c r="Y45" s="373">
        <v>42</v>
      </c>
      <c r="Z45" s="254" t="s">
        <v>336</v>
      </c>
      <c r="AA45" s="254" t="s">
        <v>336</v>
      </c>
      <c r="AB45" s="254" t="s">
        <v>336</v>
      </c>
      <c r="AC45" s="254" t="s">
        <v>336</v>
      </c>
      <c r="AD45" s="254" t="s">
        <v>336</v>
      </c>
      <c r="AE45" s="236"/>
      <c r="AF45" s="254" t="s">
        <v>336</v>
      </c>
      <c r="AG45" s="254" t="s">
        <v>336</v>
      </c>
      <c r="AH45" s="254" t="s">
        <v>336</v>
      </c>
      <c r="AI45" s="254" t="s">
        <v>336</v>
      </c>
      <c r="AJ45" s="254" t="s">
        <v>336</v>
      </c>
      <c r="AK45" s="365">
        <v>42</v>
      </c>
      <c r="AL45" s="254" t="s">
        <v>336</v>
      </c>
      <c r="AM45" s="254" t="s">
        <v>336</v>
      </c>
      <c r="AN45" s="254" t="s">
        <v>336</v>
      </c>
      <c r="AO45" s="254" t="s">
        <v>336</v>
      </c>
      <c r="AP45" s="254" t="s">
        <v>336</v>
      </c>
      <c r="AQ45" s="373">
        <v>42</v>
      </c>
      <c r="AR45" s="236"/>
      <c r="AS45" s="236"/>
      <c r="AT45" s="236"/>
      <c r="AU45" s="236"/>
      <c r="AV45" s="257" t="str">
        <f t="shared" si="16"/>
        <v>N/A</v>
      </c>
      <c r="AW45" s="257" t="str">
        <f t="shared" si="16"/>
        <v>N/A</v>
      </c>
      <c r="AX45" s="257" t="str">
        <f t="shared" si="16"/>
        <v>N/A</v>
      </c>
      <c r="AY45" s="257" t="str">
        <f t="shared" si="16"/>
        <v>N/A</v>
      </c>
      <c r="AZ45" s="257" t="str">
        <f t="shared" si="16"/>
        <v>N/A</v>
      </c>
      <c r="BA45" s="305">
        <v>38</v>
      </c>
      <c r="BB45" s="257" t="str">
        <f t="shared" si="17"/>
        <v>N/A</v>
      </c>
      <c r="BC45" s="257" t="str">
        <f t="shared" si="17"/>
        <v>N/A</v>
      </c>
      <c r="BD45" s="257" t="str">
        <f t="shared" si="17"/>
        <v>N/A</v>
      </c>
      <c r="BE45" s="257" t="str">
        <f t="shared" si="17"/>
        <v>N/A</v>
      </c>
      <c r="BF45" s="257" t="str">
        <f t="shared" si="17"/>
        <v>N/A</v>
      </c>
      <c r="BG45" s="373">
        <v>38</v>
      </c>
    </row>
    <row r="46" spans="2:59" ht="15" thickBot="1" x14ac:dyDescent="0.35">
      <c r="B46" s="306">
        <v>39</v>
      </c>
      <c r="C46" s="265" t="str">
        <f t="shared" si="13"/>
        <v>N/A</v>
      </c>
      <c r="D46" s="265" t="str">
        <f t="shared" si="13"/>
        <v>N/A</v>
      </c>
      <c r="E46" s="265" t="str">
        <f t="shared" si="13"/>
        <v>N/A</v>
      </c>
      <c r="F46" s="265" t="str">
        <f t="shared" si="13"/>
        <v>N/A</v>
      </c>
      <c r="G46" s="265" t="str">
        <f t="shared" si="13"/>
        <v>N/A</v>
      </c>
      <c r="H46" s="353">
        <v>39</v>
      </c>
      <c r="I46" s="265" t="str">
        <f t="shared" si="15"/>
        <v>N/A</v>
      </c>
      <c r="J46" s="265" t="str">
        <f t="shared" si="15"/>
        <v>N/A</v>
      </c>
      <c r="K46" s="265" t="str">
        <f t="shared" si="15"/>
        <v>N/A</v>
      </c>
      <c r="L46" s="265" t="str">
        <f t="shared" si="15"/>
        <v>N/A</v>
      </c>
      <c r="M46" s="265" t="str">
        <f t="shared" si="14"/>
        <v>N/A</v>
      </c>
      <c r="N46" s="236"/>
      <c r="O46" s="236"/>
      <c r="P46" s="236"/>
      <c r="Q46" s="236"/>
      <c r="R46" s="236"/>
      <c r="S46" s="306">
        <v>43</v>
      </c>
      <c r="T46" s="246" t="s">
        <v>336</v>
      </c>
      <c r="U46" s="246" t="s">
        <v>336</v>
      </c>
      <c r="V46" s="246" t="s">
        <v>336</v>
      </c>
      <c r="W46" s="246" t="s">
        <v>336</v>
      </c>
      <c r="X46" s="246" t="s">
        <v>336</v>
      </c>
      <c r="Y46" s="374">
        <v>43</v>
      </c>
      <c r="Z46" s="246" t="s">
        <v>336</v>
      </c>
      <c r="AA46" s="246" t="s">
        <v>336</v>
      </c>
      <c r="AB46" s="246" t="s">
        <v>336</v>
      </c>
      <c r="AC46" s="246" t="s">
        <v>336</v>
      </c>
      <c r="AD46" s="246" t="s">
        <v>336</v>
      </c>
      <c r="AE46" s="236"/>
      <c r="AF46" s="246" t="s">
        <v>336</v>
      </c>
      <c r="AG46" s="246" t="s">
        <v>336</v>
      </c>
      <c r="AH46" s="246" t="s">
        <v>336</v>
      </c>
      <c r="AI46" s="246" t="s">
        <v>336</v>
      </c>
      <c r="AJ46" s="246" t="s">
        <v>336</v>
      </c>
      <c r="AK46" s="366">
        <v>43</v>
      </c>
      <c r="AL46" s="246" t="s">
        <v>336</v>
      </c>
      <c r="AM46" s="246" t="s">
        <v>336</v>
      </c>
      <c r="AN46" s="246" t="s">
        <v>336</v>
      </c>
      <c r="AO46" s="246" t="s">
        <v>336</v>
      </c>
      <c r="AP46" s="246" t="s">
        <v>336</v>
      </c>
      <c r="AQ46" s="374">
        <v>43</v>
      </c>
      <c r="AR46" s="236"/>
      <c r="AS46" s="236"/>
      <c r="AT46" s="236"/>
      <c r="AU46" s="236"/>
      <c r="AV46" s="265" t="str">
        <f t="shared" si="16"/>
        <v>N/A</v>
      </c>
      <c r="AW46" s="265" t="str">
        <f t="shared" si="16"/>
        <v>N/A</v>
      </c>
      <c r="AX46" s="265" t="str">
        <f t="shared" si="16"/>
        <v>N/A</v>
      </c>
      <c r="AY46" s="265" t="str">
        <f t="shared" si="16"/>
        <v>N/A</v>
      </c>
      <c r="AZ46" s="265" t="str">
        <f t="shared" si="16"/>
        <v>N/A</v>
      </c>
      <c r="BA46" s="306">
        <v>39</v>
      </c>
      <c r="BB46" s="265" t="str">
        <f t="shared" si="17"/>
        <v>N/A</v>
      </c>
      <c r="BC46" s="265" t="str">
        <f t="shared" si="17"/>
        <v>N/A</v>
      </c>
      <c r="BD46" s="265" t="str">
        <f t="shared" si="17"/>
        <v>N/A</v>
      </c>
      <c r="BE46" s="265" t="str">
        <f t="shared" si="17"/>
        <v>N/A</v>
      </c>
      <c r="BF46" s="265" t="str">
        <f t="shared" si="17"/>
        <v>N/A</v>
      </c>
      <c r="BG46" s="374">
        <v>39</v>
      </c>
    </row>
    <row r="47" spans="2:59" ht="15" thickBot="1" x14ac:dyDescent="0.35">
      <c r="B47" s="305">
        <v>40</v>
      </c>
      <c r="C47" s="257" t="str">
        <f t="shared" si="13"/>
        <v>N/A</v>
      </c>
      <c r="D47" s="257" t="str">
        <f t="shared" si="13"/>
        <v>N/A</v>
      </c>
      <c r="E47" s="257" t="str">
        <f t="shared" si="13"/>
        <v>N/A</v>
      </c>
      <c r="F47" s="257" t="str">
        <f t="shared" si="13"/>
        <v>N/A</v>
      </c>
      <c r="G47" s="257" t="str">
        <f t="shared" si="13"/>
        <v>N/A</v>
      </c>
      <c r="H47" s="352">
        <v>40</v>
      </c>
      <c r="I47" s="257" t="str">
        <f t="shared" si="15"/>
        <v>N/A</v>
      </c>
      <c r="J47" s="257" t="str">
        <f t="shared" si="15"/>
        <v>N/A</v>
      </c>
      <c r="K47" s="257" t="str">
        <f t="shared" si="15"/>
        <v>N/A</v>
      </c>
      <c r="L47" s="257" t="str">
        <f t="shared" si="15"/>
        <v>N/A</v>
      </c>
      <c r="M47" s="257" t="str">
        <f t="shared" si="14"/>
        <v>N/A</v>
      </c>
      <c r="N47" s="236"/>
      <c r="O47" s="236"/>
      <c r="P47" s="236"/>
      <c r="Q47" s="236"/>
      <c r="R47" s="236"/>
      <c r="S47" s="307">
        <v>44</v>
      </c>
      <c r="T47" s="293" t="s">
        <v>336</v>
      </c>
      <c r="U47" s="293" t="s">
        <v>336</v>
      </c>
      <c r="V47" s="293" t="s">
        <v>336</v>
      </c>
      <c r="W47" s="254" t="s">
        <v>336</v>
      </c>
      <c r="X47" s="254" t="s">
        <v>336</v>
      </c>
      <c r="Y47" s="375">
        <v>44</v>
      </c>
      <c r="Z47" s="293" t="s">
        <v>336</v>
      </c>
      <c r="AA47" s="254" t="s">
        <v>336</v>
      </c>
      <c r="AB47" s="293" t="s">
        <v>336</v>
      </c>
      <c r="AC47" s="254" t="s">
        <v>336</v>
      </c>
      <c r="AD47" s="254" t="s">
        <v>336</v>
      </c>
      <c r="AE47" s="236"/>
      <c r="AF47" s="293" t="s">
        <v>336</v>
      </c>
      <c r="AG47" s="293" t="s">
        <v>336</v>
      </c>
      <c r="AH47" s="293" t="s">
        <v>336</v>
      </c>
      <c r="AI47" s="254" t="s">
        <v>336</v>
      </c>
      <c r="AJ47" s="254" t="s">
        <v>336</v>
      </c>
      <c r="AK47" s="367">
        <v>44</v>
      </c>
      <c r="AL47" s="293" t="s">
        <v>336</v>
      </c>
      <c r="AM47" s="293" t="s">
        <v>336</v>
      </c>
      <c r="AN47" s="293" t="s">
        <v>336</v>
      </c>
      <c r="AO47" s="254" t="s">
        <v>336</v>
      </c>
      <c r="AP47" s="254" t="s">
        <v>336</v>
      </c>
      <c r="AQ47" s="375">
        <v>44</v>
      </c>
      <c r="AR47" s="236"/>
      <c r="AS47" s="236"/>
      <c r="AT47" s="236"/>
      <c r="AU47" s="236"/>
      <c r="AV47" s="257" t="str">
        <f t="shared" si="16"/>
        <v>N/A</v>
      </c>
      <c r="AW47" s="257" t="str">
        <f t="shared" si="16"/>
        <v>N/A</v>
      </c>
      <c r="AX47" s="257" t="str">
        <f t="shared" si="16"/>
        <v>N/A</v>
      </c>
      <c r="AY47" s="257" t="str">
        <f t="shared" si="16"/>
        <v>N/A</v>
      </c>
      <c r="AZ47" s="257" t="str">
        <f t="shared" si="16"/>
        <v>N/A</v>
      </c>
      <c r="BA47" s="305">
        <v>40</v>
      </c>
      <c r="BB47" s="257" t="str">
        <f t="shared" si="17"/>
        <v>N/A</v>
      </c>
      <c r="BC47" s="257" t="str">
        <f t="shared" si="17"/>
        <v>N/A</v>
      </c>
      <c r="BD47" s="257" t="str">
        <f t="shared" si="17"/>
        <v>N/A</v>
      </c>
      <c r="BE47" s="257" t="str">
        <f t="shared" si="17"/>
        <v>N/A</v>
      </c>
      <c r="BF47" s="257" t="str">
        <f t="shared" si="17"/>
        <v>N/A</v>
      </c>
      <c r="BG47" s="373">
        <v>40</v>
      </c>
    </row>
    <row r="48" spans="2:59" ht="15" thickBot="1" x14ac:dyDescent="0.35">
      <c r="B48" s="306">
        <v>41</v>
      </c>
      <c r="C48" s="265" t="str">
        <f t="shared" si="13"/>
        <v>N/A</v>
      </c>
      <c r="D48" s="265" t="str">
        <f t="shared" si="13"/>
        <v>N/A</v>
      </c>
      <c r="E48" s="265" t="str">
        <f t="shared" si="13"/>
        <v>N/A</v>
      </c>
      <c r="F48" s="265" t="str">
        <f t="shared" si="13"/>
        <v>N/A</v>
      </c>
      <c r="G48" s="265" t="str">
        <f t="shared" si="13"/>
        <v>N/A</v>
      </c>
      <c r="H48" s="353">
        <v>41</v>
      </c>
      <c r="I48" s="265" t="str">
        <f t="shared" si="15"/>
        <v>N/A</v>
      </c>
      <c r="J48" s="265" t="str">
        <f t="shared" si="15"/>
        <v>N/A</v>
      </c>
      <c r="K48" s="265" t="str">
        <f t="shared" si="15"/>
        <v>N/A</v>
      </c>
      <c r="L48" s="265" t="str">
        <f t="shared" si="15"/>
        <v>N/A</v>
      </c>
      <c r="M48" s="265" t="str">
        <f t="shared" si="14"/>
        <v>N/A</v>
      </c>
      <c r="N48" s="236"/>
      <c r="O48" s="236"/>
      <c r="P48" s="236"/>
      <c r="Q48" s="236"/>
      <c r="R48" s="236"/>
      <c r="S48" s="307">
        <v>45</v>
      </c>
      <c r="T48" s="347" t="s">
        <v>336</v>
      </c>
      <c r="U48" s="347" t="s">
        <v>336</v>
      </c>
      <c r="V48" s="347" t="s">
        <v>336</v>
      </c>
      <c r="W48" s="348" t="s">
        <v>336</v>
      </c>
      <c r="X48" s="348" t="s">
        <v>336</v>
      </c>
      <c r="Y48" s="375">
        <v>45</v>
      </c>
      <c r="Z48" s="347" t="s">
        <v>336</v>
      </c>
      <c r="AA48" s="348" t="s">
        <v>336</v>
      </c>
      <c r="AB48" s="347" t="s">
        <v>336</v>
      </c>
      <c r="AC48" s="348" t="s">
        <v>336</v>
      </c>
      <c r="AD48" s="348" t="s">
        <v>336</v>
      </c>
      <c r="AE48" s="231"/>
      <c r="AF48" s="246" t="s">
        <v>336</v>
      </c>
      <c r="AG48" s="246" t="s">
        <v>336</v>
      </c>
      <c r="AH48" s="246" t="s">
        <v>336</v>
      </c>
      <c r="AI48" s="246" t="s">
        <v>336</v>
      </c>
      <c r="AJ48" s="246" t="s">
        <v>336</v>
      </c>
      <c r="AK48" s="367">
        <v>45</v>
      </c>
      <c r="AL48" s="246" t="s">
        <v>336</v>
      </c>
      <c r="AM48" s="246" t="s">
        <v>336</v>
      </c>
      <c r="AN48" s="246" t="s">
        <v>336</v>
      </c>
      <c r="AO48" s="246" t="s">
        <v>336</v>
      </c>
      <c r="AP48" s="246" t="s">
        <v>336</v>
      </c>
      <c r="AQ48" s="375">
        <v>45</v>
      </c>
      <c r="AR48" s="236"/>
      <c r="AS48" s="236"/>
      <c r="AT48" s="236"/>
      <c r="AU48" s="236"/>
      <c r="AV48" s="265" t="str">
        <f t="shared" si="16"/>
        <v>N/A</v>
      </c>
      <c r="AW48" s="265" t="str">
        <f t="shared" si="16"/>
        <v>N/A</v>
      </c>
      <c r="AX48" s="265" t="str">
        <f t="shared" si="16"/>
        <v>N/A</v>
      </c>
      <c r="AY48" s="265" t="str">
        <f t="shared" si="16"/>
        <v>N/A</v>
      </c>
      <c r="AZ48" s="265" t="str">
        <f t="shared" si="16"/>
        <v>N/A</v>
      </c>
      <c r="BA48" s="306">
        <v>41</v>
      </c>
      <c r="BB48" s="265" t="str">
        <f t="shared" si="17"/>
        <v>N/A</v>
      </c>
      <c r="BC48" s="265" t="str">
        <f t="shared" si="17"/>
        <v>N/A</v>
      </c>
      <c r="BD48" s="265" t="str">
        <f t="shared" si="17"/>
        <v>N/A</v>
      </c>
      <c r="BE48" s="265" t="str">
        <f t="shared" si="17"/>
        <v>N/A</v>
      </c>
      <c r="BF48" s="265" t="str">
        <f t="shared" si="17"/>
        <v>N/A</v>
      </c>
      <c r="BG48" s="374">
        <v>41</v>
      </c>
    </row>
    <row r="49" spans="2:59" x14ac:dyDescent="0.3">
      <c r="B49" s="305">
        <v>42</v>
      </c>
      <c r="C49" s="257" t="str">
        <f t="shared" si="13"/>
        <v>N/A</v>
      </c>
      <c r="D49" s="257" t="str">
        <f t="shared" si="13"/>
        <v>N/A</v>
      </c>
      <c r="E49" s="257" t="str">
        <f t="shared" si="13"/>
        <v>N/A</v>
      </c>
      <c r="F49" s="257" t="str">
        <f t="shared" si="13"/>
        <v>N/A</v>
      </c>
      <c r="G49" s="257" t="str">
        <f t="shared" si="13"/>
        <v>N/A</v>
      </c>
      <c r="H49" s="352">
        <v>42</v>
      </c>
      <c r="I49" s="257" t="str">
        <f t="shared" si="15"/>
        <v>N/A</v>
      </c>
      <c r="J49" s="257" t="str">
        <f t="shared" si="15"/>
        <v>N/A</v>
      </c>
      <c r="K49" s="257" t="str">
        <f t="shared" si="15"/>
        <v>N/A</v>
      </c>
      <c r="L49" s="257" t="str">
        <f t="shared" si="15"/>
        <v>N/A</v>
      </c>
      <c r="M49" s="257" t="str">
        <f t="shared" si="14"/>
        <v>N/A</v>
      </c>
      <c r="N49" s="236"/>
      <c r="O49" s="236"/>
      <c r="P49" s="236"/>
      <c r="Q49" s="236"/>
      <c r="R49" s="236"/>
      <c r="S49" s="236"/>
      <c r="T49" s="236"/>
      <c r="U49" s="236"/>
      <c r="V49" s="236">
        <v>0.75666666666666671</v>
      </c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>
        <v>0.75666666666666671</v>
      </c>
      <c r="AI49" s="236"/>
      <c r="AJ49" s="236"/>
      <c r="AK49" s="368"/>
      <c r="AL49" s="236"/>
      <c r="AM49" s="236"/>
      <c r="AN49" s="236"/>
      <c r="AO49" s="236"/>
      <c r="AP49" s="236"/>
      <c r="AQ49" s="368"/>
      <c r="AR49" s="236"/>
      <c r="AS49" s="236"/>
      <c r="AT49" s="236"/>
      <c r="AU49" s="236"/>
      <c r="AV49" s="257" t="str">
        <f t="shared" si="16"/>
        <v>N/A</v>
      </c>
      <c r="AW49" s="257" t="str">
        <f t="shared" si="16"/>
        <v>N/A</v>
      </c>
      <c r="AX49" s="257" t="str">
        <f t="shared" si="16"/>
        <v>N/A</v>
      </c>
      <c r="AY49" s="257" t="str">
        <f t="shared" si="16"/>
        <v>N/A</v>
      </c>
      <c r="AZ49" s="257" t="str">
        <f t="shared" si="16"/>
        <v>N/A</v>
      </c>
      <c r="BA49" s="305">
        <v>42</v>
      </c>
      <c r="BB49" s="257" t="str">
        <f t="shared" si="17"/>
        <v>N/A</v>
      </c>
      <c r="BC49" s="257" t="str">
        <f t="shared" si="17"/>
        <v>N/A</v>
      </c>
      <c r="BD49" s="257" t="str">
        <f t="shared" si="17"/>
        <v>N/A</v>
      </c>
      <c r="BE49" s="257" t="str">
        <f t="shared" si="17"/>
        <v>N/A</v>
      </c>
      <c r="BF49" s="257" t="str">
        <f t="shared" si="17"/>
        <v>N/A</v>
      </c>
      <c r="BG49" s="373">
        <v>42</v>
      </c>
    </row>
    <row r="50" spans="2:59" ht="15" thickBot="1" x14ac:dyDescent="0.35">
      <c r="B50" s="306">
        <v>43</v>
      </c>
      <c r="C50" s="265" t="str">
        <f t="shared" si="13"/>
        <v>N/A</v>
      </c>
      <c r="D50" s="265" t="str">
        <f t="shared" si="13"/>
        <v>N/A</v>
      </c>
      <c r="E50" s="265" t="str">
        <f t="shared" si="13"/>
        <v>N/A</v>
      </c>
      <c r="F50" s="265" t="str">
        <f t="shared" si="13"/>
        <v>N/A</v>
      </c>
      <c r="G50" s="265" t="str">
        <f t="shared" si="13"/>
        <v>N/A</v>
      </c>
      <c r="H50" s="353">
        <v>43</v>
      </c>
      <c r="I50" s="265" t="str">
        <f t="shared" si="15"/>
        <v>N/A</v>
      </c>
      <c r="J50" s="265" t="str">
        <f t="shared" si="15"/>
        <v>N/A</v>
      </c>
      <c r="K50" s="265" t="str">
        <f t="shared" si="15"/>
        <v>N/A</v>
      </c>
      <c r="L50" s="265" t="str">
        <f t="shared" si="15"/>
        <v>N/A</v>
      </c>
      <c r="M50" s="265" t="str">
        <f t="shared" si="14"/>
        <v>N/A</v>
      </c>
      <c r="N50" s="236"/>
      <c r="O50" s="236"/>
      <c r="P50" s="236"/>
      <c r="Q50" s="236"/>
      <c r="R50" s="236"/>
      <c r="S50" s="236"/>
      <c r="T50" s="236"/>
      <c r="U50" s="236"/>
      <c r="V50" s="236"/>
      <c r="W50" s="236"/>
      <c r="X50" s="236"/>
      <c r="Y50" s="236"/>
      <c r="Z50" s="236"/>
      <c r="AA50" s="236"/>
      <c r="AB50" s="236"/>
      <c r="AC50" s="236"/>
      <c r="AD50" s="236"/>
      <c r="AE50" s="236"/>
      <c r="AF50" s="236"/>
      <c r="AG50" s="236"/>
      <c r="AH50" s="236"/>
      <c r="AI50" s="236"/>
      <c r="AJ50" s="236"/>
      <c r="AK50" s="368"/>
      <c r="AL50" s="236"/>
      <c r="AM50" s="236"/>
      <c r="AN50" s="236"/>
      <c r="AO50" s="236"/>
      <c r="AP50" s="236"/>
      <c r="AQ50" s="368"/>
      <c r="AR50" s="236"/>
      <c r="AS50" s="236"/>
      <c r="AT50" s="236"/>
      <c r="AU50" s="236"/>
      <c r="AV50" s="265" t="str">
        <f t="shared" si="16"/>
        <v>N/A</v>
      </c>
      <c r="AW50" s="265" t="str">
        <f t="shared" si="16"/>
        <v>N/A</v>
      </c>
      <c r="AX50" s="265" t="str">
        <f t="shared" si="16"/>
        <v>N/A</v>
      </c>
      <c r="AY50" s="265" t="str">
        <f t="shared" si="16"/>
        <v>N/A</v>
      </c>
      <c r="AZ50" s="265" t="str">
        <f t="shared" si="16"/>
        <v>N/A</v>
      </c>
      <c r="BA50" s="306">
        <v>43</v>
      </c>
      <c r="BB50" s="265" t="str">
        <f t="shared" si="17"/>
        <v>N/A</v>
      </c>
      <c r="BC50" s="265" t="str">
        <f t="shared" si="17"/>
        <v>N/A</v>
      </c>
      <c r="BD50" s="265" t="str">
        <f t="shared" si="17"/>
        <v>N/A</v>
      </c>
      <c r="BE50" s="265" t="str">
        <f t="shared" si="17"/>
        <v>N/A</v>
      </c>
      <c r="BF50" s="265" t="str">
        <f t="shared" si="17"/>
        <v>N/A</v>
      </c>
      <c r="BG50" s="374">
        <v>43</v>
      </c>
    </row>
    <row r="51" spans="2:59" ht="15" thickBot="1" x14ac:dyDescent="0.35">
      <c r="B51" s="307">
        <v>44</v>
      </c>
      <c r="C51" s="343" t="str">
        <f t="shared" si="13"/>
        <v>N/A</v>
      </c>
      <c r="D51" s="343" t="str">
        <f t="shared" si="13"/>
        <v>N/A</v>
      </c>
      <c r="E51" s="343" t="str">
        <f t="shared" si="13"/>
        <v>N/A</v>
      </c>
      <c r="F51" s="343" t="str">
        <f t="shared" si="13"/>
        <v>N/A</v>
      </c>
      <c r="G51" s="343" t="str">
        <f>X47</f>
        <v>N/A</v>
      </c>
      <c r="H51" s="354">
        <v>44</v>
      </c>
      <c r="I51" s="343" t="str">
        <f t="shared" si="15"/>
        <v>N/A</v>
      </c>
      <c r="J51" s="343" t="str">
        <f t="shared" si="15"/>
        <v>N/A</v>
      </c>
      <c r="K51" s="343" t="str">
        <f t="shared" si="15"/>
        <v>N/A</v>
      </c>
      <c r="L51" s="343" t="str">
        <f t="shared" si="15"/>
        <v>N/A</v>
      </c>
      <c r="M51" s="343" t="str">
        <f>AD47</f>
        <v>N/A</v>
      </c>
      <c r="N51" s="236"/>
      <c r="O51" s="236"/>
      <c r="P51" s="236"/>
      <c r="Q51" s="236"/>
      <c r="R51" s="236"/>
      <c r="S51" s="236"/>
      <c r="T51" s="236"/>
      <c r="U51" s="236"/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368"/>
      <c r="AL51" s="236"/>
      <c r="AM51" s="236"/>
      <c r="AN51" s="236"/>
      <c r="AO51" s="236"/>
      <c r="AP51" s="236"/>
      <c r="AQ51" s="368"/>
      <c r="AR51" s="236"/>
      <c r="AS51" s="236"/>
      <c r="AT51" s="236"/>
      <c r="AU51" s="236"/>
      <c r="AV51" s="343" t="str">
        <f t="shared" si="16"/>
        <v>N/A</v>
      </c>
      <c r="AW51" s="343" t="str">
        <f t="shared" si="16"/>
        <v>N/A</v>
      </c>
      <c r="AX51" s="343" t="str">
        <f t="shared" si="16"/>
        <v>N/A</v>
      </c>
      <c r="AY51" s="343" t="str">
        <f t="shared" si="16"/>
        <v>N/A</v>
      </c>
      <c r="AZ51" s="343" t="str">
        <f t="shared" si="16"/>
        <v>N/A</v>
      </c>
      <c r="BA51" s="307">
        <v>44</v>
      </c>
      <c r="BB51" s="343" t="str">
        <f t="shared" si="17"/>
        <v>N/A</v>
      </c>
      <c r="BC51" s="343" t="str">
        <f t="shared" si="17"/>
        <v>N/A</v>
      </c>
      <c r="BD51" s="343" t="str">
        <f t="shared" si="17"/>
        <v>N/A</v>
      </c>
      <c r="BE51" s="343" t="str">
        <f t="shared" si="17"/>
        <v>N/A</v>
      </c>
      <c r="BF51" s="343" t="str">
        <f t="shared" si="17"/>
        <v>N/A</v>
      </c>
      <c r="BG51" s="375">
        <v>44</v>
      </c>
    </row>
    <row r="52" spans="2:59" x14ac:dyDescent="0.3">
      <c r="B52" s="307">
        <v>45</v>
      </c>
      <c r="C52" s="346" t="str">
        <f t="shared" si="13"/>
        <v>N/A</v>
      </c>
      <c r="D52" s="346" t="str">
        <f t="shared" si="13"/>
        <v>N/A</v>
      </c>
      <c r="E52" s="346" t="str">
        <f t="shared" si="13"/>
        <v>N/A</v>
      </c>
      <c r="F52" s="346" t="str">
        <f t="shared" si="13"/>
        <v>N/A</v>
      </c>
      <c r="G52" s="346" t="str">
        <f>X48</f>
        <v>N/A</v>
      </c>
      <c r="H52" s="354">
        <v>45</v>
      </c>
      <c r="I52" s="346" t="str">
        <f t="shared" si="15"/>
        <v>N/A</v>
      </c>
      <c r="J52" s="346" t="str">
        <f t="shared" si="15"/>
        <v>N/A</v>
      </c>
      <c r="K52" s="346" t="str">
        <f t="shared" si="15"/>
        <v>N/A</v>
      </c>
      <c r="L52" s="346" t="str">
        <f t="shared" si="15"/>
        <v>N/A</v>
      </c>
      <c r="M52" s="346" t="str">
        <f>AD48</f>
        <v>N/A</v>
      </c>
      <c r="N52" s="236"/>
      <c r="O52" s="236"/>
      <c r="P52" s="236"/>
      <c r="Q52" s="236"/>
      <c r="R52" s="236"/>
      <c r="S52" s="236"/>
      <c r="T52" s="236"/>
      <c r="U52" s="236"/>
      <c r="V52" s="236"/>
      <c r="W52" s="236"/>
      <c r="X52" s="236"/>
      <c r="Y52" s="236"/>
      <c r="Z52" s="236"/>
      <c r="AA52" s="236"/>
      <c r="AB52" s="236"/>
      <c r="AC52" s="236"/>
      <c r="AD52" s="236"/>
      <c r="AE52" s="236"/>
      <c r="AF52" s="236"/>
      <c r="AG52" s="236"/>
      <c r="AH52" s="236"/>
      <c r="AI52" s="236"/>
      <c r="AJ52" s="236"/>
      <c r="AK52" s="368"/>
      <c r="AL52" s="236"/>
      <c r="AM52" s="236"/>
      <c r="AN52" s="236"/>
      <c r="AO52" s="236"/>
      <c r="AP52" s="236"/>
      <c r="AQ52" s="368"/>
      <c r="AR52" s="236"/>
      <c r="AS52" s="236"/>
      <c r="AT52" s="236"/>
      <c r="AU52" s="236"/>
      <c r="AV52" s="346" t="str">
        <f t="shared" si="16"/>
        <v>N/A</v>
      </c>
      <c r="AW52" s="346" t="str">
        <f t="shared" si="16"/>
        <v>N/A</v>
      </c>
      <c r="AX52" s="346" t="str">
        <f t="shared" si="16"/>
        <v>N/A</v>
      </c>
      <c r="AY52" s="346" t="str">
        <f t="shared" si="16"/>
        <v>N/A</v>
      </c>
      <c r="AZ52" s="346" t="str">
        <f t="shared" si="16"/>
        <v>N/A</v>
      </c>
      <c r="BA52" s="307">
        <v>45</v>
      </c>
      <c r="BB52" s="346" t="str">
        <f t="shared" si="17"/>
        <v>N/A</v>
      </c>
      <c r="BC52" s="346" t="str">
        <f t="shared" si="17"/>
        <v>N/A</v>
      </c>
      <c r="BD52" s="346" t="str">
        <f t="shared" si="17"/>
        <v>N/A</v>
      </c>
      <c r="BE52" s="346" t="str">
        <f t="shared" si="17"/>
        <v>N/A</v>
      </c>
      <c r="BF52" s="346" t="str">
        <f t="shared" si="17"/>
        <v>N/A</v>
      </c>
      <c r="BG52" s="375">
        <v>45</v>
      </c>
    </row>
    <row r="53" spans="2:59" x14ac:dyDescent="0.3">
      <c r="B53" s="308" t="s">
        <v>477</v>
      </c>
      <c r="C53" s="231">
        <f>SUM(C37:C52)</f>
        <v>0</v>
      </c>
      <c r="D53" s="231">
        <f>SUM(D37:D52)</f>
        <v>0</v>
      </c>
      <c r="E53" s="231">
        <f>SUM(E37:E52)</f>
        <v>0</v>
      </c>
      <c r="F53" s="231">
        <f>SUM(F37:F52)</f>
        <v>0</v>
      </c>
      <c r="G53" s="231">
        <f>SUM(G37:G52)</f>
        <v>0</v>
      </c>
      <c r="H53" s="308" t="s">
        <v>477</v>
      </c>
      <c r="I53" s="231">
        <f>SUM(I37:I52)</f>
        <v>0</v>
      </c>
      <c r="J53" s="231">
        <f>SUM(J37:J52)</f>
        <v>0</v>
      </c>
      <c r="K53" s="231">
        <f>SUM(K37:K52)</f>
        <v>0</v>
      </c>
      <c r="L53" s="231">
        <f>SUM(L37:L52)</f>
        <v>0</v>
      </c>
      <c r="M53" s="231">
        <f>SUM(M37:M52)</f>
        <v>0</v>
      </c>
      <c r="N53" s="236"/>
      <c r="O53" s="236"/>
      <c r="P53" s="236"/>
      <c r="Q53" s="236"/>
      <c r="R53" s="236"/>
      <c r="S53" s="236"/>
      <c r="T53" s="236"/>
      <c r="U53" s="236"/>
      <c r="V53" s="236"/>
      <c r="W53" s="236"/>
      <c r="X53" s="236"/>
      <c r="Y53" s="236"/>
      <c r="Z53" s="236"/>
      <c r="AA53" s="236"/>
      <c r="AB53" s="236"/>
      <c r="AC53" s="236"/>
      <c r="AD53" s="236"/>
      <c r="AE53" s="236"/>
      <c r="AF53" s="236"/>
      <c r="AG53" s="236"/>
      <c r="AH53" s="236"/>
      <c r="AI53" s="236"/>
      <c r="AJ53" s="236"/>
      <c r="AK53" s="368"/>
      <c r="AL53" s="236"/>
      <c r="AM53" s="236"/>
      <c r="AN53" s="236"/>
      <c r="AO53" s="236"/>
      <c r="AP53" s="236"/>
      <c r="AQ53" s="368"/>
      <c r="AR53" s="236"/>
      <c r="AS53" s="236"/>
      <c r="AT53" s="236"/>
      <c r="AU53" s="236"/>
      <c r="AV53" s="231">
        <f>SUM(AV37:AV52)</f>
        <v>0</v>
      </c>
      <c r="AW53" s="231">
        <f>SUM(AW37:AW52)</f>
        <v>0</v>
      </c>
      <c r="AX53" s="231">
        <f>SUM(AX37:AX52)</f>
        <v>0</v>
      </c>
      <c r="AY53" s="231">
        <f>SUM(AY37:AY52)</f>
        <v>0</v>
      </c>
      <c r="AZ53" s="231">
        <f>SUM(AZ37:AZ52)</f>
        <v>0</v>
      </c>
      <c r="BA53" s="308" t="s">
        <v>339</v>
      </c>
      <c r="BB53" s="231">
        <f>SUM(BB37:BB52)</f>
        <v>0</v>
      </c>
      <c r="BC53" s="231">
        <f>SUM(BC37:BC52)</f>
        <v>0</v>
      </c>
      <c r="BD53" s="231">
        <f>SUM(BD37:BD52)</f>
        <v>0</v>
      </c>
      <c r="BE53" s="231">
        <f>SUM(BE37:BE52)</f>
        <v>0</v>
      </c>
      <c r="BF53" s="231">
        <f>SUM(BF37:BF52)</f>
        <v>0</v>
      </c>
      <c r="BG53" s="308" t="s">
        <v>477</v>
      </c>
    </row>
    <row r="54" spans="2:59" x14ac:dyDescent="0.3">
      <c r="B54" s="935"/>
      <c r="C54" s="935"/>
      <c r="D54" s="935"/>
      <c r="E54" s="935"/>
      <c r="F54" s="935"/>
      <c r="G54" s="528"/>
      <c r="H54" s="935"/>
      <c r="I54" s="935"/>
      <c r="J54" s="935"/>
      <c r="K54" s="935"/>
      <c r="L54" s="935"/>
      <c r="M54" s="528"/>
      <c r="N54" s="236"/>
      <c r="O54" s="236"/>
      <c r="P54" s="236"/>
      <c r="Q54" s="236"/>
      <c r="R54" s="236"/>
      <c r="S54" s="236"/>
      <c r="T54" s="236"/>
      <c r="U54" s="236"/>
      <c r="V54" s="236"/>
      <c r="W54" s="236"/>
      <c r="X54" s="236"/>
      <c r="Y54" s="236"/>
      <c r="Z54" s="236"/>
      <c r="AA54" s="236"/>
      <c r="AB54" s="236"/>
      <c r="AC54" s="236"/>
      <c r="AD54" s="236"/>
      <c r="AE54" s="236"/>
      <c r="AF54" s="236"/>
      <c r="AG54" s="236"/>
      <c r="AH54" s="236"/>
      <c r="AI54" s="236"/>
      <c r="AJ54" s="236"/>
      <c r="AK54" s="368"/>
      <c r="AL54" s="236"/>
      <c r="AM54" s="236"/>
      <c r="AN54" s="236"/>
      <c r="AO54" s="236"/>
      <c r="AP54" s="236"/>
      <c r="AQ54" s="368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935"/>
      <c r="BC54" s="935"/>
      <c r="BD54" s="935"/>
      <c r="BE54" s="935"/>
      <c r="BF54" s="528"/>
      <c r="BG54" s="236"/>
    </row>
    <row r="55" spans="2:59" x14ac:dyDescent="0.3">
      <c r="B55" s="236"/>
      <c r="C55" s="309" t="s">
        <v>471</v>
      </c>
      <c r="D55" s="933">
        <f>C19</f>
        <v>0</v>
      </c>
      <c r="E55" s="934"/>
      <c r="F55" s="535" t="s">
        <v>537</v>
      </c>
      <c r="G55" s="533">
        <f>G19</f>
        <v>0</v>
      </c>
      <c r="H55" s="236"/>
      <c r="I55" s="309" t="s">
        <v>471</v>
      </c>
      <c r="J55" s="933">
        <f>I19</f>
        <v>0</v>
      </c>
      <c r="K55" s="934"/>
      <c r="L55" s="535" t="s">
        <v>537</v>
      </c>
      <c r="M55" s="533">
        <f>M19</f>
        <v>0</v>
      </c>
      <c r="N55" s="236"/>
      <c r="O55" s="236"/>
      <c r="P55" s="236"/>
      <c r="Q55" s="236"/>
      <c r="R55" s="236"/>
      <c r="S55" s="236"/>
      <c r="T55" s="236"/>
      <c r="U55" s="236"/>
      <c r="V55" s="236"/>
      <c r="W55" s="236"/>
      <c r="X55" s="236"/>
      <c r="Y55" s="236"/>
      <c r="Z55" s="236"/>
      <c r="AA55" s="236"/>
      <c r="AB55" s="236"/>
      <c r="AC55" s="236"/>
      <c r="AD55" s="236"/>
      <c r="AE55" s="236"/>
      <c r="AF55" s="236"/>
      <c r="AG55" s="236"/>
      <c r="AH55" s="236"/>
      <c r="AI55" s="236"/>
      <c r="AJ55" s="236"/>
      <c r="AK55" s="368"/>
      <c r="AL55" s="236"/>
      <c r="AM55" s="236"/>
      <c r="AN55" s="236"/>
      <c r="AO55" s="236"/>
      <c r="AP55" s="236"/>
      <c r="AQ55" s="368"/>
      <c r="AR55" s="236"/>
      <c r="AS55" s="236"/>
      <c r="AT55" s="236"/>
      <c r="AU55" s="236"/>
      <c r="AV55" s="309" t="s">
        <v>340</v>
      </c>
      <c r="AW55" s="933">
        <f>AV19</f>
        <v>0</v>
      </c>
      <c r="AX55" s="934"/>
      <c r="AY55" s="535" t="s">
        <v>537</v>
      </c>
      <c r="AZ55" s="533">
        <f>AZ19</f>
        <v>0</v>
      </c>
      <c r="BA55" s="236"/>
      <c r="BB55" s="309" t="s">
        <v>340</v>
      </c>
      <c r="BC55" s="933">
        <f>BB19</f>
        <v>0</v>
      </c>
      <c r="BD55" s="934"/>
      <c r="BE55" s="535" t="s">
        <v>537</v>
      </c>
      <c r="BF55" s="533">
        <f>BF19</f>
        <v>0</v>
      </c>
      <c r="BG55" s="236"/>
    </row>
    <row r="56" spans="2:59" ht="15" thickBot="1" x14ac:dyDescent="0.35">
      <c r="B56" s="236"/>
      <c r="C56" s="310" t="s">
        <v>472</v>
      </c>
      <c r="D56" s="929">
        <f>D19</f>
        <v>0</v>
      </c>
      <c r="E56" s="930"/>
      <c r="F56" s="536"/>
      <c r="G56" s="531"/>
      <c r="H56" s="236"/>
      <c r="I56" s="310" t="s">
        <v>472</v>
      </c>
      <c r="J56" s="929">
        <f>J19</f>
        <v>0</v>
      </c>
      <c r="K56" s="930"/>
      <c r="L56" s="536"/>
      <c r="M56" s="531"/>
      <c r="N56" s="236"/>
      <c r="O56" s="236"/>
      <c r="P56" s="236"/>
      <c r="Q56" s="236"/>
      <c r="R56" s="236"/>
      <c r="S56" s="236"/>
      <c r="T56" s="236"/>
      <c r="U56" s="236"/>
      <c r="V56" s="236"/>
      <c r="W56" s="236"/>
      <c r="X56" s="236"/>
      <c r="Y56" s="236"/>
      <c r="Z56" s="236"/>
      <c r="AA56" s="236"/>
      <c r="AB56" s="236"/>
      <c r="AC56" s="236"/>
      <c r="AD56" s="236"/>
      <c r="AE56" s="236"/>
      <c r="AF56" s="236"/>
      <c r="AG56" s="236"/>
      <c r="AH56" s="236"/>
      <c r="AI56" s="236"/>
      <c r="AJ56" s="236"/>
      <c r="AK56" s="368"/>
      <c r="AL56" s="236"/>
      <c r="AM56" s="236"/>
      <c r="AN56" s="236"/>
      <c r="AO56" s="236"/>
      <c r="AP56" s="236"/>
      <c r="AQ56" s="368"/>
      <c r="AR56" s="236"/>
      <c r="AS56" s="236"/>
      <c r="AT56" s="236"/>
      <c r="AU56" s="236"/>
      <c r="AV56" s="310" t="s">
        <v>341</v>
      </c>
      <c r="AW56" s="929">
        <f>AW19</f>
        <v>0</v>
      </c>
      <c r="AX56" s="930"/>
      <c r="AY56" s="536"/>
      <c r="AZ56" s="531"/>
      <c r="BA56" s="236"/>
      <c r="BB56" s="310" t="s">
        <v>341</v>
      </c>
      <c r="BC56" s="929">
        <f>BC19</f>
        <v>0</v>
      </c>
      <c r="BD56" s="930"/>
      <c r="BE56" s="536"/>
      <c r="BF56" s="531"/>
      <c r="BG56" s="236"/>
    </row>
    <row r="57" spans="2:59" x14ac:dyDescent="0.3">
      <c r="B57" s="236"/>
      <c r="C57" s="309" t="s">
        <v>473</v>
      </c>
      <c r="D57" s="931">
        <f>E19</f>
        <v>0</v>
      </c>
      <c r="E57" s="932"/>
      <c r="F57" s="537"/>
      <c r="G57" s="532"/>
      <c r="H57" s="236"/>
      <c r="I57" s="309" t="s">
        <v>473</v>
      </c>
      <c r="J57" s="931">
        <f>K19</f>
        <v>0</v>
      </c>
      <c r="K57" s="932"/>
      <c r="L57" s="537"/>
      <c r="M57" s="532"/>
      <c r="N57" s="236"/>
      <c r="O57" s="236"/>
      <c r="P57" s="236"/>
      <c r="Q57" s="236"/>
      <c r="R57" s="236"/>
      <c r="S57" s="236"/>
      <c r="T57" s="236"/>
      <c r="U57" s="236"/>
      <c r="V57" s="236"/>
      <c r="W57" s="236"/>
      <c r="X57" s="236"/>
      <c r="Y57" s="236"/>
      <c r="Z57" s="236"/>
      <c r="AA57" s="236"/>
      <c r="AB57" s="236"/>
      <c r="AC57" s="236"/>
      <c r="AD57" s="236"/>
      <c r="AE57" s="236"/>
      <c r="AF57" s="236"/>
      <c r="AG57" s="236"/>
      <c r="AH57" s="236"/>
      <c r="AI57" s="236"/>
      <c r="AJ57" s="236"/>
      <c r="AK57" s="368"/>
      <c r="AL57" s="236"/>
      <c r="AM57" s="236"/>
      <c r="AN57" s="236"/>
      <c r="AO57" s="236"/>
      <c r="AP57" s="236"/>
      <c r="AQ57" s="368"/>
      <c r="AR57" s="236"/>
      <c r="AS57" s="236"/>
      <c r="AT57" s="236"/>
      <c r="AU57" s="236"/>
      <c r="AV57" s="309" t="s">
        <v>342</v>
      </c>
      <c r="AW57" s="931">
        <f>AX19</f>
        <v>0</v>
      </c>
      <c r="AX57" s="932"/>
      <c r="AY57" s="537"/>
      <c r="AZ57" s="532"/>
      <c r="BA57" s="313"/>
      <c r="BB57" s="309" t="s">
        <v>342</v>
      </c>
      <c r="BC57" s="931">
        <f>BD19</f>
        <v>0</v>
      </c>
      <c r="BD57" s="932"/>
      <c r="BE57" s="537"/>
      <c r="BF57" s="532"/>
      <c r="BG57" s="236"/>
    </row>
    <row r="58" spans="2:59" ht="15" thickBot="1" x14ac:dyDescent="0.35">
      <c r="B58" s="236"/>
      <c r="C58" s="310" t="s">
        <v>474</v>
      </c>
      <c r="D58" s="931">
        <f>F19</f>
        <v>0</v>
      </c>
      <c r="E58" s="932"/>
      <c r="F58" s="537"/>
      <c r="G58" s="532"/>
      <c r="H58" s="236"/>
      <c r="I58" s="310" t="s">
        <v>474</v>
      </c>
      <c r="J58" s="931">
        <f>L19</f>
        <v>0</v>
      </c>
      <c r="K58" s="932"/>
      <c r="L58" s="537"/>
      <c r="M58" s="532"/>
      <c r="N58" s="236"/>
      <c r="O58" s="236"/>
      <c r="P58" s="236"/>
      <c r="Q58" s="236"/>
      <c r="R58" s="236"/>
      <c r="S58" s="236"/>
      <c r="T58" s="236"/>
      <c r="U58" s="236"/>
      <c r="V58" s="236"/>
      <c r="W58" s="236"/>
      <c r="X58" s="236"/>
      <c r="Y58" s="236"/>
      <c r="Z58" s="236"/>
      <c r="AA58" s="236"/>
      <c r="AB58" s="236"/>
      <c r="AC58" s="236"/>
      <c r="AD58" s="236"/>
      <c r="AE58" s="236"/>
      <c r="AF58" s="236"/>
      <c r="AG58" s="236"/>
      <c r="AH58" s="236"/>
      <c r="AI58" s="236"/>
      <c r="AJ58" s="236"/>
      <c r="AK58" s="368"/>
      <c r="AL58" s="236"/>
      <c r="AM58" s="236"/>
      <c r="AN58" s="236"/>
      <c r="AO58" s="236"/>
      <c r="AP58" s="236"/>
      <c r="AQ58" s="368"/>
      <c r="AR58" s="236"/>
      <c r="AS58" s="236"/>
      <c r="AT58" s="236"/>
      <c r="AU58" s="236"/>
      <c r="AV58" s="310" t="s">
        <v>343</v>
      </c>
      <c r="AW58" s="931">
        <f>AY19</f>
        <v>0</v>
      </c>
      <c r="AX58" s="932"/>
      <c r="AY58" s="537"/>
      <c r="AZ58" s="532"/>
      <c r="BA58" s="314"/>
      <c r="BB58" s="310" t="s">
        <v>343</v>
      </c>
      <c r="BC58" s="931">
        <f>BE19</f>
        <v>0</v>
      </c>
      <c r="BD58" s="932"/>
      <c r="BE58" s="537"/>
      <c r="BF58" s="532"/>
      <c r="BG58" s="236"/>
    </row>
    <row r="59" spans="2:59" x14ac:dyDescent="0.3">
      <c r="B59" s="236"/>
      <c r="C59" s="315" t="s">
        <v>475</v>
      </c>
      <c r="D59" s="832">
        <f>SUM(D55:E58,G55)</f>
        <v>0</v>
      </c>
      <c r="E59" s="832"/>
      <c r="F59" s="538"/>
      <c r="G59" s="319"/>
      <c r="H59" s="236"/>
      <c r="I59" s="315" t="s">
        <v>475</v>
      </c>
      <c r="J59" s="832">
        <f>SUM(J55:J58,M55)</f>
        <v>0</v>
      </c>
      <c r="K59" s="832"/>
      <c r="L59" s="538"/>
      <c r="M59" s="319"/>
      <c r="N59" s="236"/>
      <c r="O59" s="236"/>
      <c r="P59" s="236"/>
      <c r="Q59" s="236"/>
      <c r="R59" s="236"/>
      <c r="S59" s="236"/>
      <c r="T59" s="236"/>
      <c r="U59" s="236"/>
      <c r="V59" s="236"/>
      <c r="W59" s="236"/>
      <c r="X59" s="236"/>
      <c r="Y59" s="236"/>
      <c r="Z59" s="236"/>
      <c r="AA59" s="236"/>
      <c r="AB59" s="236"/>
      <c r="AC59" s="236"/>
      <c r="AD59" s="236"/>
      <c r="AE59" s="236"/>
      <c r="AF59" s="236"/>
      <c r="AG59" s="236"/>
      <c r="AH59" s="236"/>
      <c r="AI59" s="236"/>
      <c r="AJ59" s="236"/>
      <c r="AK59" s="368"/>
      <c r="AL59" s="236"/>
      <c r="AM59" s="236"/>
      <c r="AN59" s="236"/>
      <c r="AO59" s="236"/>
      <c r="AP59" s="236"/>
      <c r="AQ59" s="368"/>
      <c r="AR59" s="236"/>
      <c r="AS59" s="236"/>
      <c r="AT59" s="236"/>
      <c r="AU59" s="236"/>
      <c r="AV59" s="315" t="s">
        <v>344</v>
      </c>
      <c r="AW59" s="832">
        <f>SUM(AW55:AX58,AZ55)</f>
        <v>0</v>
      </c>
      <c r="AX59" s="832"/>
      <c r="AY59" s="538"/>
      <c r="AZ59" s="319"/>
      <c r="BA59" s="317"/>
      <c r="BB59" s="315" t="s">
        <v>344</v>
      </c>
      <c r="BC59" s="832">
        <f>SUM(BC55:BC58,BF55)</f>
        <v>0</v>
      </c>
      <c r="BD59" s="832"/>
      <c r="BE59" s="538"/>
      <c r="BF59" s="319"/>
      <c r="BG59" s="236"/>
    </row>
    <row r="60" spans="2:59" x14ac:dyDescent="0.3">
      <c r="B60" s="236"/>
      <c r="C60" s="318"/>
      <c r="D60" s="319"/>
      <c r="E60" s="319"/>
      <c r="F60" s="539"/>
      <c r="G60" s="319"/>
      <c r="H60" s="236"/>
      <c r="I60" s="318"/>
      <c r="J60" s="319"/>
      <c r="K60" s="319"/>
      <c r="L60" s="539"/>
      <c r="M60" s="319"/>
      <c r="N60" s="236"/>
      <c r="O60" s="236"/>
      <c r="P60" s="236"/>
      <c r="Q60" s="236"/>
      <c r="R60" s="236"/>
      <c r="S60" s="236"/>
      <c r="T60" s="236"/>
      <c r="U60" s="236"/>
      <c r="V60" s="236"/>
      <c r="W60" s="236"/>
      <c r="X60" s="236"/>
      <c r="Y60" s="236"/>
      <c r="Z60" s="236"/>
      <c r="AA60" s="236"/>
      <c r="AB60" s="236"/>
      <c r="AC60" s="236"/>
      <c r="AD60" s="236"/>
      <c r="AE60" s="236"/>
      <c r="AF60" s="236"/>
      <c r="AG60" s="236"/>
      <c r="AH60" s="236"/>
      <c r="AI60" s="236"/>
      <c r="AJ60" s="236"/>
      <c r="AK60" s="368"/>
      <c r="AL60" s="236"/>
      <c r="AM60" s="236"/>
      <c r="AN60" s="236"/>
      <c r="AO60" s="236"/>
      <c r="AP60" s="236"/>
      <c r="AQ60" s="368"/>
      <c r="AR60" s="236"/>
      <c r="AS60" s="236"/>
      <c r="AT60" s="236"/>
      <c r="AU60" s="236"/>
      <c r="AV60" s="318"/>
      <c r="AW60" s="319"/>
      <c r="AX60" s="319"/>
      <c r="AY60" s="539"/>
      <c r="AZ60" s="319"/>
      <c r="BA60" s="320"/>
      <c r="BB60" s="318"/>
      <c r="BC60" s="319"/>
      <c r="BD60" s="319"/>
      <c r="BE60" s="539"/>
      <c r="BF60" s="319"/>
      <c r="BG60" s="236"/>
    </row>
    <row r="61" spans="2:59" x14ac:dyDescent="0.3">
      <c r="B61" s="236"/>
      <c r="C61" s="309" t="s">
        <v>478</v>
      </c>
      <c r="D61" s="933">
        <f>C35</f>
        <v>0</v>
      </c>
      <c r="E61" s="934"/>
      <c r="F61" s="535" t="s">
        <v>538</v>
      </c>
      <c r="G61" s="534">
        <f>G35</f>
        <v>0</v>
      </c>
      <c r="H61" s="236"/>
      <c r="I61" s="309" t="s">
        <v>478</v>
      </c>
      <c r="J61" s="933">
        <f>I35</f>
        <v>0</v>
      </c>
      <c r="K61" s="934"/>
      <c r="L61" s="535" t="s">
        <v>538</v>
      </c>
      <c r="M61" s="534">
        <f>M35</f>
        <v>0</v>
      </c>
      <c r="N61" s="236"/>
      <c r="O61" s="236"/>
      <c r="P61" s="236"/>
      <c r="Q61" s="236"/>
      <c r="R61" s="236"/>
      <c r="S61" s="236"/>
      <c r="T61" s="236"/>
      <c r="U61" s="236"/>
      <c r="V61" s="236"/>
      <c r="W61" s="236"/>
      <c r="X61" s="236"/>
      <c r="Y61" s="236"/>
      <c r="Z61" s="236"/>
      <c r="AA61" s="236"/>
      <c r="AB61" s="236"/>
      <c r="AC61" s="236"/>
      <c r="AD61" s="236"/>
      <c r="AE61" s="236"/>
      <c r="AF61" s="236"/>
      <c r="AG61" s="236"/>
      <c r="AH61" s="236"/>
      <c r="AI61" s="236"/>
      <c r="AJ61" s="236"/>
      <c r="AK61" s="368"/>
      <c r="AL61" s="236"/>
      <c r="AM61" s="236"/>
      <c r="AN61" s="236"/>
      <c r="AO61" s="236"/>
      <c r="AP61" s="236"/>
      <c r="AQ61" s="368"/>
      <c r="AR61" s="236"/>
      <c r="AS61" s="236"/>
      <c r="AT61" s="236"/>
      <c r="AU61" s="236"/>
      <c r="AV61" s="309" t="s">
        <v>345</v>
      </c>
      <c r="AW61" s="933">
        <f>AV35</f>
        <v>0</v>
      </c>
      <c r="AX61" s="934"/>
      <c r="AY61" s="535" t="s">
        <v>538</v>
      </c>
      <c r="AZ61" s="534">
        <f>AZ35</f>
        <v>0</v>
      </c>
      <c r="BA61" s="320"/>
      <c r="BB61" s="309" t="s">
        <v>345</v>
      </c>
      <c r="BC61" s="933">
        <f>BB35</f>
        <v>0</v>
      </c>
      <c r="BD61" s="934"/>
      <c r="BE61" s="535" t="s">
        <v>538</v>
      </c>
      <c r="BF61" s="534">
        <f>BF35</f>
        <v>0</v>
      </c>
      <c r="BG61" s="236"/>
    </row>
    <row r="62" spans="2:59" ht="15" thickBot="1" x14ac:dyDescent="0.35">
      <c r="B62" s="236"/>
      <c r="C62" s="310" t="s">
        <v>479</v>
      </c>
      <c r="D62" s="929">
        <f>D35</f>
        <v>0</v>
      </c>
      <c r="E62" s="930"/>
      <c r="F62" s="536"/>
      <c r="G62" s="531"/>
      <c r="H62" s="236"/>
      <c r="I62" s="310" t="s">
        <v>479</v>
      </c>
      <c r="J62" s="929">
        <f>J35</f>
        <v>0</v>
      </c>
      <c r="K62" s="930"/>
      <c r="L62" s="536"/>
      <c r="M62" s="531"/>
      <c r="N62" s="236"/>
      <c r="O62" s="236"/>
      <c r="P62" s="236"/>
      <c r="Q62" s="236"/>
      <c r="R62" s="236"/>
      <c r="S62" s="236"/>
      <c r="T62" s="236"/>
      <c r="U62" s="236"/>
      <c r="V62" s="236"/>
      <c r="W62" s="236"/>
      <c r="X62" s="236"/>
      <c r="Y62" s="236"/>
      <c r="Z62" s="236"/>
      <c r="AA62" s="236"/>
      <c r="AB62" s="236"/>
      <c r="AC62" s="236"/>
      <c r="AD62" s="236"/>
      <c r="AE62" s="236"/>
      <c r="AF62" s="236"/>
      <c r="AG62" s="236"/>
      <c r="AH62" s="236"/>
      <c r="AI62" s="236"/>
      <c r="AJ62" s="236"/>
      <c r="AK62" s="368"/>
      <c r="AL62" s="236"/>
      <c r="AM62" s="236"/>
      <c r="AN62" s="236"/>
      <c r="AO62" s="236"/>
      <c r="AP62" s="236"/>
      <c r="AQ62" s="368"/>
      <c r="AR62" s="236"/>
      <c r="AS62" s="236"/>
      <c r="AT62" s="236"/>
      <c r="AU62" s="236"/>
      <c r="AV62" s="310" t="s">
        <v>346</v>
      </c>
      <c r="AW62" s="929">
        <f>AW35</f>
        <v>0</v>
      </c>
      <c r="AX62" s="930"/>
      <c r="AY62" s="536"/>
      <c r="AZ62" s="531"/>
      <c r="BA62" s="314"/>
      <c r="BB62" s="310" t="s">
        <v>346</v>
      </c>
      <c r="BC62" s="929">
        <f>BC35</f>
        <v>0</v>
      </c>
      <c r="BD62" s="930"/>
      <c r="BE62" s="536"/>
      <c r="BF62" s="531"/>
      <c r="BG62" s="236"/>
    </row>
    <row r="63" spans="2:59" x14ac:dyDescent="0.3">
      <c r="B63" s="236"/>
      <c r="C63" s="309" t="s">
        <v>480</v>
      </c>
      <c r="D63" s="931">
        <f>E35</f>
        <v>0</v>
      </c>
      <c r="E63" s="932"/>
      <c r="F63" s="537"/>
      <c r="G63" s="532"/>
      <c r="H63" s="236"/>
      <c r="I63" s="309" t="s">
        <v>480</v>
      </c>
      <c r="J63" s="931">
        <f>K35</f>
        <v>0</v>
      </c>
      <c r="K63" s="932"/>
      <c r="L63" s="537"/>
      <c r="M63" s="532"/>
      <c r="N63" s="236"/>
      <c r="O63" s="236"/>
      <c r="P63" s="236"/>
      <c r="Q63" s="236"/>
      <c r="R63" s="236"/>
      <c r="S63" s="236"/>
      <c r="T63" s="236"/>
      <c r="U63" s="236"/>
      <c r="V63" s="236"/>
      <c r="W63" s="236"/>
      <c r="X63" s="236"/>
      <c r="Y63" s="236"/>
      <c r="Z63" s="236"/>
      <c r="AA63" s="236"/>
      <c r="AB63" s="236"/>
      <c r="AC63" s="236"/>
      <c r="AD63" s="236"/>
      <c r="AE63" s="236"/>
      <c r="AF63" s="236"/>
      <c r="AG63" s="236"/>
      <c r="AH63" s="236"/>
      <c r="AI63" s="236"/>
      <c r="AJ63" s="236"/>
      <c r="AK63" s="368"/>
      <c r="AL63" s="236"/>
      <c r="AM63" s="236"/>
      <c r="AN63" s="236"/>
      <c r="AO63" s="236"/>
      <c r="AP63" s="236"/>
      <c r="AQ63" s="368"/>
      <c r="AR63" s="236"/>
      <c r="AS63" s="236"/>
      <c r="AT63" s="236"/>
      <c r="AU63" s="236"/>
      <c r="AV63" s="309" t="s">
        <v>347</v>
      </c>
      <c r="AW63" s="931">
        <f>AX35</f>
        <v>0</v>
      </c>
      <c r="AX63" s="932"/>
      <c r="AY63" s="537"/>
      <c r="AZ63" s="532"/>
      <c r="BA63" s="320"/>
      <c r="BB63" s="309" t="s">
        <v>347</v>
      </c>
      <c r="BC63" s="931">
        <f>BD35</f>
        <v>0</v>
      </c>
      <c r="BD63" s="932"/>
      <c r="BE63" s="537"/>
      <c r="BF63" s="532"/>
      <c r="BG63" s="236"/>
    </row>
    <row r="64" spans="2:59" ht="15" thickBot="1" x14ac:dyDescent="0.35">
      <c r="B64" s="236"/>
      <c r="C64" s="310" t="s">
        <v>481</v>
      </c>
      <c r="D64" s="931">
        <f>F35</f>
        <v>0</v>
      </c>
      <c r="E64" s="932"/>
      <c r="F64" s="537"/>
      <c r="G64" s="532"/>
      <c r="H64" s="236"/>
      <c r="I64" s="310" t="s">
        <v>481</v>
      </c>
      <c r="J64" s="931">
        <f>L35</f>
        <v>0</v>
      </c>
      <c r="K64" s="932"/>
      <c r="L64" s="537"/>
      <c r="M64" s="532"/>
      <c r="N64" s="236"/>
      <c r="O64" s="236"/>
      <c r="P64" s="236"/>
      <c r="Q64" s="236"/>
      <c r="R64" s="236"/>
      <c r="S64" s="236"/>
      <c r="T64" s="236"/>
      <c r="U64" s="236"/>
      <c r="V64" s="236"/>
      <c r="W64" s="236"/>
      <c r="X64" s="236"/>
      <c r="Y64" s="236"/>
      <c r="Z64" s="236"/>
      <c r="AA64" s="236"/>
      <c r="AB64" s="236"/>
      <c r="AC64" s="236"/>
      <c r="AD64" s="236"/>
      <c r="AE64" s="236"/>
      <c r="AF64" s="236"/>
      <c r="AG64" s="236"/>
      <c r="AH64" s="236"/>
      <c r="AI64" s="236"/>
      <c r="AJ64" s="236"/>
      <c r="AK64" s="368"/>
      <c r="AL64" s="236"/>
      <c r="AM64" s="236"/>
      <c r="AN64" s="236"/>
      <c r="AO64" s="236"/>
      <c r="AP64" s="236"/>
      <c r="AQ64" s="368"/>
      <c r="AR64" s="236"/>
      <c r="AS64" s="236"/>
      <c r="AT64" s="236"/>
      <c r="AU64" s="236"/>
      <c r="AV64" s="310" t="s">
        <v>348</v>
      </c>
      <c r="AW64" s="931">
        <f>AY35</f>
        <v>0</v>
      </c>
      <c r="AX64" s="932"/>
      <c r="AY64" s="537"/>
      <c r="AZ64" s="532"/>
      <c r="BA64" s="314"/>
      <c r="BB64" s="310" t="s">
        <v>348</v>
      </c>
      <c r="BC64" s="931">
        <f>BE35</f>
        <v>0</v>
      </c>
      <c r="BD64" s="932"/>
      <c r="BE64" s="537"/>
      <c r="BF64" s="532"/>
      <c r="BG64" s="236"/>
    </row>
    <row r="65" spans="2:59" x14ac:dyDescent="0.3">
      <c r="B65" s="236"/>
      <c r="C65" s="315" t="s">
        <v>482</v>
      </c>
      <c r="D65" s="832">
        <f>SUM(D61:D64,G61)</f>
        <v>0</v>
      </c>
      <c r="E65" s="832"/>
      <c r="F65" s="538"/>
      <c r="G65" s="319"/>
      <c r="H65" s="236"/>
      <c r="I65" s="315" t="s">
        <v>482</v>
      </c>
      <c r="J65" s="832">
        <f>SUM(J61:J64,M61)</f>
        <v>0</v>
      </c>
      <c r="K65" s="832"/>
      <c r="L65" s="538"/>
      <c r="M65" s="319"/>
      <c r="N65" s="236"/>
      <c r="O65" s="236"/>
      <c r="P65" s="236"/>
      <c r="Q65" s="236"/>
      <c r="R65" s="236"/>
      <c r="S65" s="236"/>
      <c r="T65" s="236"/>
      <c r="U65" s="236"/>
      <c r="V65" s="236"/>
      <c r="W65" s="236"/>
      <c r="X65" s="236"/>
      <c r="Y65" s="236"/>
      <c r="Z65" s="236"/>
      <c r="AA65" s="236"/>
      <c r="AB65" s="236"/>
      <c r="AC65" s="236"/>
      <c r="AD65" s="236"/>
      <c r="AE65" s="236"/>
      <c r="AF65" s="236"/>
      <c r="AG65" s="236"/>
      <c r="AH65" s="236"/>
      <c r="AI65" s="236"/>
      <c r="AJ65" s="236"/>
      <c r="AK65" s="368"/>
      <c r="AL65" s="236"/>
      <c r="AM65" s="236"/>
      <c r="AN65" s="236"/>
      <c r="AO65" s="236"/>
      <c r="AP65" s="236"/>
      <c r="AQ65" s="368"/>
      <c r="AR65" s="236"/>
      <c r="AS65" s="236"/>
      <c r="AT65" s="236"/>
      <c r="AU65" s="236"/>
      <c r="AV65" s="315" t="s">
        <v>337</v>
      </c>
      <c r="AW65" s="832">
        <f>SUM(AW61:AW64,AZ61)</f>
        <v>0</v>
      </c>
      <c r="AX65" s="832"/>
      <c r="AY65" s="538"/>
      <c r="AZ65" s="319"/>
      <c r="BA65" s="317"/>
      <c r="BB65" s="315" t="s">
        <v>337</v>
      </c>
      <c r="BC65" s="832">
        <f>SUM(BC61:BC64,BF61)</f>
        <v>0</v>
      </c>
      <c r="BD65" s="832"/>
      <c r="BE65" s="538"/>
      <c r="BF65" s="319"/>
      <c r="BG65" s="236"/>
    </row>
    <row r="66" spans="2:59" x14ac:dyDescent="0.3">
      <c r="B66" s="236"/>
      <c r="C66" s="318"/>
      <c r="D66" s="319"/>
      <c r="E66" s="319"/>
      <c r="F66" s="539"/>
      <c r="G66" s="319"/>
      <c r="H66" s="236"/>
      <c r="I66" s="318"/>
      <c r="J66" s="319"/>
      <c r="K66" s="319"/>
      <c r="L66" s="539"/>
      <c r="M66" s="319"/>
      <c r="N66" s="236"/>
      <c r="O66" s="236"/>
      <c r="P66" s="236"/>
      <c r="Q66" s="236"/>
      <c r="R66" s="236"/>
      <c r="S66" s="236"/>
      <c r="T66" s="236"/>
      <c r="U66" s="236"/>
      <c r="V66" s="236"/>
      <c r="W66" s="236"/>
      <c r="X66" s="236"/>
      <c r="Y66" s="236"/>
      <c r="Z66" s="236"/>
      <c r="AA66" s="236"/>
      <c r="AB66" s="236"/>
      <c r="AC66" s="236"/>
      <c r="AD66" s="236"/>
      <c r="AE66" s="236"/>
      <c r="AF66" s="236"/>
      <c r="AG66" s="236"/>
      <c r="AH66" s="236"/>
      <c r="AI66" s="236"/>
      <c r="AJ66" s="236"/>
      <c r="AK66" s="368"/>
      <c r="AL66" s="236"/>
      <c r="AM66" s="236"/>
      <c r="AN66" s="236"/>
      <c r="AO66" s="236"/>
      <c r="AP66" s="236"/>
      <c r="AQ66" s="368"/>
      <c r="AR66" s="236"/>
      <c r="AS66" s="236"/>
      <c r="AT66" s="236"/>
      <c r="AU66" s="236"/>
      <c r="AV66" s="318"/>
      <c r="AW66" s="319"/>
      <c r="AX66" s="319"/>
      <c r="AY66" s="539"/>
      <c r="AZ66" s="319"/>
      <c r="BA66" s="320"/>
      <c r="BB66" s="318"/>
      <c r="BC66" s="319"/>
      <c r="BD66" s="319"/>
      <c r="BE66" s="539"/>
      <c r="BF66" s="319"/>
      <c r="BG66" s="236"/>
    </row>
    <row r="67" spans="2:59" x14ac:dyDescent="0.3">
      <c r="B67" s="236"/>
      <c r="C67" s="309" t="s">
        <v>483</v>
      </c>
      <c r="D67" s="933">
        <f>C53</f>
        <v>0</v>
      </c>
      <c r="E67" s="934"/>
      <c r="F67" s="535" t="s">
        <v>539</v>
      </c>
      <c r="G67" s="533">
        <f>G53</f>
        <v>0</v>
      </c>
      <c r="H67" s="236"/>
      <c r="I67" s="309" t="s">
        <v>483</v>
      </c>
      <c r="J67" s="933">
        <f>I53</f>
        <v>0</v>
      </c>
      <c r="K67" s="934"/>
      <c r="L67" s="535" t="s">
        <v>539</v>
      </c>
      <c r="M67" s="533">
        <f>M53</f>
        <v>0</v>
      </c>
      <c r="N67" s="236"/>
      <c r="O67" s="236"/>
      <c r="P67" s="236"/>
      <c r="Q67" s="236"/>
      <c r="R67" s="236"/>
      <c r="S67" s="236"/>
      <c r="T67" s="236"/>
      <c r="U67" s="236"/>
      <c r="V67" s="236"/>
      <c r="W67" s="236"/>
      <c r="X67" s="236"/>
      <c r="Y67" s="236"/>
      <c r="Z67" s="236"/>
      <c r="AA67" s="236"/>
      <c r="AB67" s="236"/>
      <c r="AC67" s="236"/>
      <c r="AD67" s="236"/>
      <c r="AE67" s="236"/>
      <c r="AF67" s="236"/>
      <c r="AG67" s="236"/>
      <c r="AH67" s="236"/>
      <c r="AI67" s="236"/>
      <c r="AJ67" s="236"/>
      <c r="AK67" s="368"/>
      <c r="AL67" s="236"/>
      <c r="AM67" s="236"/>
      <c r="AN67" s="236"/>
      <c r="AO67" s="236"/>
      <c r="AP67" s="236"/>
      <c r="AQ67" s="368"/>
      <c r="AR67" s="236"/>
      <c r="AS67" s="236"/>
      <c r="AT67" s="236"/>
      <c r="AU67" s="236"/>
      <c r="AV67" s="309" t="s">
        <v>349</v>
      </c>
      <c r="AW67" s="933">
        <f>AV53</f>
        <v>0</v>
      </c>
      <c r="AX67" s="934"/>
      <c r="AY67" s="535" t="s">
        <v>539</v>
      </c>
      <c r="AZ67" s="533">
        <f>AZ53</f>
        <v>0</v>
      </c>
      <c r="BA67" s="320"/>
      <c r="BB67" s="309" t="s">
        <v>349</v>
      </c>
      <c r="BC67" s="933">
        <f>BB53</f>
        <v>0</v>
      </c>
      <c r="BD67" s="934"/>
      <c r="BE67" s="535" t="s">
        <v>539</v>
      </c>
      <c r="BF67" s="533">
        <f>BF53</f>
        <v>0</v>
      </c>
      <c r="BG67" s="236"/>
    </row>
    <row r="68" spans="2:59" ht="15" thickBot="1" x14ac:dyDescent="0.35">
      <c r="B68" s="236"/>
      <c r="C68" s="310" t="s">
        <v>484</v>
      </c>
      <c r="D68" s="929">
        <f>D53</f>
        <v>0</v>
      </c>
      <c r="E68" s="930"/>
      <c r="F68" s="311"/>
      <c r="G68" s="531"/>
      <c r="H68" s="236"/>
      <c r="I68" s="310" t="s">
        <v>488</v>
      </c>
      <c r="J68" s="929">
        <f>J53</f>
        <v>0</v>
      </c>
      <c r="K68" s="930"/>
      <c r="L68" s="311"/>
      <c r="M68" s="531"/>
      <c r="N68" s="236"/>
      <c r="O68" s="236"/>
      <c r="P68" s="236"/>
      <c r="Q68" s="236"/>
      <c r="R68" s="236"/>
      <c r="S68" s="236"/>
      <c r="T68" s="236"/>
      <c r="U68" s="236"/>
      <c r="V68" s="236"/>
      <c r="W68" s="236"/>
      <c r="X68" s="236"/>
      <c r="Y68" s="236"/>
      <c r="Z68" s="236"/>
      <c r="AA68" s="236"/>
      <c r="AB68" s="236"/>
      <c r="AC68" s="236"/>
      <c r="AD68" s="236"/>
      <c r="AE68" s="236"/>
      <c r="AF68" s="236"/>
      <c r="AG68" s="236"/>
      <c r="AH68" s="236"/>
      <c r="AI68" s="236"/>
      <c r="AJ68" s="236"/>
      <c r="AK68" s="368"/>
      <c r="AL68" s="236"/>
      <c r="AM68" s="236"/>
      <c r="AN68" s="236"/>
      <c r="AO68" s="236"/>
      <c r="AP68" s="236"/>
      <c r="AQ68" s="368"/>
      <c r="AR68" s="236"/>
      <c r="AS68" s="236"/>
      <c r="AT68" s="236"/>
      <c r="AU68" s="236"/>
      <c r="AV68" s="310" t="s">
        <v>350</v>
      </c>
      <c r="AW68" s="929">
        <f>AW53</f>
        <v>0</v>
      </c>
      <c r="AX68" s="930"/>
      <c r="AY68" s="311"/>
      <c r="AZ68" s="531"/>
      <c r="BA68" s="314"/>
      <c r="BB68" s="310" t="s">
        <v>350</v>
      </c>
      <c r="BC68" s="929">
        <f>BC53</f>
        <v>0</v>
      </c>
      <c r="BD68" s="930"/>
      <c r="BE68" s="311"/>
      <c r="BF68" s="531"/>
      <c r="BG68" s="236"/>
    </row>
    <row r="69" spans="2:59" x14ac:dyDescent="0.3">
      <c r="B69" s="236"/>
      <c r="C69" s="309" t="s">
        <v>485</v>
      </c>
      <c r="D69" s="931">
        <f>E53</f>
        <v>0</v>
      </c>
      <c r="E69" s="932"/>
      <c r="F69" s="312"/>
      <c r="G69" s="532"/>
      <c r="H69" s="236"/>
      <c r="I69" s="309" t="s">
        <v>485</v>
      </c>
      <c r="J69" s="931">
        <f>K53</f>
        <v>0</v>
      </c>
      <c r="K69" s="932"/>
      <c r="L69" s="312"/>
      <c r="M69" s="532"/>
      <c r="N69" s="236"/>
      <c r="O69" s="236"/>
      <c r="P69" s="236"/>
      <c r="Q69" s="236"/>
      <c r="R69" s="236"/>
      <c r="S69" s="236"/>
      <c r="T69" s="236"/>
      <c r="U69" s="236"/>
      <c r="V69" s="236"/>
      <c r="W69" s="236"/>
      <c r="X69" s="236"/>
      <c r="Y69" s="236"/>
      <c r="Z69" s="236"/>
      <c r="AA69" s="236"/>
      <c r="AB69" s="236"/>
      <c r="AC69" s="236"/>
      <c r="AD69" s="236"/>
      <c r="AE69" s="236"/>
      <c r="AF69" s="236"/>
      <c r="AG69" s="236"/>
      <c r="AH69" s="236"/>
      <c r="AI69" s="236"/>
      <c r="AJ69" s="236"/>
      <c r="AK69" s="368"/>
      <c r="AL69" s="236"/>
      <c r="AM69" s="236"/>
      <c r="AN69" s="236"/>
      <c r="AO69" s="236"/>
      <c r="AP69" s="236"/>
      <c r="AQ69" s="368"/>
      <c r="AR69" s="236"/>
      <c r="AS69" s="236"/>
      <c r="AT69" s="236"/>
      <c r="AU69" s="236"/>
      <c r="AV69" s="309" t="s">
        <v>351</v>
      </c>
      <c r="AW69" s="931">
        <f>AX53</f>
        <v>0</v>
      </c>
      <c r="AX69" s="932"/>
      <c r="AY69" s="312"/>
      <c r="AZ69" s="532"/>
      <c r="BA69" s="320"/>
      <c r="BB69" s="309" t="s">
        <v>351</v>
      </c>
      <c r="BC69" s="931">
        <f>BD53</f>
        <v>0</v>
      </c>
      <c r="BD69" s="932"/>
      <c r="BE69" s="312"/>
      <c r="BF69" s="532"/>
      <c r="BG69" s="236"/>
    </row>
    <row r="70" spans="2:59" ht="15" thickBot="1" x14ac:dyDescent="0.35">
      <c r="B70" s="236"/>
      <c r="C70" s="310" t="s">
        <v>486</v>
      </c>
      <c r="D70" s="931">
        <f>F53</f>
        <v>0</v>
      </c>
      <c r="E70" s="932"/>
      <c r="F70" s="312"/>
      <c r="G70" s="532"/>
      <c r="H70" s="236"/>
      <c r="I70" s="310" t="s">
        <v>486</v>
      </c>
      <c r="J70" s="931">
        <f>L53</f>
        <v>0</v>
      </c>
      <c r="K70" s="932"/>
      <c r="L70" s="312"/>
      <c r="M70" s="532"/>
      <c r="N70" s="236"/>
      <c r="O70" s="236"/>
      <c r="P70" s="236"/>
      <c r="Q70" s="236"/>
      <c r="R70" s="236"/>
      <c r="S70" s="236"/>
      <c r="T70" s="236"/>
      <c r="U70" s="236"/>
      <c r="V70" s="236"/>
      <c r="W70" s="236"/>
      <c r="X70" s="236"/>
      <c r="Y70" s="236"/>
      <c r="Z70" s="236"/>
      <c r="AA70" s="236"/>
      <c r="AB70" s="236"/>
      <c r="AC70" s="236"/>
      <c r="AD70" s="236"/>
      <c r="AE70" s="236"/>
      <c r="AF70" s="236"/>
      <c r="AG70" s="236"/>
      <c r="AH70" s="236"/>
      <c r="AI70" s="236"/>
      <c r="AJ70" s="236"/>
      <c r="AK70" s="368"/>
      <c r="AL70" s="236"/>
      <c r="AM70" s="236"/>
      <c r="AN70" s="236"/>
      <c r="AO70" s="236"/>
      <c r="AP70" s="236"/>
      <c r="AQ70" s="368"/>
      <c r="AR70" s="236"/>
      <c r="AS70" s="236"/>
      <c r="AT70" s="236"/>
      <c r="AU70" s="236"/>
      <c r="AV70" s="310" t="s">
        <v>352</v>
      </c>
      <c r="AW70" s="931">
        <f>AY53</f>
        <v>0</v>
      </c>
      <c r="AX70" s="932"/>
      <c r="AY70" s="312"/>
      <c r="AZ70" s="532"/>
      <c r="BA70" s="314"/>
      <c r="BB70" s="310" t="s">
        <v>352</v>
      </c>
      <c r="BC70" s="931">
        <f>BE53</f>
        <v>0</v>
      </c>
      <c r="BD70" s="932"/>
      <c r="BE70" s="312"/>
      <c r="BF70" s="532"/>
      <c r="BG70" s="236"/>
    </row>
    <row r="71" spans="2:59" x14ac:dyDescent="0.3">
      <c r="B71" s="236"/>
      <c r="C71" s="315" t="s">
        <v>487</v>
      </c>
      <c r="D71" s="832">
        <f>SUM(D67:D70,G67)</f>
        <v>0</v>
      </c>
      <c r="E71" s="832"/>
      <c r="F71" s="316"/>
      <c r="G71" s="319"/>
      <c r="H71" s="236"/>
      <c r="I71" s="315" t="s">
        <v>487</v>
      </c>
      <c r="J71" s="832">
        <f>SUM(J67:J70,M67)</f>
        <v>0</v>
      </c>
      <c r="K71" s="832"/>
      <c r="L71" s="316"/>
      <c r="M71" s="319"/>
      <c r="N71" s="236"/>
      <c r="O71" s="236"/>
      <c r="P71" s="236"/>
      <c r="Q71" s="236"/>
      <c r="R71" s="236"/>
      <c r="S71" s="236"/>
      <c r="T71" s="236"/>
      <c r="U71" s="236"/>
      <c r="V71" s="236"/>
      <c r="W71" s="236"/>
      <c r="X71" s="236"/>
      <c r="Y71" s="236"/>
      <c r="Z71" s="236"/>
      <c r="AA71" s="236"/>
      <c r="AB71" s="236"/>
      <c r="AC71" s="236"/>
      <c r="AD71" s="236"/>
      <c r="AE71" s="236"/>
      <c r="AF71" s="236"/>
      <c r="AG71" s="236"/>
      <c r="AH71" s="236"/>
      <c r="AI71" s="236"/>
      <c r="AJ71" s="236"/>
      <c r="AK71" s="368"/>
      <c r="AL71" s="236"/>
      <c r="AM71" s="236"/>
      <c r="AN71" s="236"/>
      <c r="AO71" s="236"/>
      <c r="AP71" s="236"/>
      <c r="AQ71" s="368"/>
      <c r="AR71" s="236"/>
      <c r="AS71" s="236"/>
      <c r="AT71" s="236"/>
      <c r="AU71" s="236"/>
      <c r="AV71" s="315" t="s">
        <v>353</v>
      </c>
      <c r="AW71" s="832">
        <f>SUM(AW67:AW70,AZ67)</f>
        <v>0</v>
      </c>
      <c r="AX71" s="832"/>
      <c r="AY71" s="316"/>
      <c r="AZ71" s="319"/>
      <c r="BA71" s="317"/>
      <c r="BB71" s="315" t="s">
        <v>353</v>
      </c>
      <c r="BC71" s="832">
        <f>SUM(BC67:BC70,BF67)</f>
        <v>0</v>
      </c>
      <c r="BD71" s="832"/>
      <c r="BE71" s="316"/>
      <c r="BF71" s="319"/>
      <c r="BG71" s="236"/>
    </row>
    <row r="72" spans="2:59" x14ac:dyDescent="0.3">
      <c r="B72" s="236"/>
      <c r="C72" s="236"/>
      <c r="D72" s="236"/>
      <c r="E72" s="236"/>
      <c r="F72" s="236"/>
      <c r="G72" s="236"/>
      <c r="H72" s="236"/>
      <c r="I72" s="236"/>
      <c r="J72" s="236"/>
      <c r="K72" s="236"/>
      <c r="L72" s="236"/>
      <c r="M72" s="236"/>
      <c r="N72" s="236"/>
      <c r="O72" s="236"/>
      <c r="P72" s="236"/>
      <c r="Q72" s="236"/>
      <c r="R72" s="236"/>
      <c r="S72" s="236"/>
      <c r="T72" s="236"/>
      <c r="U72" s="236"/>
      <c r="V72" s="236"/>
      <c r="W72" s="236"/>
      <c r="X72" s="236"/>
      <c r="Y72" s="236"/>
      <c r="Z72" s="236"/>
      <c r="AA72" s="236"/>
      <c r="AB72" s="236"/>
      <c r="AC72" s="236"/>
      <c r="AD72" s="236"/>
      <c r="AE72" s="236"/>
      <c r="AF72" s="236"/>
      <c r="AG72" s="236"/>
      <c r="AH72" s="236"/>
      <c r="AI72" s="236"/>
      <c r="AJ72" s="236"/>
      <c r="AK72" s="368"/>
      <c r="AL72" s="236"/>
      <c r="AM72" s="236"/>
      <c r="AN72" s="236"/>
      <c r="AO72" s="236"/>
      <c r="AP72" s="236"/>
      <c r="AQ72" s="368"/>
      <c r="AR72" s="236"/>
      <c r="AS72" s="236"/>
      <c r="AT72" s="236"/>
      <c r="AU72" s="236"/>
      <c r="AV72" s="236"/>
      <c r="AW72" s="236"/>
      <c r="AX72" s="236"/>
      <c r="AY72" s="236"/>
      <c r="AZ72" s="236"/>
      <c r="BA72" s="236"/>
      <c r="BB72" s="236"/>
      <c r="BC72" s="236"/>
      <c r="BD72" s="236"/>
      <c r="BE72" s="236"/>
      <c r="BF72" s="236"/>
      <c r="BG72" s="236"/>
    </row>
  </sheetData>
  <sheetProtection selectLockedCells="1" selectUnlockedCells="1"/>
  <protectedRanges>
    <protectedRange sqref="B22:B29 B33:B34 C22:F34 B38:B45 A1:A1048576 N1:N1048576 R4:R47 S4:S12 S16:S27 S45:S47 S31:S41 Q26 P14 O24:P26 Q23:Q24 O4:Q6 O9:P11 Q8:Q9 Q11:Q12 O29:P30 Q37:Q47 AK1:AQ2 AK16:AK27 AK31:AK41 AU1:AU27 AR24:AS26 AT13:AT15 AR4:AT6 AT26:AT27 AS29:AS48 AT1:AT3 C59:E62 C65:E68 C55:E56 Q49:AU1048576 C38:F53 B49:B53 H22:H29 H33:H34 H38:H45 B35:F37 B1:M2 I59:K62 I65:K68 B72:M1048576 I55:K56 H49:H53 BG33:BG45 BG49:BG1048576 BH1:XFD1048576 T4:X47 Q48:X48 B16:F21 I6:I18 J5:L18 I22:L34 I38:L53 AK3:AK12 Q35 AQ3:AQ12 AQ16:AQ27 AQ31:AQ41 Y4:Y12 Y16:Y27 Y31:Y41 Y45:Y48 T1 Q1:R3 U1:AJ2 S2:T2 O37:P1048576 Q28:Q29 AR14:AS15 Q21 AR28:AR48 AT28:AU48 AT21:AT24 AR9:AS11 AT11 AT8:AT9 AV72:BF1048576 BG1:BG2 AK45:AK48 Z4:AJ48 AQ45:AQ48 AL4:AP48 Q17 Q19 O17:P21 AT17 AT19 AR17:AS21 C71:E71 I71:K71 H35:L37 H19:L21 H16:H18 H6:H12 H5:I5 B3:F12 H3:L4 BG3:BG12 BG16:BG29 Y3 S3 AE3" name="Range1"/>
    <protectedRange sqref="O14:O16 Q13:Q16 P15:P16 AR16:AT16" name="Range1_3"/>
    <protectedRange sqref="F65:G68 F71:G71 F55:G56 F59:G62 L65:M68 L71:M71 L55:M56 L59:M62" name="Range1_1"/>
    <protectedRange sqref="G16:G53 G3:G12 M16:M53 M3:M12" name="Range1_4"/>
    <protectedRange sqref="BA33:BA45 BA16:BA29 BA49:BA53 BA5:BA12 BB5:BE18 BA1:BF3 BA4:BE4 BF4:BF18 AV1:AZ53 BB19:BF53 AV55:AZ56 AV71:BF71 AV65:BF68 BB55:BF56 AV59:BF62" name="Range1_5"/>
    <protectedRange sqref="T3:X3" name="Range1_2"/>
    <protectedRange sqref="Z3:AD3" name="Range1_6"/>
    <protectedRange sqref="AF3:AJ3" name="Range1_7"/>
    <protectedRange sqref="AL3:AP3" name="Range1_8"/>
  </protectedRanges>
  <dataConsolidate/>
  <mergeCells count="79">
    <mergeCell ref="D71:E71"/>
    <mergeCell ref="J71:K71"/>
    <mergeCell ref="AW71:AX71"/>
    <mergeCell ref="BC71:BD71"/>
    <mergeCell ref="D69:E69"/>
    <mergeCell ref="J69:K69"/>
    <mergeCell ref="AW69:AX69"/>
    <mergeCell ref="BC69:BD69"/>
    <mergeCell ref="D70:E70"/>
    <mergeCell ref="J70:K70"/>
    <mergeCell ref="AW70:AX70"/>
    <mergeCell ref="BC70:BD70"/>
    <mergeCell ref="D67:E67"/>
    <mergeCell ref="J67:K67"/>
    <mergeCell ref="AW67:AX67"/>
    <mergeCell ref="BC67:BD67"/>
    <mergeCell ref="D68:E68"/>
    <mergeCell ref="J68:K68"/>
    <mergeCell ref="AW68:AX68"/>
    <mergeCell ref="BC68:BD68"/>
    <mergeCell ref="D64:E64"/>
    <mergeCell ref="J64:K64"/>
    <mergeCell ref="AW64:AX64"/>
    <mergeCell ref="BC64:BD64"/>
    <mergeCell ref="D65:E65"/>
    <mergeCell ref="J65:K65"/>
    <mergeCell ref="AW65:AX65"/>
    <mergeCell ref="BC65:BD65"/>
    <mergeCell ref="D62:E62"/>
    <mergeCell ref="J62:K62"/>
    <mergeCell ref="AW62:AX62"/>
    <mergeCell ref="BC62:BD62"/>
    <mergeCell ref="D63:E63"/>
    <mergeCell ref="J63:K63"/>
    <mergeCell ref="AW63:AX63"/>
    <mergeCell ref="BC63:BD63"/>
    <mergeCell ref="D59:E59"/>
    <mergeCell ref="J59:K59"/>
    <mergeCell ref="AW59:AX59"/>
    <mergeCell ref="BC59:BD59"/>
    <mergeCell ref="D61:E61"/>
    <mergeCell ref="J61:K61"/>
    <mergeCell ref="AW61:AX61"/>
    <mergeCell ref="BC61:BD61"/>
    <mergeCell ref="D57:E57"/>
    <mergeCell ref="J57:K57"/>
    <mergeCell ref="AW57:AX57"/>
    <mergeCell ref="BC57:BD57"/>
    <mergeCell ref="D58:E58"/>
    <mergeCell ref="J58:K58"/>
    <mergeCell ref="AW58:AX58"/>
    <mergeCell ref="BC58:BD58"/>
    <mergeCell ref="D56:E56"/>
    <mergeCell ref="J56:K56"/>
    <mergeCell ref="AW56:AX56"/>
    <mergeCell ref="BC56:BD56"/>
    <mergeCell ref="Q24:Q26"/>
    <mergeCell ref="AT24:AT26"/>
    <mergeCell ref="B54:F54"/>
    <mergeCell ref="H54:L54"/>
    <mergeCell ref="BB54:BE54"/>
    <mergeCell ref="D55:E55"/>
    <mergeCell ref="J55:K55"/>
    <mergeCell ref="AW55:AX55"/>
    <mergeCell ref="BC55:BD55"/>
    <mergeCell ref="AV1:BF1"/>
    <mergeCell ref="C2:F2"/>
    <mergeCell ref="I2:L2"/>
    <mergeCell ref="T2:W2"/>
    <mergeCell ref="Z2:AC2"/>
    <mergeCell ref="O1:Q2"/>
    <mergeCell ref="AR1:AT2"/>
    <mergeCell ref="AF2:AI2"/>
    <mergeCell ref="AL2:AO2"/>
    <mergeCell ref="AV2:AY2"/>
    <mergeCell ref="T1:AD1"/>
    <mergeCell ref="AF1:AP1"/>
    <mergeCell ref="C1:M1"/>
    <mergeCell ref="BB2:BE2"/>
  </mergeCells>
  <conditionalFormatting sqref="C4:C5 T4:U48">
    <cfRule type="notContainsText" dxfId="71" priority="121" operator="notContains" text="N/A">
      <formula>ISERROR(SEARCH("N/A",C4))</formula>
    </cfRule>
  </conditionalFormatting>
  <conditionalFormatting sqref="V4:X48 Z4:AD48">
    <cfRule type="notContainsText" dxfId="70" priority="120" operator="notContains" text="N/A">
      <formula>ISERROR(SEARCH("N/A",V4))</formula>
    </cfRule>
  </conditionalFormatting>
  <conditionalFormatting sqref="C6:C18">
    <cfRule type="notContainsText" dxfId="69" priority="119" operator="notContains" text="N/A">
      <formula>ISERROR(SEARCH("N/A",C6))</formula>
    </cfRule>
  </conditionalFormatting>
  <conditionalFormatting sqref="D4:D5">
    <cfRule type="notContainsText" dxfId="68" priority="118" operator="notContains" text="N/A">
      <formula>ISERROR(SEARCH("N/A",D4))</formula>
    </cfRule>
  </conditionalFormatting>
  <conditionalFormatting sqref="D6:D18">
    <cfRule type="notContainsText" dxfId="67" priority="117" operator="notContains" text="N/A">
      <formula>ISERROR(SEARCH("N/A",D6))</formula>
    </cfRule>
  </conditionalFormatting>
  <conditionalFormatting sqref="E4:E5">
    <cfRule type="notContainsText" dxfId="66" priority="116" operator="notContains" text="N/A">
      <formula>ISERROR(SEARCH("N/A",E4))</formula>
    </cfRule>
  </conditionalFormatting>
  <conditionalFormatting sqref="E6:E18">
    <cfRule type="notContainsText" dxfId="65" priority="115" operator="notContains" text="N/A">
      <formula>ISERROR(SEARCH("N/A",E6))</formula>
    </cfRule>
  </conditionalFormatting>
  <conditionalFormatting sqref="F4:F5">
    <cfRule type="notContainsText" dxfId="64" priority="114" operator="notContains" text="N/A">
      <formula>ISERROR(SEARCH("N/A",F4))</formula>
    </cfRule>
  </conditionalFormatting>
  <conditionalFormatting sqref="F6:F18">
    <cfRule type="notContainsText" dxfId="63" priority="113" operator="notContains" text="N/A">
      <formula>ISERROR(SEARCH("N/A",F6))</formula>
    </cfRule>
  </conditionalFormatting>
  <conditionalFormatting sqref="C21:F34">
    <cfRule type="notContainsText" dxfId="62" priority="112" operator="notContains" text="N/A">
      <formula>ISERROR(SEARCH("N/A",C21))</formula>
    </cfRule>
  </conditionalFormatting>
  <conditionalFormatting sqref="C37:F52">
    <cfRule type="notContainsText" dxfId="61" priority="111" operator="notContains" text="N/A">
      <formula>ISERROR(SEARCH("N/A",C37))</formula>
    </cfRule>
  </conditionalFormatting>
  <conditionalFormatting sqref="AL4:AM48">
    <cfRule type="notContainsText" dxfId="60" priority="62" operator="notContains" text="N/A">
      <formula>ISERROR(SEARCH("N/A",AL4))</formula>
    </cfRule>
  </conditionalFormatting>
  <conditionalFormatting sqref="AN4:AP48">
    <cfRule type="notContainsText" dxfId="59" priority="61" operator="notContains" text="N/A">
      <formula>ISERROR(SEARCH("N/A",AN4))</formula>
    </cfRule>
  </conditionalFormatting>
  <conditionalFormatting sqref="G37:G52">
    <cfRule type="notContainsText" dxfId="58" priority="59" operator="notContains" text="N/A">
      <formula>ISERROR(SEARCH("N/A",G37))</formula>
    </cfRule>
  </conditionalFormatting>
  <conditionalFormatting sqref="G4:G5">
    <cfRule type="notContainsText" dxfId="57" priority="58" operator="notContains" text="N/A">
      <formula>ISERROR(SEARCH("N/A",G4))</formula>
    </cfRule>
  </conditionalFormatting>
  <conditionalFormatting sqref="G6:G18">
    <cfRule type="notContainsText" dxfId="56" priority="57" operator="notContains" text="N/A">
      <formula>ISERROR(SEARCH("N/A",G6))</formula>
    </cfRule>
  </conditionalFormatting>
  <conditionalFormatting sqref="M37:M52">
    <cfRule type="notContainsText" dxfId="55" priority="55" operator="notContains" text="N/A">
      <formula>ISERROR(SEARCH("N/A",M37))</formula>
    </cfRule>
  </conditionalFormatting>
  <conditionalFormatting sqref="M6:M18">
    <cfRule type="notContainsText" dxfId="54" priority="53" operator="notContains" text="N/A">
      <formula>ISERROR(SEARCH("N/A",M6))</formula>
    </cfRule>
  </conditionalFormatting>
  <conditionalFormatting sqref="AF4:AG48">
    <cfRule type="notContainsText" dxfId="53" priority="66" operator="notContains" text="N/A">
      <formula>ISERROR(SEARCH("N/A",AF4))</formula>
    </cfRule>
  </conditionalFormatting>
  <conditionalFormatting sqref="AH4:AJ48">
    <cfRule type="notContainsText" dxfId="52" priority="65" operator="notContains" text="N/A">
      <formula>ISERROR(SEARCH("N/A",AH4))</formula>
    </cfRule>
  </conditionalFormatting>
  <conditionalFormatting sqref="G21:G34">
    <cfRule type="notContainsText" dxfId="51" priority="60" operator="notContains" text="N/A">
      <formula>ISERROR(SEARCH("N/A",G21))</formula>
    </cfRule>
  </conditionalFormatting>
  <conditionalFormatting sqref="M21:M34">
    <cfRule type="notContainsText" dxfId="50" priority="56" operator="notContains" text="N/A">
      <formula>ISERROR(SEARCH("N/A",M21))</formula>
    </cfRule>
  </conditionalFormatting>
  <conditionalFormatting sqref="M4:M5">
    <cfRule type="notContainsText" dxfId="49" priority="54" operator="notContains" text="N/A">
      <formula>ISERROR(SEARCH("N/A",M4))</formula>
    </cfRule>
  </conditionalFormatting>
  <conditionalFormatting sqref="I4:I18">
    <cfRule type="notContainsText" dxfId="48" priority="91" operator="notContains" text="N/A">
      <formula>ISERROR(SEARCH("N/A",I4))</formula>
    </cfRule>
  </conditionalFormatting>
  <conditionalFormatting sqref="J4:L18">
    <cfRule type="notContainsText" dxfId="47" priority="90" operator="notContains" text="N/A">
      <formula>ISERROR(SEARCH("N/A",J4))</formula>
    </cfRule>
  </conditionalFormatting>
  <conditionalFormatting sqref="I21:L34">
    <cfRule type="notContainsText" dxfId="46" priority="89" operator="notContains" text="N/A">
      <formula>ISERROR(SEARCH("N/A",I21))</formula>
    </cfRule>
  </conditionalFormatting>
  <conditionalFormatting sqref="I37:L52">
    <cfRule type="notContainsText" dxfId="45" priority="88" operator="notContains" text="N/A">
      <formula>ISERROR(SEARCH("N/A",I37))</formula>
    </cfRule>
  </conditionalFormatting>
  <conditionalFormatting sqref="AX6:AX18">
    <cfRule type="notContainsText" dxfId="44" priority="37" operator="notContains" text="N/A">
      <formula>ISERROR(SEARCH("N/A",AX6))</formula>
    </cfRule>
  </conditionalFormatting>
  <conditionalFormatting sqref="AY4:AY5">
    <cfRule type="notContainsText" dxfId="43" priority="36" operator="notContains" text="N/A">
      <formula>ISERROR(SEARCH("N/A",AY4))</formula>
    </cfRule>
  </conditionalFormatting>
  <conditionalFormatting sqref="AW21:AW22">
    <cfRule type="notContainsText" dxfId="42" priority="32" operator="notContains" text="N/A">
      <formula>ISERROR(SEARCH("N/A",AW21))</formula>
    </cfRule>
  </conditionalFormatting>
  <conditionalFormatting sqref="AV23:AV34">
    <cfRule type="notContainsText" dxfId="41" priority="33" operator="notContains" text="N/A">
      <formula>ISERROR(SEARCH("N/A",AV23))</formula>
    </cfRule>
  </conditionalFormatting>
  <conditionalFormatting sqref="AX5">
    <cfRule type="notContainsText" dxfId="40" priority="38" operator="notContains" text="N/A">
      <formula>ISERROR(SEARCH("N/A",AX5))</formula>
    </cfRule>
  </conditionalFormatting>
  <conditionalFormatting sqref="AW6:AW18">
    <cfRule type="notContainsText" dxfId="39" priority="39" operator="notContains" text="N/A">
      <formula>ISERROR(SEARCH("N/A",AW6))</formula>
    </cfRule>
  </conditionalFormatting>
  <conditionalFormatting sqref="AY23:AY34">
    <cfRule type="notContainsText" dxfId="38" priority="27" operator="notContains" text="N/A">
      <formula>ISERROR(SEARCH("N/A",AY23))</formula>
    </cfRule>
  </conditionalFormatting>
  <conditionalFormatting sqref="AY21:AY22">
    <cfRule type="notContainsText" dxfId="37" priority="28" operator="notContains" text="N/A">
      <formula>ISERROR(SEARCH("N/A",AY21))</formula>
    </cfRule>
  </conditionalFormatting>
  <conditionalFormatting sqref="AY6:AY18">
    <cfRule type="notContainsText" dxfId="36" priority="35" operator="notContains" text="N/A">
      <formula>ISERROR(SEARCH("N/A",AY6))</formula>
    </cfRule>
  </conditionalFormatting>
  <conditionalFormatting sqref="AV4:AV5">
    <cfRule type="notContainsText" dxfId="35" priority="42" operator="notContains" text="N/A">
      <formula>ISERROR(SEARCH("N/A",AV4))</formula>
    </cfRule>
  </conditionalFormatting>
  <conditionalFormatting sqref="AV6:AV18">
    <cfRule type="notContainsText" dxfId="34" priority="41" operator="notContains" text="N/A">
      <formula>ISERROR(SEARCH("N/A",AV6))</formula>
    </cfRule>
  </conditionalFormatting>
  <conditionalFormatting sqref="AW4:AW5 AX4">
    <cfRule type="notContainsText" dxfId="33" priority="40" operator="notContains" text="N/A">
      <formula>ISERROR(SEARCH("N/A",AW4))</formula>
    </cfRule>
  </conditionalFormatting>
  <conditionalFormatting sqref="AV21:AV22">
    <cfRule type="notContainsText" dxfId="32" priority="34" operator="notContains" text="N/A">
      <formula>ISERROR(SEARCH("N/A",AV21))</formula>
    </cfRule>
  </conditionalFormatting>
  <conditionalFormatting sqref="AW23:AW34">
    <cfRule type="notContainsText" dxfId="31" priority="31" operator="notContains" text="N/A">
      <formula>ISERROR(SEARCH("N/A",AW23))</formula>
    </cfRule>
  </conditionalFormatting>
  <conditionalFormatting sqref="AX23:AX34">
    <cfRule type="notContainsText" dxfId="30" priority="29" operator="notContains" text="N/A">
      <formula>ISERROR(SEARCH("N/A",AX23))</formula>
    </cfRule>
  </conditionalFormatting>
  <conditionalFormatting sqref="AX21:AX22">
    <cfRule type="notContainsText" dxfId="29" priority="30" operator="notContains" text="N/A">
      <formula>ISERROR(SEARCH("N/A",AX21))</formula>
    </cfRule>
  </conditionalFormatting>
  <conditionalFormatting sqref="BF23:BF34">
    <cfRule type="notContainsText" dxfId="28" priority="1" operator="notContains" text="N/A">
      <formula>ISERROR(SEARCH("N/A",BF23))</formula>
    </cfRule>
  </conditionalFormatting>
  <conditionalFormatting sqref="BE21:BE22">
    <cfRule type="notContainsText" dxfId="27" priority="10" operator="notContains" text="N/A">
      <formula>ISERROR(SEARCH("N/A",BE21))</formula>
    </cfRule>
  </conditionalFormatting>
  <conditionalFormatting sqref="BE23:BE34">
    <cfRule type="notContainsText" dxfId="26" priority="9" operator="notContains" text="N/A">
      <formula>ISERROR(SEARCH("N/A",BE23))</formula>
    </cfRule>
  </conditionalFormatting>
  <conditionalFormatting sqref="BF4:BF5">
    <cfRule type="notContainsText" dxfId="25" priority="6" operator="notContains" text="N/A">
      <formula>ISERROR(SEARCH("N/A",BF4))</formula>
    </cfRule>
  </conditionalFormatting>
  <conditionalFormatting sqref="BF6:BF18">
    <cfRule type="notContainsText" dxfId="24" priority="5" operator="notContains" text="N/A">
      <formula>ISERROR(SEARCH("N/A",BF6))</formula>
    </cfRule>
  </conditionalFormatting>
  <conditionalFormatting sqref="AZ21:AZ22">
    <cfRule type="notContainsText" dxfId="23" priority="4" operator="notContains" text="N/A">
      <formula>ISERROR(SEARCH("N/A",AZ21))</formula>
    </cfRule>
  </conditionalFormatting>
  <conditionalFormatting sqref="AZ23:AZ34">
    <cfRule type="notContainsText" dxfId="22" priority="3" operator="notContains" text="N/A">
      <formula>ISERROR(SEARCH("N/A",AZ23))</formula>
    </cfRule>
  </conditionalFormatting>
  <conditionalFormatting sqref="BF21:BF22">
    <cfRule type="notContainsText" dxfId="21" priority="2" operator="notContains" text="N/A">
      <formula>ISERROR(SEARCH("N/A",BF21))</formula>
    </cfRule>
  </conditionalFormatting>
  <conditionalFormatting sqref="AV37:AZ52">
    <cfRule type="notContainsText" dxfId="20" priority="26" operator="notContains" text="N/A">
      <formula>ISERROR(SEARCH("N/A",AV37))</formula>
    </cfRule>
  </conditionalFormatting>
  <conditionalFormatting sqref="BC21:BC22">
    <cfRule type="notContainsText" dxfId="19" priority="14" operator="notContains" text="N/A">
      <formula>ISERROR(SEARCH("N/A",BC21))</formula>
    </cfRule>
  </conditionalFormatting>
  <conditionalFormatting sqref="BB23:BB34">
    <cfRule type="notContainsText" dxfId="18" priority="15" operator="notContains" text="N/A">
      <formula>ISERROR(SEARCH("N/A",BB23))</formula>
    </cfRule>
  </conditionalFormatting>
  <conditionalFormatting sqref="BD5">
    <cfRule type="notContainsText" dxfId="17" priority="20" operator="notContains" text="N/A">
      <formula>ISERROR(SEARCH("N/A",BD5))</formula>
    </cfRule>
  </conditionalFormatting>
  <conditionalFormatting sqref="BC6:BC18">
    <cfRule type="notContainsText" dxfId="16" priority="21" operator="notContains" text="N/A">
      <formula>ISERROR(SEARCH("N/A",BC6))</formula>
    </cfRule>
  </conditionalFormatting>
  <conditionalFormatting sqref="BB37:BF52">
    <cfRule type="notContainsText" dxfId="15" priority="25" operator="notContains" text="N/A">
      <formula>ISERROR(SEARCH("N/A",BB37))</formula>
    </cfRule>
  </conditionalFormatting>
  <conditionalFormatting sqref="BE6:BE18">
    <cfRule type="notContainsText" dxfId="14" priority="17" operator="notContains" text="N/A">
      <formula>ISERROR(SEARCH("N/A",BE6))</formula>
    </cfRule>
  </conditionalFormatting>
  <conditionalFormatting sqref="BB4:BB5">
    <cfRule type="notContainsText" dxfId="13" priority="24" operator="notContains" text="N/A">
      <formula>ISERROR(SEARCH("N/A",BB4))</formula>
    </cfRule>
  </conditionalFormatting>
  <conditionalFormatting sqref="BB6:BB18">
    <cfRule type="notContainsText" dxfId="12" priority="23" operator="notContains" text="N/A">
      <formula>ISERROR(SEARCH("N/A",BB6))</formula>
    </cfRule>
  </conditionalFormatting>
  <conditionalFormatting sqref="BC4:BC5 BD4">
    <cfRule type="notContainsText" dxfId="11" priority="22" operator="notContains" text="N/A">
      <formula>ISERROR(SEARCH("N/A",BC4))</formula>
    </cfRule>
  </conditionalFormatting>
  <conditionalFormatting sqref="BD6:BD18">
    <cfRule type="notContainsText" dxfId="10" priority="19" operator="notContains" text="N/A">
      <formula>ISERROR(SEARCH("N/A",BD6))</formula>
    </cfRule>
  </conditionalFormatting>
  <conditionalFormatting sqref="BE4:BE5">
    <cfRule type="notContainsText" dxfId="9" priority="18" operator="notContains" text="N/A">
      <formula>ISERROR(SEARCH("N/A",BE4))</formula>
    </cfRule>
  </conditionalFormatting>
  <conditionalFormatting sqref="BB21:BB22">
    <cfRule type="notContainsText" dxfId="8" priority="16" operator="notContains" text="N/A">
      <formula>ISERROR(SEARCH("N/A",BB21))</formula>
    </cfRule>
  </conditionalFormatting>
  <conditionalFormatting sqref="BC23:BC34">
    <cfRule type="notContainsText" dxfId="7" priority="13" operator="notContains" text="N/A">
      <formula>ISERROR(SEARCH("N/A",BC23))</formula>
    </cfRule>
  </conditionalFormatting>
  <conditionalFormatting sqref="BD23:BD34">
    <cfRule type="notContainsText" dxfId="6" priority="11" operator="notContains" text="N/A">
      <formula>ISERROR(SEARCH("N/A",BD23))</formula>
    </cfRule>
  </conditionalFormatting>
  <conditionalFormatting sqref="BD21:BD22">
    <cfRule type="notContainsText" dxfId="5" priority="12" operator="notContains" text="N/A">
      <formula>ISERROR(SEARCH("N/A",BD21))</formula>
    </cfRule>
  </conditionalFormatting>
  <conditionalFormatting sqref="AZ6:AZ18">
    <cfRule type="notContainsText" dxfId="4" priority="7" operator="notContains" text="N/A">
      <formula>ISERROR(SEARCH("N/A",AZ6))</formula>
    </cfRule>
  </conditionalFormatting>
  <conditionalFormatting sqref="AZ4:AZ5">
    <cfRule type="notContainsText" dxfId="3" priority="8" operator="notContains" text="N/A">
      <formula>ISERROR(SEARCH("N/A",AZ4))</formula>
    </cfRule>
  </conditionalFormatting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PowerDistribute.PowerDistribute">
                <anchor moveWithCells="1" sizeWithCells="1">
                  <from>
                    <xdr:col>19</xdr:col>
                    <xdr:colOff>0</xdr:colOff>
                    <xdr:row>48</xdr:row>
                    <xdr:rowOff>182880</xdr:rowOff>
                  </from>
                  <to>
                    <xdr:col>42</xdr:col>
                    <xdr:colOff>45720</xdr:colOff>
                    <xdr:row>50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A8"/>
  <sheetViews>
    <sheetView workbookViewId="0">
      <selection activeCell="E8" sqref="E8"/>
    </sheetView>
  </sheetViews>
  <sheetFormatPr defaultRowHeight="14.4" x14ac:dyDescent="0.3"/>
  <cols>
    <col min="1" max="1" width="25" bestFit="1" customWidth="1"/>
  </cols>
  <sheetData>
    <row r="1" spans="1:1" x14ac:dyDescent="0.3">
      <c r="A1" s="8" t="s">
        <v>548</v>
      </c>
    </row>
    <row r="2" spans="1:1" x14ac:dyDescent="0.3">
      <c r="A2" t="s">
        <v>549</v>
      </c>
    </row>
    <row r="3" spans="1:1" x14ac:dyDescent="0.3">
      <c r="A3" t="s">
        <v>550</v>
      </c>
    </row>
    <row r="4" spans="1:1" x14ac:dyDescent="0.3">
      <c r="A4" t="s">
        <v>372</v>
      </c>
    </row>
    <row r="5" spans="1:1" x14ac:dyDescent="0.3">
      <c r="A5" t="s">
        <v>489</v>
      </c>
    </row>
    <row r="6" spans="1:1" x14ac:dyDescent="0.3">
      <c r="A6" t="s">
        <v>551</v>
      </c>
    </row>
    <row r="7" spans="1:1" x14ac:dyDescent="0.3">
      <c r="A7" t="s">
        <v>557</v>
      </c>
    </row>
    <row r="8" spans="1:1" x14ac:dyDescent="0.3">
      <c r="A8" t="s">
        <v>563</v>
      </c>
    </row>
  </sheetData>
  <pageMargins left="0.7" right="0.7" top="0.75" bottom="0.75" header="0.3" footer="0.3"/>
  <pageSetup orientation="portrait" horizontalDpi="4294967293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>
    <tabColor rgb="FF972F2C"/>
  </sheetPr>
  <dimension ref="A1:F47"/>
  <sheetViews>
    <sheetView showGridLines="0" topLeftCell="A3" zoomScale="85" zoomScaleNormal="85" workbookViewId="0">
      <selection activeCell="F46" sqref="F46:F47"/>
    </sheetView>
  </sheetViews>
  <sheetFormatPr defaultColWidth="9.109375" defaultRowHeight="14.4" x14ac:dyDescent="0.3"/>
  <cols>
    <col min="1" max="1" width="4.33203125" style="66" customWidth="1"/>
    <col min="2" max="2" width="52.5546875" style="66" customWidth="1"/>
    <col min="3" max="3" width="7.5546875" style="66" customWidth="1"/>
    <col min="4" max="4" width="16" style="66" bestFit="1" customWidth="1"/>
    <col min="5" max="5" width="16.109375" style="66" bestFit="1" customWidth="1"/>
    <col min="6" max="6" width="12.6640625" style="66" customWidth="1"/>
    <col min="7" max="7" width="18.33203125" style="66" customWidth="1"/>
    <col min="8" max="8" width="12" style="66" customWidth="1"/>
    <col min="9" max="16384" width="9.109375" style="66"/>
  </cols>
  <sheetData>
    <row r="1" spans="1:5" x14ac:dyDescent="0.3">
      <c r="A1" s="99"/>
      <c r="B1" s="100"/>
      <c r="D1" s="940"/>
      <c r="E1" s="941"/>
    </row>
    <row r="2" spans="1:5" ht="18.75" customHeight="1" x14ac:dyDescent="0.3">
      <c r="A2" s="101" t="s">
        <v>198</v>
      </c>
      <c r="B2" s="102" t="s">
        <v>233</v>
      </c>
      <c r="C2" s="75"/>
      <c r="D2" s="103" t="s">
        <v>234</v>
      </c>
      <c r="E2" s="103"/>
    </row>
    <row r="3" spans="1:5" ht="15" customHeight="1" x14ac:dyDescent="0.3">
      <c r="A3" s="104">
        <v>1</v>
      </c>
      <c r="B3" s="133">
        <f>New_Layout[[#This Row],[Proc / Chassis]]</f>
        <v>0</v>
      </c>
      <c r="C3" s="105" t="str">
        <f>IF(B3='Rack Layout'!$B3, " ", "&lt;-NEW")</f>
        <v xml:space="preserve"> </v>
      </c>
      <c r="D3" s="106" t="s">
        <v>235</v>
      </c>
      <c r="E3" s="107" t="e">
        <f ca="1">Usrname()</f>
        <v>#NAME?</v>
      </c>
    </row>
    <row r="4" spans="1:5" ht="15" customHeight="1" x14ac:dyDescent="0.3">
      <c r="A4" s="74">
        <v>2</v>
      </c>
      <c r="B4" s="132">
        <f>New_Layout[[#This Row],[Proc / Chassis]]</f>
        <v>0</v>
      </c>
      <c r="C4" s="105" t="str">
        <f>IF(B4='Rack Layout'!$B4, " ", "&lt;-NEW")</f>
        <v xml:space="preserve"> </v>
      </c>
      <c r="D4" s="94" t="s">
        <v>236</v>
      </c>
      <c r="E4" s="108">
        <f ca="1">NOW()</f>
        <v>45372.451176967596</v>
      </c>
    </row>
    <row r="5" spans="1:5" ht="15" customHeight="1" x14ac:dyDescent="0.3">
      <c r="A5" s="74">
        <v>3</v>
      </c>
      <c r="B5" s="133">
        <f>New_Layout[[#This Row],[Proc / Chassis]]</f>
        <v>0</v>
      </c>
      <c r="C5" s="105" t="str">
        <f>IF(B5='Rack Layout'!$B5, " ", "&lt;-NEW")</f>
        <v xml:space="preserve"> </v>
      </c>
      <c r="D5" s="106" t="s">
        <v>237</v>
      </c>
      <c r="E5" s="109"/>
    </row>
    <row r="6" spans="1:5" ht="15" customHeight="1" x14ac:dyDescent="0.3">
      <c r="A6" s="104">
        <v>4</v>
      </c>
      <c r="B6" s="132">
        <f>New_Layout[[#This Row],[Proc / Chassis]]</f>
        <v>0</v>
      </c>
      <c r="C6" s="105" t="str">
        <f>IF(B6='Rack Layout'!$B6, " ", "&lt;-NEW")</f>
        <v xml:space="preserve"> </v>
      </c>
      <c r="D6" s="94" t="s">
        <v>238</v>
      </c>
      <c r="E6" s="110"/>
    </row>
    <row r="7" spans="1:5" ht="15" customHeight="1" x14ac:dyDescent="0.3">
      <c r="A7" s="74">
        <v>5</v>
      </c>
      <c r="B7" s="133">
        <f>New_Layout[[#This Row],[Proc / Chassis]]</f>
        <v>0</v>
      </c>
      <c r="C7" s="105" t="str">
        <f>IF(B7='Rack Layout'!$B7, " ", "&lt;-NEW")</f>
        <v xml:space="preserve"> </v>
      </c>
    </row>
    <row r="8" spans="1:5" ht="15" customHeight="1" x14ac:dyDescent="0.3">
      <c r="A8" s="74">
        <v>6</v>
      </c>
      <c r="B8" s="132">
        <f>New_Layout[[#This Row],[Proc / Chassis]]</f>
        <v>0</v>
      </c>
      <c r="C8" s="105" t="str">
        <f>IF(B8='Rack Layout'!$B8, " ", "&lt;-NEW")</f>
        <v xml:space="preserve"> </v>
      </c>
    </row>
    <row r="9" spans="1:5" ht="15" customHeight="1" x14ac:dyDescent="0.3">
      <c r="A9" s="104">
        <v>7</v>
      </c>
      <c r="B9" s="133">
        <f>New_Layout[[#This Row],[Proc / Chassis]]</f>
        <v>0</v>
      </c>
      <c r="C9" s="105" t="str">
        <f>IF(B9='Rack Layout'!$B9, " ", "&lt;-NEW")</f>
        <v xml:space="preserve"> </v>
      </c>
      <c r="D9" s="940"/>
      <c r="E9" s="941"/>
    </row>
    <row r="10" spans="1:5" ht="15" customHeight="1" x14ac:dyDescent="0.3">
      <c r="A10" s="74">
        <v>8</v>
      </c>
      <c r="B10" s="132">
        <f>New_Layout[[#This Row],[Proc / Chassis]]</f>
        <v>0</v>
      </c>
      <c r="C10" s="105" t="str">
        <f>IF(B10='Rack Layout'!$B10, " ", "&lt;-NEW")</f>
        <v xml:space="preserve"> </v>
      </c>
      <c r="D10" s="111" t="s">
        <v>196</v>
      </c>
      <c r="E10" s="112"/>
    </row>
    <row r="11" spans="1:5" ht="15" customHeight="1" x14ac:dyDescent="0.3">
      <c r="A11" s="74">
        <v>9</v>
      </c>
      <c r="B11" s="133">
        <f>New_Layout[[#This Row],[Proc / Chassis]]</f>
        <v>0</v>
      </c>
      <c r="C11" s="105" t="str">
        <f>IF(B11='Rack Layout'!$B11, " ", "&lt;-NEW")</f>
        <v xml:space="preserve"> </v>
      </c>
      <c r="D11" s="106" t="s">
        <v>203</v>
      </c>
      <c r="E11" s="113">
        <f>SUM('Rack Layout'!$E$3:$E$47)</f>
        <v>0</v>
      </c>
    </row>
    <row r="12" spans="1:5" ht="15" customHeight="1" x14ac:dyDescent="0.3">
      <c r="A12" s="104">
        <v>10</v>
      </c>
      <c r="B12" s="132">
        <f>New_Layout[[#This Row],[Proc / Chassis]]</f>
        <v>0</v>
      </c>
      <c r="C12" s="105" t="str">
        <f>IF(B12='Rack Layout'!$B12, " ", "&lt;-NEW")</f>
        <v xml:space="preserve"> </v>
      </c>
      <c r="D12" s="114" t="s">
        <v>204</v>
      </c>
      <c r="E12" s="127">
        <f>'Rack Layout'!M49</f>
        <v>0</v>
      </c>
    </row>
    <row r="13" spans="1:5" ht="15" customHeight="1" x14ac:dyDescent="0.3">
      <c r="A13" s="74">
        <v>11</v>
      </c>
      <c r="B13" s="133">
        <f>New_Layout[[#This Row],[Proc / Chassis]]</f>
        <v>0</v>
      </c>
      <c r="C13" s="105" t="str">
        <f>IF(B13='Rack Layout'!$B13, " ", "&lt;-NEW")</f>
        <v xml:space="preserve"> </v>
      </c>
      <c r="D13" s="106" t="s">
        <v>205</v>
      </c>
      <c r="E13" s="113">
        <f>'Rack Layout'!M50</f>
        <v>0</v>
      </c>
    </row>
    <row r="14" spans="1:5" ht="15" customHeight="1" x14ac:dyDescent="0.3">
      <c r="A14" s="74">
        <v>12</v>
      </c>
      <c r="B14" s="132">
        <f>New_Layout[[#This Row],[Proc / Chassis]]</f>
        <v>0</v>
      </c>
      <c r="C14" s="105" t="str">
        <f>IF(B14='Rack Layout'!$B14, " ", "&lt;-NEW")</f>
        <v xml:space="preserve"> </v>
      </c>
      <c r="D14" s="114" t="s">
        <v>206</v>
      </c>
      <c r="E14" s="127">
        <f>'Rack Layout'!M51</f>
        <v>0</v>
      </c>
    </row>
    <row r="15" spans="1:5" ht="15" customHeight="1" x14ac:dyDescent="0.3">
      <c r="A15" s="104">
        <v>13</v>
      </c>
      <c r="B15" s="133">
        <f>New_Layout[[#This Row],[Proc / Chassis]]</f>
        <v>0</v>
      </c>
      <c r="C15" s="105" t="str">
        <f>IF(B15='Rack Layout'!$B15, " ", "&lt;-NEW")</f>
        <v xml:space="preserve"> </v>
      </c>
      <c r="D15" s="115" t="s">
        <v>207</v>
      </c>
      <c r="E15" s="135">
        <f>'Rack Layout'!M52</f>
        <v>0</v>
      </c>
    </row>
    <row r="16" spans="1:5" ht="15" customHeight="1" x14ac:dyDescent="0.3">
      <c r="A16" s="74">
        <v>14</v>
      </c>
      <c r="B16" s="132">
        <f>New_Layout[[#This Row],[Proc / Chassis]]</f>
        <v>0</v>
      </c>
      <c r="C16" s="105" t="str">
        <f>IF(B16='Rack Layout'!$B16, " ", "&lt;-NEW")</f>
        <v xml:space="preserve"> </v>
      </c>
      <c r="D16" s="117" t="s">
        <v>239</v>
      </c>
      <c r="E16" s="118">
        <f>SUM(E14:E15)</f>
        <v>0</v>
      </c>
    </row>
    <row r="17" spans="1:6" ht="15" customHeight="1" x14ac:dyDescent="0.3">
      <c r="A17" s="74">
        <v>15</v>
      </c>
      <c r="B17" s="133">
        <f>New_Layout[[#This Row],[Proc / Chassis]]</f>
        <v>0</v>
      </c>
      <c r="C17" s="105" t="str">
        <f>IF(B17='Rack Layout'!$B17, " ", "&lt;-NEW")</f>
        <v xml:space="preserve"> </v>
      </c>
      <c r="D17" s="119" t="s">
        <v>208</v>
      </c>
      <c r="E17" s="139">
        <f>'Rack Layout'!M53</f>
        <v>0</v>
      </c>
    </row>
    <row r="18" spans="1:6" ht="15" customHeight="1" x14ac:dyDescent="0.3">
      <c r="A18" s="104">
        <v>16</v>
      </c>
      <c r="B18" s="132">
        <f>New_Layout[[#This Row],[Proc / Chassis]]</f>
        <v>0</v>
      </c>
      <c r="C18" s="105" t="str">
        <f>IF(B18='Rack Layout'!$B18, " ", "&lt;-NEW")</f>
        <v xml:space="preserve"> </v>
      </c>
      <c r="D18" s="120" t="s">
        <v>209</v>
      </c>
      <c r="E18" s="140">
        <f>'Rack Layout'!M54</f>
        <v>0</v>
      </c>
    </row>
    <row r="19" spans="1:6" ht="15" customHeight="1" x14ac:dyDescent="0.3">
      <c r="A19" s="74">
        <v>17</v>
      </c>
      <c r="B19" s="133">
        <f>New_Layout[[#This Row],[Proc / Chassis]]</f>
        <v>0</v>
      </c>
      <c r="C19" s="105" t="str">
        <f>IF(B19='Rack Layout'!$B19, " ", "&lt;-NEW")</f>
        <v xml:space="preserve"> </v>
      </c>
      <c r="D19" s="121" t="s">
        <v>240</v>
      </c>
      <c r="E19" s="122">
        <f>SUM(E17:E18)</f>
        <v>0</v>
      </c>
      <c r="F19" s="123"/>
    </row>
    <row r="20" spans="1:6" ht="15" customHeight="1" x14ac:dyDescent="0.3">
      <c r="A20" s="74">
        <v>18</v>
      </c>
      <c r="B20" s="132">
        <f>New_Layout[[#This Row],[Proc / Chassis]]</f>
        <v>0</v>
      </c>
      <c r="C20" s="105" t="str">
        <f>IF(B20='Rack Layout'!$B20, " ", "&lt;-NEW")</f>
        <v xml:space="preserve"> </v>
      </c>
      <c r="D20" s="115" t="s">
        <v>210</v>
      </c>
      <c r="E20" s="116">
        <f>'Rack Layout'!M63</f>
        <v>0</v>
      </c>
      <c r="F20" s="123"/>
    </row>
    <row r="21" spans="1:6" ht="15" customHeight="1" x14ac:dyDescent="0.3">
      <c r="A21" s="104">
        <v>19</v>
      </c>
      <c r="B21" s="133">
        <f>New_Layout[[#This Row],[Proc / Chassis]]</f>
        <v>0</v>
      </c>
      <c r="C21" s="105" t="str">
        <f>IF(B21='Rack Layout'!$B21, " ", "&lt;-NEW")</f>
        <v xml:space="preserve"> </v>
      </c>
      <c r="D21" s="124" t="s">
        <v>241</v>
      </c>
      <c r="E21" s="74"/>
      <c r="F21" s="123"/>
    </row>
    <row r="22" spans="1:6" ht="15" customHeight="1" x14ac:dyDescent="0.3">
      <c r="A22" s="74">
        <v>20</v>
      </c>
      <c r="B22" s="132">
        <f>New_Layout[[#This Row],[Proc / Chassis]]</f>
        <v>0</v>
      </c>
      <c r="C22" s="105" t="str">
        <f>IF(B22='Rack Layout'!$B22, " ", "&lt;-NEW")</f>
        <v xml:space="preserve"> </v>
      </c>
      <c r="D22" s="115" t="s">
        <v>211</v>
      </c>
      <c r="E22" s="125">
        <f>'Rack Layout'!M64</f>
        <v>0</v>
      </c>
      <c r="F22" s="123"/>
    </row>
    <row r="23" spans="1:6" ht="15" customHeight="1" x14ac:dyDescent="0.3">
      <c r="A23" s="74">
        <v>21</v>
      </c>
      <c r="B23" s="133">
        <f>New_Layout[[#This Row],[Proc / Chassis]]</f>
        <v>0</v>
      </c>
      <c r="C23" s="105" t="str">
        <f>IF(B23='Rack Layout'!$B23, " ", "&lt;-NEW")</f>
        <v xml:space="preserve"> </v>
      </c>
      <c r="D23" s="134" t="s">
        <v>212</v>
      </c>
      <c r="E23" s="126">
        <f>E22*2</f>
        <v>0</v>
      </c>
      <c r="F23" s="123"/>
    </row>
    <row r="24" spans="1:6" ht="15" customHeight="1" x14ac:dyDescent="0.3">
      <c r="A24" s="104">
        <v>22</v>
      </c>
      <c r="B24" s="132">
        <f>New_Layout[[#This Row],[Proc / Chassis]]</f>
        <v>0</v>
      </c>
      <c r="C24" s="105" t="str">
        <f>IF(B24='Rack Layout'!$B24, " ", "&lt;-NEW")</f>
        <v xml:space="preserve"> </v>
      </c>
      <c r="D24" s="115" t="s">
        <v>5</v>
      </c>
      <c r="E24" s="125">
        <f>'Rack Layout'!M66</f>
        <v>0</v>
      </c>
    </row>
    <row r="25" spans="1:6" ht="15" customHeight="1" x14ac:dyDescent="0.3">
      <c r="A25" s="74">
        <v>23</v>
      </c>
      <c r="B25" s="133">
        <f>New_Layout[[#This Row],[Proc / Chassis]]</f>
        <v>0</v>
      </c>
      <c r="C25" s="105" t="str">
        <f>IF(B25='Rack Layout'!$B25, " ", "&lt;-NEW")</f>
        <v xml:space="preserve"> </v>
      </c>
      <c r="D25" s="134" t="s">
        <v>242</v>
      </c>
      <c r="E25" s="137" t="e">
        <f>'Rack Layout'!#REF!</f>
        <v>#REF!</v>
      </c>
    </row>
    <row r="26" spans="1:6" ht="15" customHeight="1" x14ac:dyDescent="0.3">
      <c r="A26" s="74">
        <v>24</v>
      </c>
      <c r="B26" s="132">
        <f>New_Layout[[#This Row],[Proc / Chassis]]</f>
        <v>0</v>
      </c>
      <c r="C26" s="105" t="str">
        <f>IF(B26='Rack Layout'!$B26, " ", "&lt;-NEW")</f>
        <v xml:space="preserve"> </v>
      </c>
      <c r="D26" s="115" t="s">
        <v>123</v>
      </c>
      <c r="E26" s="125" t="e">
        <f>'Rack Layout'!#REF!</f>
        <v>#REF!</v>
      </c>
    </row>
    <row r="27" spans="1:6" ht="15" customHeight="1" x14ac:dyDescent="0.3">
      <c r="A27" s="104">
        <v>25</v>
      </c>
      <c r="B27" s="133">
        <f>New_Layout[[#This Row],[Proc / Chassis]]</f>
        <v>0</v>
      </c>
      <c r="C27" s="105" t="str">
        <f>IF(B27='Rack Layout'!$B27, " ", "&lt;-NEW")</f>
        <v xml:space="preserve"> </v>
      </c>
    </row>
    <row r="28" spans="1:6" ht="15" customHeight="1" x14ac:dyDescent="0.3">
      <c r="A28" s="74">
        <v>26</v>
      </c>
      <c r="B28" s="132">
        <f>New_Layout[[#This Row],[Proc / Chassis]]</f>
        <v>0</v>
      </c>
      <c r="C28" s="105" t="str">
        <f>IF(B28='Rack Layout'!$B28, " ", "&lt;-NEW")</f>
        <v xml:space="preserve"> </v>
      </c>
    </row>
    <row r="29" spans="1:6" ht="15" customHeight="1" x14ac:dyDescent="0.3">
      <c r="A29" s="74">
        <v>27</v>
      </c>
      <c r="B29" s="133">
        <f>New_Layout[[#This Row],[Proc / Chassis]]</f>
        <v>0</v>
      </c>
      <c r="C29" s="105" t="str">
        <f>IF(B29='Rack Layout'!$B29, " ", "&lt;-NEW")</f>
        <v xml:space="preserve"> </v>
      </c>
      <c r="D29" s="942"/>
      <c r="E29" s="942"/>
    </row>
    <row r="30" spans="1:6" ht="15" customHeight="1" x14ac:dyDescent="0.3">
      <c r="A30" s="104">
        <v>28</v>
      </c>
      <c r="B30" s="132">
        <f>New_Layout[[#This Row],[Proc / Chassis]]</f>
        <v>0</v>
      </c>
      <c r="C30" s="105" t="str">
        <f>IF(B30='Rack Layout'!$B30, " ", "&lt;-NEW")</f>
        <v xml:space="preserve"> </v>
      </c>
      <c r="D30" s="203" t="s">
        <v>197</v>
      </c>
      <c r="E30" s="204"/>
    </row>
    <row r="31" spans="1:6" ht="15" customHeight="1" x14ac:dyDescent="0.3">
      <c r="A31" s="74">
        <v>29</v>
      </c>
      <c r="B31" s="133">
        <f>New_Layout[[#This Row],[Proc / Chassis]]</f>
        <v>0</v>
      </c>
      <c r="C31" s="105" t="str">
        <f>IF(B31='Rack Layout'!$B31, " ", "&lt;-NEW")</f>
        <v xml:space="preserve"> </v>
      </c>
      <c r="D31" s="205" t="s">
        <v>203</v>
      </c>
      <c r="E31" s="206">
        <f>SUM(New_Layout[Kw])</f>
        <v>0</v>
      </c>
    </row>
    <row r="32" spans="1:6" ht="15" customHeight="1" x14ac:dyDescent="0.3">
      <c r="A32" s="74">
        <v>30</v>
      </c>
      <c r="B32" s="132">
        <f>New_Layout[[#This Row],[Proc / Chassis]]</f>
        <v>0</v>
      </c>
      <c r="C32" s="105" t="str">
        <f>IF(B32='Rack Layout'!$B32, " ", "&lt;-NEW")</f>
        <v xml:space="preserve"> </v>
      </c>
      <c r="D32" s="205" t="s">
        <v>204</v>
      </c>
      <c r="E32" s="206" t="e">
        <f>'Rack Layout'!#REF!</f>
        <v>#REF!</v>
      </c>
    </row>
    <row r="33" spans="1:5" ht="15" customHeight="1" x14ac:dyDescent="0.3">
      <c r="A33" s="104">
        <v>31</v>
      </c>
      <c r="B33" s="133">
        <f>New_Layout[[#This Row],[Proc / Chassis]]</f>
        <v>0</v>
      </c>
      <c r="C33" s="105" t="str">
        <f>IF(B33='Rack Layout'!$B33, " ", "&lt;-NEW")</f>
        <v xml:space="preserve"> </v>
      </c>
      <c r="D33" s="205" t="s">
        <v>205</v>
      </c>
      <c r="E33" s="206">
        <f>'Rack Layout'!M83</f>
        <v>0</v>
      </c>
    </row>
    <row r="34" spans="1:5" ht="15" customHeight="1" x14ac:dyDescent="0.3">
      <c r="A34" s="74">
        <v>32</v>
      </c>
      <c r="B34" s="132">
        <f>New_Layout[[#This Row],[Proc / Chassis]]</f>
        <v>0</v>
      </c>
      <c r="C34" s="105" t="str">
        <f>IF(B34='Rack Layout'!$B34, " ", "&lt;-NEW")</f>
        <v xml:space="preserve"> </v>
      </c>
      <c r="D34" s="205" t="s">
        <v>206</v>
      </c>
      <c r="E34" s="206">
        <f>'Rack Layout'!M70</f>
        <v>0</v>
      </c>
    </row>
    <row r="35" spans="1:5" ht="15" customHeight="1" x14ac:dyDescent="0.3">
      <c r="A35" s="74">
        <v>33</v>
      </c>
      <c r="B35" s="133">
        <f>New_Layout[[#This Row],[Proc / Chassis]]</f>
        <v>0</v>
      </c>
      <c r="C35" s="105" t="str">
        <f>IF(B35='Rack Layout'!$B35, " ", "&lt;-NEW")</f>
        <v xml:space="preserve"> </v>
      </c>
      <c r="D35" s="205" t="s">
        <v>207</v>
      </c>
      <c r="E35" s="206">
        <f>'Rack Layout'!M71</f>
        <v>0</v>
      </c>
    </row>
    <row r="36" spans="1:5" ht="15" customHeight="1" x14ac:dyDescent="0.3">
      <c r="A36" s="104">
        <v>34</v>
      </c>
      <c r="B36" s="132">
        <f>New_Layout[[#This Row],[Proc / Chassis]]</f>
        <v>0</v>
      </c>
      <c r="C36" s="105" t="str">
        <f>IF(B36='Rack Layout'!$B36, " ", "&lt;-NEW")</f>
        <v xml:space="preserve"> </v>
      </c>
      <c r="D36" s="205" t="s">
        <v>239</v>
      </c>
      <c r="E36" s="206">
        <f>SUM(E34:E35)</f>
        <v>0</v>
      </c>
    </row>
    <row r="37" spans="1:5" ht="15" customHeight="1" x14ac:dyDescent="0.3">
      <c r="A37" s="74">
        <v>35</v>
      </c>
      <c r="B37" s="133">
        <f>New_Layout[[#This Row],[Proc / Chassis]]</f>
        <v>0</v>
      </c>
      <c r="C37" s="105" t="str">
        <f>IF(B37='Rack Layout'!$B37, " ", "&lt;-NEW")</f>
        <v xml:space="preserve"> </v>
      </c>
      <c r="D37" s="205" t="s">
        <v>208</v>
      </c>
      <c r="E37" s="206">
        <f>'Rack Layout'!M72</f>
        <v>0</v>
      </c>
    </row>
    <row r="38" spans="1:5" ht="15" customHeight="1" x14ac:dyDescent="0.3">
      <c r="A38" s="74">
        <v>36</v>
      </c>
      <c r="B38" s="132">
        <f>New_Layout[[#This Row],[Proc / Chassis]]</f>
        <v>0</v>
      </c>
      <c r="C38" s="105" t="str">
        <f>IF(B38='Rack Layout'!$B38, " ", "&lt;-NEW")</f>
        <v xml:space="preserve"> </v>
      </c>
      <c r="D38" s="205" t="s">
        <v>209</v>
      </c>
      <c r="E38" s="206" t="e">
        <f>'Rack Layout'!#REF!</f>
        <v>#REF!</v>
      </c>
    </row>
    <row r="39" spans="1:5" ht="15" customHeight="1" x14ac:dyDescent="0.3">
      <c r="A39" s="104">
        <v>37</v>
      </c>
      <c r="B39" s="133">
        <f>New_Layout[[#This Row],[Proc / Chassis]]</f>
        <v>0</v>
      </c>
      <c r="C39" s="105" t="str">
        <f>IF(B39='Rack Layout'!$B39, " ", "&lt;-NEW")</f>
        <v xml:space="preserve"> </v>
      </c>
      <c r="D39" s="205" t="s">
        <v>240</v>
      </c>
      <c r="E39" s="206" t="e">
        <f>SUM(E37:E38)</f>
        <v>#REF!</v>
      </c>
    </row>
    <row r="40" spans="1:5" ht="15" customHeight="1" x14ac:dyDescent="0.3">
      <c r="A40" s="74">
        <v>38</v>
      </c>
      <c r="B40" s="132">
        <f>New_Layout[[#This Row],[Proc / Chassis]]</f>
        <v>0</v>
      </c>
      <c r="C40" s="105" t="str">
        <f>IF(B40='Rack Layout'!$B40, " ", "&lt;-NEW")</f>
        <v xml:space="preserve"> </v>
      </c>
      <c r="D40" s="205" t="s">
        <v>210</v>
      </c>
      <c r="E40" s="207">
        <f>'Rack Layout'!AE24</f>
        <v>0</v>
      </c>
    </row>
    <row r="41" spans="1:5" ht="15" customHeight="1" x14ac:dyDescent="0.3">
      <c r="A41" s="74">
        <v>39</v>
      </c>
      <c r="B41" s="133">
        <f>New_Layout[[#This Row],[Proc / Chassis]]</f>
        <v>0</v>
      </c>
      <c r="C41" s="105" t="str">
        <f>IF(B41='Rack Layout'!$B41, " ", "&lt;-NEW")</f>
        <v xml:space="preserve"> </v>
      </c>
      <c r="D41" s="208" t="s">
        <v>241</v>
      </c>
      <c r="E41" s="208"/>
    </row>
    <row r="42" spans="1:5" ht="15" customHeight="1" x14ac:dyDescent="0.3">
      <c r="A42" s="104">
        <v>40</v>
      </c>
      <c r="B42" s="132">
        <f>New_Layout[[#This Row],[Proc / Chassis]]</f>
        <v>0</v>
      </c>
      <c r="C42" s="105" t="str">
        <f>IF(B42='Rack Layout'!$B42, " ", "&lt;-NEW")</f>
        <v xml:space="preserve"> </v>
      </c>
      <c r="D42" s="209" t="s">
        <v>211</v>
      </c>
      <c r="E42" s="210">
        <f>SUM(New_Layout[Cores])</f>
        <v>0</v>
      </c>
    </row>
    <row r="43" spans="1:5" ht="15" customHeight="1" x14ac:dyDescent="0.3">
      <c r="A43" s="74">
        <v>41</v>
      </c>
      <c r="B43" s="133">
        <f>New_Layout[[#This Row],[Proc / Chassis]]</f>
        <v>0</v>
      </c>
      <c r="C43" s="105" t="str">
        <f>IF(B43='Rack Layout'!$B43, " ", "&lt;-NEW")</f>
        <v xml:space="preserve"> </v>
      </c>
      <c r="D43" s="208" t="s">
        <v>212</v>
      </c>
      <c r="E43" s="211">
        <f>SUM(New_Layout[Cores])*2</f>
        <v>0</v>
      </c>
    </row>
    <row r="44" spans="1:5" ht="15" customHeight="1" x14ac:dyDescent="0.3">
      <c r="A44" s="74">
        <v>42</v>
      </c>
      <c r="B44" s="132">
        <f>New_Layout[[#This Row],[Proc / Chassis]]</f>
        <v>0</v>
      </c>
      <c r="C44" s="105" t="str">
        <f>IF(B44='Rack Layout'!$B44, " ", "&lt;-NEW")</f>
        <v xml:space="preserve"> </v>
      </c>
      <c r="D44" s="209" t="s">
        <v>5</v>
      </c>
      <c r="E44" s="210">
        <f>SUM(New_Layout[RAM])</f>
        <v>0</v>
      </c>
    </row>
    <row r="45" spans="1:5" ht="15" customHeight="1" x14ac:dyDescent="0.3">
      <c r="A45" s="104">
        <v>43</v>
      </c>
      <c r="B45" s="133">
        <f>New_Layout[[#This Row],[Proc / Chassis]]</f>
        <v>0</v>
      </c>
      <c r="C45" s="105" t="str">
        <f>IF(B45='Rack Layout'!$B45, " ", "&lt;-NEW")</f>
        <v xml:space="preserve"> </v>
      </c>
      <c r="D45" s="208" t="s">
        <v>242</v>
      </c>
      <c r="E45" s="212">
        <f>IFERROR(SUM(New_Layout[RAM])/E43,0)</f>
        <v>0</v>
      </c>
    </row>
    <row r="46" spans="1:5" ht="15" customHeight="1" x14ac:dyDescent="0.3">
      <c r="A46" s="74">
        <v>44</v>
      </c>
      <c r="B46" s="132">
        <f>New_Layout[[#This Row],[Proc / Chassis]]</f>
        <v>0</v>
      </c>
      <c r="C46" s="105" t="str">
        <f>IF(B46='Rack Layout'!$B46, " ", "&lt;-NEW")</f>
        <v xml:space="preserve"> </v>
      </c>
      <c r="D46" s="205" t="s">
        <v>123</v>
      </c>
      <c r="E46" s="213">
        <f>SUM(New_Layout[GPUs])</f>
        <v>0</v>
      </c>
    </row>
    <row r="47" spans="1:5" ht="15" customHeight="1" x14ac:dyDescent="0.3"/>
  </sheetData>
  <mergeCells count="3">
    <mergeCell ref="D1:E1"/>
    <mergeCell ref="D9:E9"/>
    <mergeCell ref="D29:E29"/>
  </mergeCells>
  <conditionalFormatting sqref="E21:E25">
    <cfRule type="expression" priority="3">
      <formula>IF(#REF!=E19,)</formula>
    </cfRule>
  </conditionalFormatting>
  <conditionalFormatting sqref="E39">
    <cfRule type="expression" priority="2">
      <formula>IF(#REF!=#REF!,)</formula>
    </cfRule>
  </conditionalFormatting>
  <conditionalFormatting sqref="E32:E35">
    <cfRule type="expression" priority="4">
      <formula>IF($E32=E30,)</formula>
    </cfRule>
  </conditionalFormatting>
  <conditionalFormatting sqref="E40 E37:E38">
    <cfRule type="expression" priority="5">
      <formula>IF($E37=E34,)</formula>
    </cfRule>
  </conditionalFormatting>
  <conditionalFormatting sqref="E36">
    <cfRule type="expression" priority="6">
      <formula>IF($E37=E34,)</formula>
    </cfRule>
  </conditionalFormatting>
  <conditionalFormatting sqref="E31">
    <cfRule type="expression" priority="7">
      <formula>IF($E31=E20,)</formula>
    </cfRule>
  </conditionalFormatting>
  <conditionalFormatting sqref="E26">
    <cfRule type="expression" priority="8">
      <formula>IF($E41=E24,)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3"/>
  <dimension ref="A1:H45"/>
  <sheetViews>
    <sheetView zoomScale="55" zoomScaleNormal="55" workbookViewId="0">
      <selection activeCell="A7" sqref="A2:A7"/>
    </sheetView>
  </sheetViews>
  <sheetFormatPr defaultColWidth="9.109375" defaultRowHeight="14.4" x14ac:dyDescent="0.3"/>
  <cols>
    <col min="1" max="1" width="56.33203125" style="1" customWidth="1"/>
    <col min="2" max="3" width="9.109375" style="1"/>
    <col min="4" max="5" width="67.109375" style="1" bestFit="1" customWidth="1"/>
    <col min="6" max="7" width="67.109375" style="1" customWidth="1"/>
    <col min="8" max="8" width="67.109375" style="1" bestFit="1" customWidth="1"/>
    <col min="9" max="16384" width="9.109375" style="1"/>
  </cols>
  <sheetData>
    <row r="1" spans="1:8" x14ac:dyDescent="0.3">
      <c r="A1" s="1" t="s">
        <v>402</v>
      </c>
      <c r="C1" s="1" t="s">
        <v>403</v>
      </c>
      <c r="D1" s="1" t="s">
        <v>438</v>
      </c>
      <c r="E1" s="1" t="s">
        <v>440</v>
      </c>
      <c r="F1" s="1" t="s">
        <v>433</v>
      </c>
      <c r="G1" s="1" t="s">
        <v>444</v>
      </c>
      <c r="H1" s="1" t="s">
        <v>566</v>
      </c>
    </row>
    <row r="2" spans="1:8" x14ac:dyDescent="0.3">
      <c r="A2" s="1" t="s">
        <v>403</v>
      </c>
      <c r="C2" s="1" t="str">
        <f>""</f>
        <v/>
      </c>
      <c r="D2" s="461" t="s">
        <v>442</v>
      </c>
      <c r="E2" s="461" t="s">
        <v>439</v>
      </c>
      <c r="F2" s="461" t="s">
        <v>441</v>
      </c>
      <c r="G2" s="1" t="s">
        <v>443</v>
      </c>
      <c r="H2" s="461" t="s">
        <v>565</v>
      </c>
    </row>
    <row r="3" spans="1:8" x14ac:dyDescent="0.3">
      <c r="A3" s="1" t="s">
        <v>438</v>
      </c>
      <c r="C3" s="1" t="str">
        <f>""</f>
        <v/>
      </c>
      <c r="D3" s="461" t="s">
        <v>442</v>
      </c>
      <c r="E3" s="1" t="s">
        <v>439</v>
      </c>
      <c r="F3" s="461" t="s">
        <v>441</v>
      </c>
      <c r="G3" s="1" t="s">
        <v>443</v>
      </c>
      <c r="H3" s="461" t="s">
        <v>565</v>
      </c>
    </row>
    <row r="4" spans="1:8" x14ac:dyDescent="0.3">
      <c r="A4" s="1" t="s">
        <v>440</v>
      </c>
      <c r="C4" s="1" t="str">
        <f>""</f>
        <v/>
      </c>
      <c r="D4" s="461" t="s">
        <v>442</v>
      </c>
      <c r="E4" s="461" t="s">
        <v>439</v>
      </c>
      <c r="F4" s="461" t="s">
        <v>441</v>
      </c>
      <c r="G4" s="1" t="s">
        <v>443</v>
      </c>
      <c r="H4" s="461" t="s">
        <v>565</v>
      </c>
    </row>
    <row r="5" spans="1:8" x14ac:dyDescent="0.3">
      <c r="A5" s="1" t="s">
        <v>433</v>
      </c>
      <c r="C5" s="1" t="str">
        <f>""</f>
        <v/>
      </c>
      <c r="D5" s="461" t="s">
        <v>442</v>
      </c>
      <c r="E5" s="1" t="s">
        <v>439</v>
      </c>
      <c r="F5" s="461" t="s">
        <v>441</v>
      </c>
      <c r="G5" s="1" t="s">
        <v>443</v>
      </c>
      <c r="H5" s="461" t="s">
        <v>565</v>
      </c>
    </row>
    <row r="6" spans="1:8" x14ac:dyDescent="0.3">
      <c r="A6" s="462" t="s">
        <v>444</v>
      </c>
      <c r="C6" s="1" t="str">
        <f>""</f>
        <v/>
      </c>
      <c r="D6" s="461" t="s">
        <v>442</v>
      </c>
      <c r="E6" s="461" t="s">
        <v>439</v>
      </c>
      <c r="F6" s="461" t="s">
        <v>441</v>
      </c>
      <c r="G6" s="1" t="s">
        <v>443</v>
      </c>
      <c r="H6" s="461" t="s">
        <v>565</v>
      </c>
    </row>
    <row r="7" spans="1:8" x14ac:dyDescent="0.3">
      <c r="A7" s="1" t="s">
        <v>464</v>
      </c>
      <c r="C7" s="1" t="str">
        <f>""</f>
        <v/>
      </c>
      <c r="D7" s="461" t="s">
        <v>442</v>
      </c>
      <c r="E7" s="1" t="s">
        <v>439</v>
      </c>
      <c r="F7" s="461" t="s">
        <v>441</v>
      </c>
      <c r="G7" s="1" t="s">
        <v>443</v>
      </c>
      <c r="H7" s="461" t="s">
        <v>565</v>
      </c>
    </row>
    <row r="8" spans="1:8" x14ac:dyDescent="0.3">
      <c r="A8" s="1" t="s">
        <v>566</v>
      </c>
      <c r="C8" s="1" t="str">
        <f>""</f>
        <v/>
      </c>
      <c r="D8" s="461" t="s">
        <v>442</v>
      </c>
      <c r="E8" s="461" t="s">
        <v>439</v>
      </c>
      <c r="F8" s="461" t="s">
        <v>441</v>
      </c>
      <c r="G8" s="1" t="s">
        <v>443</v>
      </c>
      <c r="H8" s="461" t="s">
        <v>565</v>
      </c>
    </row>
    <row r="9" spans="1:8" x14ac:dyDescent="0.3">
      <c r="C9" s="1" t="str">
        <f>""</f>
        <v/>
      </c>
      <c r="D9" s="461" t="s">
        <v>442</v>
      </c>
      <c r="E9" s="1" t="s">
        <v>439</v>
      </c>
      <c r="F9" s="461" t="s">
        <v>441</v>
      </c>
      <c r="G9" s="1" t="s">
        <v>443</v>
      </c>
      <c r="H9" s="461" t="s">
        <v>565</v>
      </c>
    </row>
    <row r="10" spans="1:8" x14ac:dyDescent="0.3">
      <c r="C10" s="1" t="str">
        <f>""</f>
        <v/>
      </c>
      <c r="D10" s="461" t="s">
        <v>442</v>
      </c>
      <c r="E10" s="1" t="s">
        <v>439</v>
      </c>
      <c r="F10" s="461" t="s">
        <v>441</v>
      </c>
      <c r="G10" s="1" t="s">
        <v>443</v>
      </c>
      <c r="H10" s="461" t="s">
        <v>565</v>
      </c>
    </row>
    <row r="11" spans="1:8" x14ac:dyDescent="0.3">
      <c r="C11" s="1" t="str">
        <f>""</f>
        <v/>
      </c>
      <c r="D11" s="461" t="s">
        <v>442</v>
      </c>
      <c r="E11" s="1" t="s">
        <v>439</v>
      </c>
      <c r="F11" s="461" t="s">
        <v>441</v>
      </c>
      <c r="G11" s="1" t="s">
        <v>443</v>
      </c>
      <c r="H11" s="461" t="s">
        <v>565</v>
      </c>
    </row>
    <row r="12" spans="1:8" x14ac:dyDescent="0.3">
      <c r="C12" s="1" t="str">
        <f>""</f>
        <v/>
      </c>
    </row>
    <row r="13" spans="1:8" x14ac:dyDescent="0.3">
      <c r="C13" s="1" t="str">
        <f>""</f>
        <v/>
      </c>
    </row>
    <row r="14" spans="1:8" x14ac:dyDescent="0.3">
      <c r="C14" s="1" t="str">
        <f>""</f>
        <v/>
      </c>
    </row>
    <row r="15" spans="1:8" x14ac:dyDescent="0.3">
      <c r="C15" s="1" t="str">
        <f>""</f>
        <v/>
      </c>
    </row>
    <row r="16" spans="1:8" x14ac:dyDescent="0.3">
      <c r="C16" s="1" t="str">
        <f>""</f>
        <v/>
      </c>
    </row>
    <row r="17" spans="3:8" x14ac:dyDescent="0.3">
      <c r="C17" s="1" t="str">
        <f>""</f>
        <v/>
      </c>
      <c r="D17" s="461" t="s">
        <v>442</v>
      </c>
      <c r="E17" s="461" t="s">
        <v>439</v>
      </c>
      <c r="F17" s="461" t="s">
        <v>441</v>
      </c>
      <c r="G17" s="1" t="s">
        <v>443</v>
      </c>
      <c r="H17" s="461" t="s">
        <v>565</v>
      </c>
    </row>
    <row r="18" spans="3:8" x14ac:dyDescent="0.3">
      <c r="C18" s="1" t="str">
        <f>""</f>
        <v/>
      </c>
      <c r="D18" s="461" t="s">
        <v>442</v>
      </c>
      <c r="E18" s="1" t="s">
        <v>439</v>
      </c>
      <c r="F18" s="461" t="s">
        <v>441</v>
      </c>
      <c r="G18" s="1" t="s">
        <v>443</v>
      </c>
      <c r="H18" s="461" t="s">
        <v>565</v>
      </c>
    </row>
    <row r="19" spans="3:8" x14ac:dyDescent="0.3">
      <c r="C19" s="1" t="str">
        <f>""</f>
        <v/>
      </c>
      <c r="D19" s="461" t="s">
        <v>442</v>
      </c>
      <c r="E19" s="461" t="s">
        <v>439</v>
      </c>
      <c r="F19" s="461" t="s">
        <v>441</v>
      </c>
      <c r="G19" s="1" t="s">
        <v>443</v>
      </c>
      <c r="H19" s="461" t="s">
        <v>565</v>
      </c>
    </row>
    <row r="20" spans="3:8" x14ac:dyDescent="0.3">
      <c r="C20" s="1" t="str">
        <f>""</f>
        <v/>
      </c>
      <c r="D20" s="461" t="s">
        <v>442</v>
      </c>
      <c r="E20" s="1" t="s">
        <v>439</v>
      </c>
      <c r="F20" s="461" t="s">
        <v>441</v>
      </c>
      <c r="G20" s="1" t="s">
        <v>443</v>
      </c>
      <c r="H20" s="461" t="s">
        <v>565</v>
      </c>
    </row>
    <row r="21" spans="3:8" x14ac:dyDescent="0.3">
      <c r="C21" s="1" t="str">
        <f>""</f>
        <v/>
      </c>
      <c r="D21" s="461" t="s">
        <v>442</v>
      </c>
      <c r="E21" s="461" t="s">
        <v>439</v>
      </c>
      <c r="F21" s="461" t="s">
        <v>441</v>
      </c>
      <c r="G21" s="1" t="s">
        <v>443</v>
      </c>
      <c r="H21" s="461" t="s">
        <v>565</v>
      </c>
    </row>
    <row r="22" spans="3:8" x14ac:dyDescent="0.3">
      <c r="C22" s="1" t="str">
        <f>""</f>
        <v/>
      </c>
      <c r="D22" s="461" t="s">
        <v>442</v>
      </c>
      <c r="E22" s="1" t="s">
        <v>439</v>
      </c>
      <c r="F22" s="461" t="s">
        <v>441</v>
      </c>
      <c r="G22" s="1" t="s">
        <v>443</v>
      </c>
      <c r="H22" s="461" t="s">
        <v>565</v>
      </c>
    </row>
    <row r="23" spans="3:8" x14ac:dyDescent="0.3">
      <c r="C23" s="1" t="str">
        <f>""</f>
        <v/>
      </c>
      <c r="D23" s="461" t="s">
        <v>442</v>
      </c>
      <c r="E23" s="461" t="s">
        <v>439</v>
      </c>
      <c r="F23" s="461" t="s">
        <v>441</v>
      </c>
      <c r="G23" s="1" t="s">
        <v>443</v>
      </c>
      <c r="H23" s="461" t="s">
        <v>565</v>
      </c>
    </row>
    <row r="24" spans="3:8" x14ac:dyDescent="0.3">
      <c r="C24" s="1" t="str">
        <f>""</f>
        <v/>
      </c>
      <c r="D24" s="461" t="s">
        <v>442</v>
      </c>
      <c r="E24" s="1" t="s">
        <v>439</v>
      </c>
      <c r="F24" s="461" t="s">
        <v>441</v>
      </c>
      <c r="G24" s="1" t="s">
        <v>443</v>
      </c>
      <c r="H24" s="461" t="s">
        <v>565</v>
      </c>
    </row>
    <row r="25" spans="3:8" x14ac:dyDescent="0.3">
      <c r="C25" s="1" t="str">
        <f>""</f>
        <v/>
      </c>
      <c r="D25" s="461" t="s">
        <v>442</v>
      </c>
      <c r="E25" s="1" t="s">
        <v>439</v>
      </c>
      <c r="F25" s="461" t="s">
        <v>441</v>
      </c>
      <c r="G25" s="1" t="s">
        <v>443</v>
      </c>
      <c r="H25" s="461" t="s">
        <v>565</v>
      </c>
    </row>
    <row r="26" spans="3:8" x14ac:dyDescent="0.3">
      <c r="C26" s="1" t="str">
        <f>""</f>
        <v/>
      </c>
      <c r="D26" s="461" t="s">
        <v>442</v>
      </c>
      <c r="E26" s="1" t="s">
        <v>439</v>
      </c>
      <c r="F26" s="461" t="s">
        <v>441</v>
      </c>
      <c r="G26" s="1" t="s">
        <v>443</v>
      </c>
      <c r="H26" s="461" t="s">
        <v>565</v>
      </c>
    </row>
    <row r="27" spans="3:8" x14ac:dyDescent="0.3">
      <c r="C27" s="1" t="str">
        <f>""</f>
        <v/>
      </c>
    </row>
    <row r="28" spans="3:8" x14ac:dyDescent="0.3">
      <c r="C28" s="1" t="str">
        <f>""</f>
        <v/>
      </c>
    </row>
    <row r="29" spans="3:8" x14ac:dyDescent="0.3">
      <c r="C29" s="1" t="str">
        <f>""</f>
        <v/>
      </c>
    </row>
    <row r="30" spans="3:8" x14ac:dyDescent="0.3">
      <c r="C30" s="1" t="str">
        <f>""</f>
        <v/>
      </c>
    </row>
    <row r="31" spans="3:8" x14ac:dyDescent="0.3">
      <c r="C31" s="1" t="str">
        <f>""</f>
        <v/>
      </c>
      <c r="D31" s="463" t="s">
        <v>442</v>
      </c>
      <c r="E31" s="461" t="s">
        <v>439</v>
      </c>
      <c r="F31" s="461" t="s">
        <v>441</v>
      </c>
      <c r="G31" s="1" t="s">
        <v>443</v>
      </c>
      <c r="H31" s="461" t="s">
        <v>565</v>
      </c>
    </row>
    <row r="32" spans="3:8" x14ac:dyDescent="0.3">
      <c r="C32" s="1" t="str">
        <f>""</f>
        <v/>
      </c>
      <c r="D32" s="463" t="s">
        <v>442</v>
      </c>
      <c r="E32" s="1" t="s">
        <v>439</v>
      </c>
      <c r="F32" s="461" t="s">
        <v>441</v>
      </c>
      <c r="G32" s="1" t="s">
        <v>443</v>
      </c>
      <c r="H32" s="461" t="s">
        <v>565</v>
      </c>
    </row>
    <row r="33" spans="3:8" x14ac:dyDescent="0.3">
      <c r="C33" s="1" t="str">
        <f>""</f>
        <v/>
      </c>
      <c r="D33" s="463" t="s">
        <v>442</v>
      </c>
      <c r="E33" s="461" t="s">
        <v>439</v>
      </c>
      <c r="F33" s="461" t="s">
        <v>441</v>
      </c>
      <c r="G33" s="1" t="s">
        <v>443</v>
      </c>
      <c r="H33" s="461" t="s">
        <v>565</v>
      </c>
    </row>
    <row r="34" spans="3:8" x14ac:dyDescent="0.3">
      <c r="C34" s="1" t="str">
        <f>""</f>
        <v/>
      </c>
      <c r="D34" s="463" t="s">
        <v>442</v>
      </c>
      <c r="E34" s="1" t="s">
        <v>439</v>
      </c>
      <c r="F34" s="461" t="s">
        <v>441</v>
      </c>
      <c r="G34" s="1" t="s">
        <v>443</v>
      </c>
      <c r="H34" s="461" t="s">
        <v>565</v>
      </c>
    </row>
    <row r="35" spans="3:8" x14ac:dyDescent="0.3">
      <c r="C35" s="1" t="str">
        <f>""</f>
        <v/>
      </c>
      <c r="D35" s="463" t="s">
        <v>442</v>
      </c>
      <c r="E35" s="461" t="s">
        <v>439</v>
      </c>
      <c r="F35" s="461" t="s">
        <v>441</v>
      </c>
      <c r="G35" s="1" t="s">
        <v>443</v>
      </c>
      <c r="H35" s="461" t="s">
        <v>565</v>
      </c>
    </row>
    <row r="36" spans="3:8" x14ac:dyDescent="0.3">
      <c r="C36" s="1" t="str">
        <f>""</f>
        <v/>
      </c>
      <c r="D36" s="463" t="s">
        <v>442</v>
      </c>
      <c r="E36" s="1" t="s">
        <v>439</v>
      </c>
      <c r="F36" s="461" t="s">
        <v>441</v>
      </c>
      <c r="G36" s="1" t="s">
        <v>443</v>
      </c>
      <c r="H36" s="461" t="s">
        <v>565</v>
      </c>
    </row>
    <row r="37" spans="3:8" x14ac:dyDescent="0.3">
      <c r="C37" s="1" t="str">
        <f>""</f>
        <v/>
      </c>
      <c r="D37" s="463" t="s">
        <v>442</v>
      </c>
      <c r="E37" s="461" t="s">
        <v>439</v>
      </c>
      <c r="F37" s="461" t="s">
        <v>441</v>
      </c>
      <c r="G37" s="1" t="s">
        <v>443</v>
      </c>
      <c r="H37" s="461" t="s">
        <v>565</v>
      </c>
    </row>
    <row r="38" spans="3:8" x14ac:dyDescent="0.3">
      <c r="C38" s="1" t="str">
        <f>""</f>
        <v/>
      </c>
      <c r="D38" s="463" t="s">
        <v>442</v>
      </c>
      <c r="E38" s="1" t="s">
        <v>439</v>
      </c>
      <c r="F38" s="461" t="s">
        <v>441</v>
      </c>
      <c r="G38" s="1" t="s">
        <v>443</v>
      </c>
      <c r="H38" s="461" t="s">
        <v>565</v>
      </c>
    </row>
    <row r="39" spans="3:8" x14ac:dyDescent="0.3">
      <c r="C39" s="1" t="str">
        <f>""</f>
        <v/>
      </c>
      <c r="D39" s="463" t="s">
        <v>442</v>
      </c>
      <c r="E39" s="1" t="s">
        <v>439</v>
      </c>
      <c r="F39" s="461" t="s">
        <v>441</v>
      </c>
      <c r="G39" s="1" t="s">
        <v>443</v>
      </c>
      <c r="H39" s="461" t="s">
        <v>565</v>
      </c>
    </row>
    <row r="40" spans="3:8" x14ac:dyDescent="0.3">
      <c r="C40" s="1" t="str">
        <f>""</f>
        <v/>
      </c>
      <c r="D40" s="463" t="s">
        <v>442</v>
      </c>
      <c r="E40" s="1" t="s">
        <v>439</v>
      </c>
      <c r="F40" s="461" t="s">
        <v>441</v>
      </c>
      <c r="G40" s="1" t="s">
        <v>443</v>
      </c>
      <c r="H40" s="461" t="s">
        <v>565</v>
      </c>
    </row>
    <row r="41" spans="3:8" x14ac:dyDescent="0.3">
      <c r="C41" s="1" t="str">
        <f>""</f>
        <v/>
      </c>
    </row>
    <row r="42" spans="3:8" x14ac:dyDescent="0.3">
      <c r="C42" s="1" t="str">
        <f>""</f>
        <v/>
      </c>
    </row>
    <row r="43" spans="3:8" x14ac:dyDescent="0.3">
      <c r="C43" s="1" t="str">
        <f>""</f>
        <v/>
      </c>
    </row>
    <row r="44" spans="3:8" x14ac:dyDescent="0.3">
      <c r="C44" s="1" t="str">
        <f>""</f>
        <v/>
      </c>
    </row>
    <row r="45" spans="3:8" x14ac:dyDescent="0.3">
      <c r="C45" s="1" t="str">
        <f>""</f>
        <v/>
      </c>
    </row>
  </sheetData>
  <pageMargins left="0.7" right="0.7" top="0.75" bottom="0.75" header="0.3" footer="0.3"/>
  <pageSetup paperSize="0" orientation="portrait" horizontalDpi="0" verticalDpi="0" copies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244</vt:i4>
      </vt:variant>
    </vt:vector>
  </HeadingPairs>
  <TitlesOfParts>
    <vt:vector size="270" baseType="lpstr">
      <vt:lpstr>Motherboard</vt:lpstr>
      <vt:lpstr>Processor</vt:lpstr>
      <vt:lpstr>RAM</vt:lpstr>
      <vt:lpstr>Generic</vt:lpstr>
      <vt:lpstr>RAID Controller</vt:lpstr>
      <vt:lpstr>Fan</vt:lpstr>
      <vt:lpstr>Backplane</vt:lpstr>
      <vt:lpstr>Drives</vt:lpstr>
      <vt:lpstr>NIC</vt:lpstr>
      <vt:lpstr>Chassis Type</vt:lpstr>
      <vt:lpstr>GPU</vt:lpstr>
      <vt:lpstr>Motherboard to Processor</vt:lpstr>
      <vt:lpstr>Server Configuration</vt:lpstr>
      <vt:lpstr>Server List</vt:lpstr>
      <vt:lpstr>Component Calc</vt:lpstr>
      <vt:lpstr>Rack Calc (Old)</vt:lpstr>
      <vt:lpstr>Rack Layout</vt:lpstr>
      <vt:lpstr>Rack Calc (Single Phase)</vt:lpstr>
      <vt:lpstr>Rack Calc (Single Phase x48)</vt:lpstr>
      <vt:lpstr>Rack Calc (Single Phase 48 230)</vt:lpstr>
      <vt:lpstr>Rack Calc (Single Phase) (x4)</vt:lpstr>
      <vt:lpstr>Rack Calc (Three Phase)</vt:lpstr>
      <vt:lpstr>Rack Calc (Three Phase) (400V)</vt:lpstr>
      <vt:lpstr>Power Layouts</vt:lpstr>
      <vt:lpstr>Printer Friendly</vt:lpstr>
      <vt:lpstr>Saved Layouts</vt:lpstr>
      <vt:lpstr>__10DRI_Pop</vt:lpstr>
      <vt:lpstr>__10DRU_Pop</vt:lpstr>
      <vt:lpstr>__10QBI_Pop</vt:lpstr>
      <vt:lpstr>__11DPU_Pop</vt:lpstr>
      <vt:lpstr>__3250_Pop</vt:lpstr>
      <vt:lpstr>__HAB_Pop</vt:lpstr>
      <vt:lpstr>__QB6_Pop</vt:lpstr>
      <vt:lpstr>__SR630_Pop</vt:lpstr>
      <vt:lpstr>_10DRI</vt:lpstr>
      <vt:lpstr>_10DRI_1</vt:lpstr>
      <vt:lpstr>_10DRI_2</vt:lpstr>
      <vt:lpstr>_10DRI_Pop</vt:lpstr>
      <vt:lpstr>_10DRU</vt:lpstr>
      <vt:lpstr>_10DRU_1</vt:lpstr>
      <vt:lpstr>_10DRU_2</vt:lpstr>
      <vt:lpstr>_10QBI</vt:lpstr>
      <vt:lpstr>_10QBI_1</vt:lpstr>
      <vt:lpstr>_10QBI_2</vt:lpstr>
      <vt:lpstr>_10QBI_3</vt:lpstr>
      <vt:lpstr>_10QBI_4</vt:lpstr>
      <vt:lpstr>_11DPU</vt:lpstr>
      <vt:lpstr>_11DPU_1</vt:lpstr>
      <vt:lpstr>_11DPU_2</vt:lpstr>
      <vt:lpstr>_1U___X10SLH_LNT6____Single_Xeon_E3_1270_V3___16GB___50____cmwhite</vt:lpstr>
      <vt:lpstr>_1U4D</vt:lpstr>
      <vt:lpstr>_1U4D_GPU</vt:lpstr>
      <vt:lpstr>_1U4D_GPU_Count</vt:lpstr>
      <vt:lpstr>_1U4D_NIC_1U4D</vt:lpstr>
      <vt:lpstr>_1U4D_RAID</vt:lpstr>
      <vt:lpstr>_1U4D_RAID_1U4D</vt:lpstr>
      <vt:lpstr>_1U4DE3</vt:lpstr>
      <vt:lpstr>_1U4DTS</vt:lpstr>
      <vt:lpstr>_1U4DU</vt:lpstr>
      <vt:lpstr>_1U4DU_GPU</vt:lpstr>
      <vt:lpstr>_1U4DU_GPU_Count</vt:lpstr>
      <vt:lpstr>_1U4DU_NIC_1U4DU</vt:lpstr>
      <vt:lpstr>_1U4DU_RAID</vt:lpstr>
      <vt:lpstr>_1U4DU_RAID_1U4DU</vt:lpstr>
      <vt:lpstr>_23U8D_GPU_Count</vt:lpstr>
      <vt:lpstr>_2U12D</vt:lpstr>
      <vt:lpstr>_2U12D_GPU</vt:lpstr>
      <vt:lpstr>_2U12D_GPU_Count</vt:lpstr>
      <vt:lpstr>_2U12D_NIC_2U12D</vt:lpstr>
      <vt:lpstr>_2U12D_RAID</vt:lpstr>
      <vt:lpstr>_2U12D_RAID_2U12D</vt:lpstr>
      <vt:lpstr>_2U12DU</vt:lpstr>
      <vt:lpstr>_2U12DU_GPU</vt:lpstr>
      <vt:lpstr>_2U12DU_GPU_Count</vt:lpstr>
      <vt:lpstr>_2U12DU_NIC_2U12DU</vt:lpstr>
      <vt:lpstr>_2U12DU_RAID</vt:lpstr>
      <vt:lpstr>_2U12DU_RAID_2U12DU</vt:lpstr>
      <vt:lpstr>_2U14DT</vt:lpstr>
      <vt:lpstr>_2U6D</vt:lpstr>
      <vt:lpstr>_2U6D_GPU</vt:lpstr>
      <vt:lpstr>_2U6D_GPU_Count</vt:lpstr>
      <vt:lpstr>_2U6D_NIC_2U6D</vt:lpstr>
      <vt:lpstr>_2U6D_RAID</vt:lpstr>
      <vt:lpstr>_2U6D_RAID_2U6D</vt:lpstr>
      <vt:lpstr>_3250</vt:lpstr>
      <vt:lpstr>_3250_1</vt:lpstr>
      <vt:lpstr>_3U8D</vt:lpstr>
      <vt:lpstr>_3U8D_GPU</vt:lpstr>
      <vt:lpstr>_3U8D_NIC_3U8D</vt:lpstr>
      <vt:lpstr>_3U8D_RAID</vt:lpstr>
      <vt:lpstr>_3U8D_RAID_3U8D</vt:lpstr>
      <vt:lpstr>_4GB_DDR3L_1.35V_RDIMM</vt:lpstr>
      <vt:lpstr>_4U24D</vt:lpstr>
      <vt:lpstr>_4U24D_GPU</vt:lpstr>
      <vt:lpstr>_4U24D_GPU_Count</vt:lpstr>
      <vt:lpstr>_4U24D_NIC_4U24D</vt:lpstr>
      <vt:lpstr>_4U24D_RAID</vt:lpstr>
      <vt:lpstr>_4U24D_RAID_10QBI</vt:lpstr>
      <vt:lpstr>_4U24D_RAID_4U24D</vt:lpstr>
      <vt:lpstr>_4U36D</vt:lpstr>
      <vt:lpstr>_4U36D_GPU</vt:lpstr>
      <vt:lpstr>_4U36D_GPU_Count</vt:lpstr>
      <vt:lpstr>_4U36D_NIC_4U36D</vt:lpstr>
      <vt:lpstr>_4U36D_RAID</vt:lpstr>
      <vt:lpstr>_4U36D_RAID_10DRI</vt:lpstr>
      <vt:lpstr>_4U36D_RAID_4U36D</vt:lpstr>
      <vt:lpstr>_8U___3950_X6___Octo_Xeon_E7_8880_V3___8192GB___50____208V___8x_PSU</vt:lpstr>
      <vt:lpstr>_DRI_1.2_Pop</vt:lpstr>
      <vt:lpstr>_DRI_Pop</vt:lpstr>
      <vt:lpstr>_DTN_Pop</vt:lpstr>
      <vt:lpstr>_DTU_Pop</vt:lpstr>
      <vt:lpstr>_HAB</vt:lpstr>
      <vt:lpstr>_HAB_1</vt:lpstr>
      <vt:lpstr>_HAB_RAM</vt:lpstr>
      <vt:lpstr>_None_Pop</vt:lpstr>
      <vt:lpstr>_QB6</vt:lpstr>
      <vt:lpstr>_QB6_1</vt:lpstr>
      <vt:lpstr>_QB6_2</vt:lpstr>
      <vt:lpstr>_QB6_3</vt:lpstr>
      <vt:lpstr>_QB6_4</vt:lpstr>
      <vt:lpstr>_QRI_Pop</vt:lpstr>
      <vt:lpstr>_SCD_Pop</vt:lpstr>
      <vt:lpstr>_SCI_Pop</vt:lpstr>
      <vt:lpstr>_SIE_Pop</vt:lpstr>
      <vt:lpstr>_SLH_Pop</vt:lpstr>
      <vt:lpstr>_SLM_Pop</vt:lpstr>
      <vt:lpstr>_SR630</vt:lpstr>
      <vt:lpstr>_SSW_Pop</vt:lpstr>
      <vt:lpstr>'Rack Calc (Old)'!Backplane</vt:lpstr>
      <vt:lpstr>'Rack Calc (Single Phase 48 230)'!Backplane</vt:lpstr>
      <vt:lpstr>'Rack Calc (Single Phase x48)'!Backplane</vt:lpstr>
      <vt:lpstr>'Rack Calc (Single Phase) (x4)'!Backplane</vt:lpstr>
      <vt:lpstr>'Rack Calc (Three Phase)'!Backplane</vt:lpstr>
      <vt:lpstr>'Rack Calc (Three Phase) (400V)'!Backplane</vt:lpstr>
      <vt:lpstr>Backplane</vt:lpstr>
      <vt:lpstr>DRI</vt:lpstr>
      <vt:lpstr>DRI_1</vt:lpstr>
      <vt:lpstr>DRI_1.2</vt:lpstr>
      <vt:lpstr>DRI_1.2_1</vt:lpstr>
      <vt:lpstr>DRI_1.2_1U</vt:lpstr>
      <vt:lpstr>DRI_1.2_2</vt:lpstr>
      <vt:lpstr>DRI_1U</vt:lpstr>
      <vt:lpstr>DRI_2</vt:lpstr>
      <vt:lpstr>DTN</vt:lpstr>
      <vt:lpstr>DTN_1</vt:lpstr>
      <vt:lpstr>DTN_2</vt:lpstr>
      <vt:lpstr>DTU</vt:lpstr>
      <vt:lpstr>DTU_1</vt:lpstr>
      <vt:lpstr>DTU_2</vt:lpstr>
      <vt:lpstr>'Rack Calc (Old)'!Fans</vt:lpstr>
      <vt:lpstr>'Rack Calc (Single Phase 48 230)'!Fans</vt:lpstr>
      <vt:lpstr>'Rack Calc (Single Phase x48)'!Fans</vt:lpstr>
      <vt:lpstr>'Rack Calc (Single Phase) (x4)'!Fans</vt:lpstr>
      <vt:lpstr>'Rack Calc (Three Phase)'!Fans</vt:lpstr>
      <vt:lpstr>'Rack Calc (Three Phase) (400V)'!Fans</vt:lpstr>
      <vt:lpstr>Fans</vt:lpstr>
      <vt:lpstr>'Rack Calc (Old)'!GPUs</vt:lpstr>
      <vt:lpstr>'Rack Calc (Single Phase 48 230)'!GPUs</vt:lpstr>
      <vt:lpstr>'Rack Calc (Single Phase x48)'!GPUs</vt:lpstr>
      <vt:lpstr>'Rack Calc (Single Phase) (x4)'!GPUs</vt:lpstr>
      <vt:lpstr>'Rack Calc (Three Phase)'!GPUs</vt:lpstr>
      <vt:lpstr>'Rack Calc (Three Phase) (400V)'!GPUs</vt:lpstr>
      <vt:lpstr>GPUs</vt:lpstr>
      <vt:lpstr>'Rack Calc (Old)'!HDDs</vt:lpstr>
      <vt:lpstr>'Rack Calc (Single Phase 48 230)'!HDDs</vt:lpstr>
      <vt:lpstr>'Rack Calc (Single Phase x48)'!HDDs</vt:lpstr>
      <vt:lpstr>'Rack Calc (Single Phase) (x4)'!HDDs</vt:lpstr>
      <vt:lpstr>'Rack Calc (Three Phase)'!HDDs</vt:lpstr>
      <vt:lpstr>'Rack Calc (Three Phase) (400V)'!HDDs</vt:lpstr>
      <vt:lpstr>HDDs</vt:lpstr>
      <vt:lpstr>'Rack Calc (Old)'!Motherboards</vt:lpstr>
      <vt:lpstr>'Rack Calc (Single Phase 48 230)'!Motherboards</vt:lpstr>
      <vt:lpstr>'Rack Calc (Single Phase x48)'!Motherboards</vt:lpstr>
      <vt:lpstr>'Rack Calc (Single Phase) (x4)'!Motherboards</vt:lpstr>
      <vt:lpstr>'Rack Calc (Three Phase)'!Motherboards</vt:lpstr>
      <vt:lpstr>'Rack Calc (Three Phase) (400V)'!Motherboards</vt:lpstr>
      <vt:lpstr>Motherboards</vt:lpstr>
      <vt:lpstr>'Rack Calc (Old)'!NICs</vt:lpstr>
      <vt:lpstr>'Rack Calc (Single Phase 48 230)'!NICs</vt:lpstr>
      <vt:lpstr>'Rack Calc (Single Phase x48)'!NICs</vt:lpstr>
      <vt:lpstr>'Rack Calc (Single Phase) (x4)'!NICs</vt:lpstr>
      <vt:lpstr>'Rack Calc (Three Phase)'!NICs</vt:lpstr>
      <vt:lpstr>'Rack Calc (Three Phase) (400V)'!NICs</vt:lpstr>
      <vt:lpstr>NICs</vt:lpstr>
      <vt:lpstr>None</vt:lpstr>
      <vt:lpstr>None_0</vt:lpstr>
      <vt:lpstr>None_GPU_Count</vt:lpstr>
      <vt:lpstr>None_NICNone</vt:lpstr>
      <vt:lpstr>None_RAID</vt:lpstr>
      <vt:lpstr>None_RAIDNone</vt:lpstr>
      <vt:lpstr>Power_Layouts</vt:lpstr>
      <vt:lpstr>Power_Selection</vt:lpstr>
      <vt:lpstr>Power_Selection_New</vt:lpstr>
      <vt:lpstr>'Rack Calc (Old)'!PowerHBottomSingle</vt:lpstr>
      <vt:lpstr>'Rack Calc (Single Phase) (x4)'!PowerHBottomSingle</vt:lpstr>
      <vt:lpstr>'Rack Calc (Three Phase)'!PowerHBottomSingle</vt:lpstr>
      <vt:lpstr>'Rack Calc (Three Phase) (400V)'!PowerHBottomSingle</vt:lpstr>
      <vt:lpstr>PowerHBottomSingle</vt:lpstr>
      <vt:lpstr>'Server Configuration'!Print_Area</vt:lpstr>
      <vt:lpstr>Proc___Chassis</vt:lpstr>
      <vt:lpstr>'Rack Calc (Old)'!Processors</vt:lpstr>
      <vt:lpstr>'Rack Calc (Single Phase 48 230)'!Processors</vt:lpstr>
      <vt:lpstr>'Rack Calc (Single Phase x48)'!Processors</vt:lpstr>
      <vt:lpstr>'Rack Calc (Single Phase) (x4)'!Processors</vt:lpstr>
      <vt:lpstr>'Rack Calc (Three Phase)'!Processors</vt:lpstr>
      <vt:lpstr>'Rack Calc (Three Phase) (400V)'!Processors</vt:lpstr>
      <vt:lpstr>Processors</vt:lpstr>
      <vt:lpstr>QRI</vt:lpstr>
      <vt:lpstr>QRI_1</vt:lpstr>
      <vt:lpstr>QRI_2</vt:lpstr>
      <vt:lpstr>QRI_3</vt:lpstr>
      <vt:lpstr>QRI_4</vt:lpstr>
      <vt:lpstr>Rack_Names</vt:lpstr>
      <vt:lpstr>'Rack Calc (Old)'!RAIDs</vt:lpstr>
      <vt:lpstr>'Rack Calc (Single Phase 48 230)'!RAIDs</vt:lpstr>
      <vt:lpstr>'Rack Calc (Single Phase x48)'!RAIDs</vt:lpstr>
      <vt:lpstr>'Rack Calc (Single Phase) (x4)'!RAIDs</vt:lpstr>
      <vt:lpstr>'Rack Calc (Three Phase)'!RAIDs</vt:lpstr>
      <vt:lpstr>'Rack Calc (Three Phase) (400V)'!RAIDs</vt:lpstr>
      <vt:lpstr>RAIDs</vt:lpstr>
      <vt:lpstr>RAM_10DRI</vt:lpstr>
      <vt:lpstr>RAM_10DRU</vt:lpstr>
      <vt:lpstr>RAM_10QBI</vt:lpstr>
      <vt:lpstr>RAM_11DPU</vt:lpstr>
      <vt:lpstr>RAM_3250</vt:lpstr>
      <vt:lpstr>RAM_HAB</vt:lpstr>
      <vt:lpstr>RAM_QB6</vt:lpstr>
      <vt:lpstr>RAMDRI</vt:lpstr>
      <vt:lpstr>RAMDRI_1.2</vt:lpstr>
      <vt:lpstr>RAMDTN</vt:lpstr>
      <vt:lpstr>RAMDTU</vt:lpstr>
      <vt:lpstr>RAMNone</vt:lpstr>
      <vt:lpstr>RAMQRI</vt:lpstr>
      <vt:lpstr>'Rack Calc (Old)'!RAMs</vt:lpstr>
      <vt:lpstr>'Rack Calc (Single Phase 48 230)'!RAMs</vt:lpstr>
      <vt:lpstr>'Rack Calc (Single Phase x48)'!RAMs</vt:lpstr>
      <vt:lpstr>'Rack Calc (Single Phase) (x4)'!RAMs</vt:lpstr>
      <vt:lpstr>'Rack Calc (Three Phase)'!RAMs</vt:lpstr>
      <vt:lpstr>'Rack Calc (Three Phase) (400V)'!RAMs</vt:lpstr>
      <vt:lpstr>RAMs</vt:lpstr>
      <vt:lpstr>RAMSCI</vt:lpstr>
      <vt:lpstr>RAMSIE</vt:lpstr>
      <vt:lpstr>RAMSLH</vt:lpstr>
      <vt:lpstr>RAMSLM</vt:lpstr>
      <vt:lpstr>RAMSSW</vt:lpstr>
      <vt:lpstr>SCD</vt:lpstr>
      <vt:lpstr>SCD_1</vt:lpstr>
      <vt:lpstr>SCI</vt:lpstr>
      <vt:lpstr>SCI_1</vt:lpstr>
      <vt:lpstr>'Rack Calc (Old)'!Server_List</vt:lpstr>
      <vt:lpstr>Server_List</vt:lpstr>
      <vt:lpstr>'Rack Calc (Old)'!Servers</vt:lpstr>
      <vt:lpstr>'Rack Calc (Single Phase 48 230)'!Servers</vt:lpstr>
      <vt:lpstr>'Rack Calc (Single Phase x48)'!Servers</vt:lpstr>
      <vt:lpstr>'Rack Calc (Single Phase) (x4)'!Servers</vt:lpstr>
      <vt:lpstr>'Rack Calc (Three Phase)'!Servers</vt:lpstr>
      <vt:lpstr>'Rack Calc (Three Phase) (400V)'!Servers</vt:lpstr>
      <vt:lpstr>Servers</vt:lpstr>
      <vt:lpstr>SIE</vt:lpstr>
      <vt:lpstr>SIE_1</vt:lpstr>
      <vt:lpstr>'Rack Calc (Old)'!SingleProcPopulations</vt:lpstr>
      <vt:lpstr>SingleProcPopulations</vt:lpstr>
      <vt:lpstr>SLH</vt:lpstr>
      <vt:lpstr>SLH_1</vt:lpstr>
      <vt:lpstr>SLM</vt:lpstr>
      <vt:lpstr>SLM_1</vt:lpstr>
      <vt:lpstr>Slot</vt:lpstr>
      <vt:lpstr>SSW</vt:lpstr>
      <vt:lpstr>SSW_1</vt:lpstr>
      <vt:lpstr>X10SLM</vt:lpstr>
    </vt:vector>
  </TitlesOfParts>
  <Company>SoftLayer, an IBM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Power Calcualator 3.9.5</dc:title>
  <dc:creator>Scotty White</dc:creator>
  <cp:lastModifiedBy>Dennis Vollmer</cp:lastModifiedBy>
  <cp:lastPrinted>2015-06-17T16:51:58Z</cp:lastPrinted>
  <dcterms:created xsi:type="dcterms:W3CDTF">2014-03-03T17:36:40Z</dcterms:created>
  <dcterms:modified xsi:type="dcterms:W3CDTF">2024-03-21T17:26:01Z</dcterms:modified>
  <cp:category>Operations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learConfig_1" visible="true" label="ClearConfig" imageMso="ChangesDiscardAndRefresh" onAction="ClearConfig"/>
        <mso:button idQ="doc:ResetNewRackConfig_1" visible="true" label="ResetNewRackConfig" imageMso="FrameCreateLeft" onAction="ResetNewRackConfig"/>
        <mso:button idQ="doc:ResetOldRackConfig_1" visible="true" label="ResetOldRackConfig" imageMso="FrameCreateRight" onAction="ResetOldRackConfig"/>
        <mso:button idQ="doc:CopyToServerList_1" visible="true" label="CopyToServerList" imageMso="FrameCreateBelow" onAction="CopyToServerList"/>
      </mso:documentControls>
    </mso:qat>
  </mso:ribbon>
</mso:customUI>
</file>